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2.xml" ContentType="application/vnd.openxmlformats-officedocument.spreadsheetml.pivotTable+xml"/>
  <Override PartName="/xl/tables/table15.xml" ContentType="application/vnd.openxmlformats-officedocument.spreadsheetml.table+xml"/>
  <Override PartName="/xl/pivotTables/pivotTable3.xml" ContentType="application/vnd.openxmlformats-officedocument.spreadsheetml.pivotTable+xml"/>
  <Override PartName="/xl/tables/table16.xml" ContentType="application/vnd.openxmlformats-officedocument.spreadsheetml.table+xml"/>
  <Override PartName="/xl/pivotTables/pivotTable4.xml" ContentType="application/vnd.openxmlformats-officedocument.spreadsheetml.pivotTable+xml"/>
  <Override PartName="/xl/tables/table17.xml" ContentType="application/vnd.openxmlformats-officedocument.spreadsheetml.table+xml"/>
  <Override PartName="/xl/pivotTables/pivotTable5.xml" ContentType="application/vnd.openxmlformats-officedocument.spreadsheetml.pivotTable+xml"/>
  <Override PartName="/xl/tables/table18.xml" ContentType="application/vnd.openxmlformats-officedocument.spreadsheetml.table+xml"/>
  <Override PartName="/xl/pivotTables/pivotTable6.xml" ContentType="application/vnd.openxmlformats-officedocument.spreadsheetml.pivotTable+xml"/>
  <Override PartName="/xl/tables/table19.xml" ContentType="application/vnd.openxmlformats-officedocument.spreadsheetml.table+xml"/>
  <Override PartName="/xl/pivotTables/pivotTable7.xml" ContentType="application/vnd.openxmlformats-officedocument.spreadsheetml.pivotTable+xml"/>
  <Override PartName="/xl/tables/table20.xml" ContentType="application/vnd.openxmlformats-officedocument.spreadsheetml.table+xml"/>
  <Override PartName="/xl/pivotTables/pivotTable8.xml" ContentType="application/vnd.openxmlformats-officedocument.spreadsheetml.pivotTable+xml"/>
  <Override PartName="/xl/tables/table21.xml" ContentType="application/vnd.openxmlformats-officedocument.spreadsheetml.table+xml"/>
  <Override PartName="/xl/pivotTables/pivotTable9.xml" ContentType="application/vnd.openxmlformats-officedocument.spreadsheetml.pivotTable+xml"/>
  <Override PartName="/xl/tables/table22.xml" ContentType="application/vnd.openxmlformats-officedocument.spreadsheetml.table+xml"/>
  <Override PartName="/xl/pivotTables/pivotTable10.xml" ContentType="application/vnd.openxmlformats-officedocument.spreadsheetml.pivotTable+xml"/>
  <Override PartName="/xl/tables/table23.xml" ContentType="application/vnd.openxmlformats-officedocument.spreadsheetml.table+xml"/>
  <Override PartName="/xl/pivotTables/pivotTable11.xml" ContentType="application/vnd.openxmlformats-officedocument.spreadsheetml.pivotTable+xml"/>
  <Override PartName="/xl/tables/table24.xml" ContentType="application/vnd.openxmlformats-officedocument.spreadsheetml.table+xml"/>
  <Override PartName="/xl/pivotTables/pivotTable12.xml" ContentType="application/vnd.openxmlformats-officedocument.spreadsheetml.pivotTable+xml"/>
  <Override PartName="/xl/tables/table25.xml" ContentType="application/vnd.openxmlformats-officedocument.spreadsheetml.table+xml"/>
  <Override PartName="/xl/pivotTables/pivotTable13.xml" ContentType="application/vnd.openxmlformats-officedocument.spreadsheetml.pivot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vie\Desktop\CONTROL DE PESOS CUILAPA\"/>
    </mc:Choice>
  </mc:AlternateContent>
  <xr:revisionPtr revIDLastSave="0" documentId="13_ncr:1_{3149481E-1FEA-4C6C-9465-8D45BA46841D}" xr6:coauthVersionLast="47" xr6:coauthVersionMax="47" xr10:uidLastSave="{00000000-0000-0000-0000-000000000000}"/>
  <bookViews>
    <workbookView xWindow="-108" yWindow="-108" windowWidth="23256" windowHeight="12576" tabRatio="935" activeTab="13" xr2:uid="{00000000-000D-0000-FFFF-FFFF00000000}"/>
  </bookViews>
  <sheets>
    <sheet name="DASHBOARD" sheetId="152" r:id="rId1"/>
    <sheet name="E471" sheetId="2217" r:id="rId2"/>
    <sheet name="E472" sheetId="2218" r:id="rId3"/>
    <sheet name="E473" sheetId="2219" r:id="rId4"/>
    <sheet name="E474" sheetId="2220" r:id="rId5"/>
    <sheet name="E475" sheetId="2221" r:id="rId6"/>
    <sheet name="E476" sheetId="2222" r:id="rId7"/>
    <sheet name="E477" sheetId="2223" r:id="rId8"/>
    <sheet name="E481" sheetId="2228" r:id="rId9"/>
    <sheet name="E480" sheetId="2227" r:id="rId10"/>
    <sheet name="E479" sheetId="2226" r:id="rId11"/>
    <sheet name="E478" sheetId="2225" r:id="rId12"/>
    <sheet name="E470" sheetId="2224" r:id="rId13"/>
    <sheet name="MASTER" sheetId="154" r:id="rId14"/>
    <sheet name="PESOS" sheetId="266" r:id="rId15"/>
    <sheet name="E470DB" sheetId="31" r:id="rId16"/>
    <sheet name="E471DB" sheetId="2" r:id="rId17"/>
    <sheet name="E472DB" sheetId="3" r:id="rId18"/>
    <sheet name="E473DB" sheetId="4" r:id="rId19"/>
    <sheet name="E474DB" sheetId="5" r:id="rId20"/>
    <sheet name="E475DB" sheetId="6" r:id="rId21"/>
    <sheet name="E476DB" sheetId="105" r:id="rId22"/>
    <sheet name="E477DB" sheetId="8" r:id="rId23"/>
    <sheet name="E478DB" sheetId="189" r:id="rId24"/>
    <sheet name="E479DB" sheetId="2106" r:id="rId25"/>
    <sheet name="E480DB" sheetId="2107" r:id="rId26"/>
    <sheet name="E481DB" sheetId="2108" r:id="rId27"/>
  </sheets>
  <definedNames>
    <definedName name="_xlnm._FilterDatabase" localSheetId="13" hidden="1">MASTER!#REF!</definedName>
    <definedName name="_xlnm._FilterDatabase" localSheetId="14" hidden="1">PESOS!$D$4:$I$1380</definedName>
    <definedName name="_xlnm.Print_Area" localSheetId="0">DASHBOARD!$A$1:$N$34</definedName>
    <definedName name="Print_Area" localSheetId="0">DASHBOARD!$A$1:$L$18</definedName>
    <definedName name="SegmentaciónDeDatos_RUTAS">#N/A</definedName>
  </definedNames>
  <calcPr calcId="191029"/>
  <customWorkbookViews>
    <customWorkbookView name="DASHBOARD" guid="{D03BBA77-B0D6-4284-98FD-BE2506FB6F43}" maximized="1" xWindow="-8" yWindow="-8" windowWidth="1382" windowHeight="744" activeSheetId="1"/>
  </customWorkbookViews>
  <pivotCaches>
    <pivotCache cacheId="372" r:id="rId28"/>
    <pivotCache cacheId="377" r:id="rId29"/>
    <pivotCache cacheId="382" r:id="rId30"/>
    <pivotCache cacheId="387" r:id="rId31"/>
    <pivotCache cacheId="392" r:id="rId32"/>
    <pivotCache cacheId="396" r:id="rId33"/>
    <pivotCache cacheId="401" r:id="rId34"/>
    <pivotCache cacheId="406" r:id="rId35"/>
    <pivotCache cacheId="411" r:id="rId36"/>
    <pivotCache cacheId="416" r:id="rId37"/>
    <pivotCache cacheId="421" r:id="rId38"/>
    <pivotCache cacheId="426" r:id="rId39"/>
    <pivotCache cacheId="431" r:id="rId40"/>
  </pivotCaches>
  <extLst>
    <ext xmlns:x14="http://schemas.microsoft.com/office/spreadsheetml/2009/9/main" uri="{BBE1A952-AA13-448e-AADC-164F8A28A991}">
      <x14:slicerCaches>
        <x14:slicerCache r:id="rId4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80" i="266" l="1"/>
  <c r="D2" i="2228"/>
  <c r="E2" i="2228" s="1"/>
  <c r="D4" i="2228"/>
  <c r="E4" i="2228" s="1"/>
  <c r="D5" i="2228"/>
  <c r="E5" i="2228" s="1"/>
  <c r="D6" i="2228"/>
  <c r="E6" i="2228" s="1"/>
  <c r="D7" i="2228"/>
  <c r="E7" i="2228" s="1"/>
  <c r="D8" i="2228"/>
  <c r="E8" i="2228" s="1"/>
  <c r="D9" i="2228"/>
  <c r="E9" i="2228" s="1"/>
  <c r="D10" i="2228"/>
  <c r="E10" i="2228" s="1"/>
  <c r="D11" i="2228"/>
  <c r="E11" i="2228" s="1"/>
  <c r="D12" i="2228"/>
  <c r="E12" i="2228" s="1"/>
  <c r="D13" i="2228"/>
  <c r="E13" i="2228" s="1"/>
  <c r="D14" i="2228"/>
  <c r="E14" i="2228" s="1"/>
  <c r="D15" i="2228"/>
  <c r="E15" i="2228" s="1"/>
  <c r="D16" i="2228"/>
  <c r="E16" i="2228" s="1"/>
  <c r="D17" i="2228"/>
  <c r="E17" i="2228" s="1"/>
  <c r="D18" i="2228"/>
  <c r="E18" i="2228" s="1"/>
  <c r="D19" i="2228"/>
  <c r="E19" i="2228" s="1"/>
  <c r="D20" i="2228"/>
  <c r="E20" i="2228" s="1"/>
  <c r="D21" i="2228"/>
  <c r="E21" i="2228" s="1"/>
  <c r="D22" i="2228"/>
  <c r="E22" i="2228" s="1"/>
  <c r="D23" i="2228"/>
  <c r="E23" i="2228" s="1"/>
  <c r="D24" i="2228"/>
  <c r="E24" i="2228" s="1"/>
  <c r="D25" i="2228"/>
  <c r="E25" i="2228" s="1"/>
  <c r="D26" i="2228"/>
  <c r="E26" i="2228" s="1"/>
  <c r="D27" i="2228"/>
  <c r="E27" i="2228" s="1"/>
  <c r="D28" i="2228"/>
  <c r="E28" i="2228" s="1"/>
  <c r="D29" i="2228"/>
  <c r="E29" i="2228" s="1"/>
  <c r="D30" i="2228"/>
  <c r="E30" i="2228" s="1"/>
  <c r="D31" i="2228"/>
  <c r="E31" i="2228" s="1"/>
  <c r="D32" i="2228"/>
  <c r="E32" i="2228" s="1"/>
  <c r="D33" i="2228"/>
  <c r="E33" i="2228" s="1"/>
  <c r="D34" i="2228"/>
  <c r="E34" i="2228" s="1"/>
  <c r="D35" i="2228"/>
  <c r="E35" i="2228" s="1"/>
  <c r="D36" i="2228"/>
  <c r="E36" i="2228" s="1"/>
  <c r="D2" i="2227"/>
  <c r="E2" i="2227" s="1"/>
  <c r="D3" i="2227"/>
  <c r="E3" i="2227" s="1"/>
  <c r="D4" i="2227"/>
  <c r="E4" i="2227" s="1"/>
  <c r="D5" i="2227"/>
  <c r="E5" i="2227" s="1"/>
  <c r="D6" i="2227"/>
  <c r="E6" i="2227" s="1"/>
  <c r="D7" i="2227"/>
  <c r="E7" i="2227" s="1"/>
  <c r="D8" i="2227"/>
  <c r="E8" i="2227" s="1"/>
  <c r="D2" i="2226"/>
  <c r="E2" i="2226" s="1"/>
  <c r="D3" i="2226"/>
  <c r="E3" i="2226" s="1"/>
  <c r="D4" i="2226"/>
  <c r="E4" i="2226" s="1"/>
  <c r="D5" i="2226"/>
  <c r="E5" i="2226" s="1"/>
  <c r="D6" i="2226"/>
  <c r="E6" i="2226" s="1"/>
  <c r="D7" i="2226"/>
  <c r="E7" i="2226" s="1"/>
  <c r="D8" i="2226"/>
  <c r="E8" i="2226" s="1"/>
  <c r="D9" i="2226"/>
  <c r="E9" i="2226" s="1"/>
  <c r="D10" i="2226"/>
  <c r="E10" i="2226" s="1"/>
  <c r="D11" i="2226"/>
  <c r="E11" i="2226" s="1"/>
  <c r="D12" i="2226"/>
  <c r="E12" i="2226" s="1"/>
  <c r="D13" i="2226"/>
  <c r="E13" i="2226" s="1"/>
  <c r="D14" i="2226"/>
  <c r="E14" i="2226" s="1"/>
  <c r="D15" i="2226"/>
  <c r="E15" i="2226" s="1"/>
  <c r="D16" i="2226"/>
  <c r="E16" i="2226" s="1"/>
  <c r="D17" i="2226"/>
  <c r="E17" i="2226" s="1"/>
  <c r="D18" i="2226"/>
  <c r="E18" i="2226" s="1"/>
  <c r="D19" i="2226"/>
  <c r="E19" i="2226" s="1"/>
  <c r="D20" i="2226"/>
  <c r="E20" i="2226" s="1"/>
  <c r="D21" i="2226"/>
  <c r="E21" i="2226" s="1"/>
  <c r="D22" i="2226"/>
  <c r="E22" i="2226" s="1"/>
  <c r="D23" i="2226"/>
  <c r="E23" i="2226" s="1"/>
  <c r="D24" i="2226"/>
  <c r="E24" i="2226" s="1"/>
  <c r="D25" i="2226"/>
  <c r="E25" i="2226" s="1"/>
  <c r="D26" i="2226"/>
  <c r="E26" i="2226" s="1"/>
  <c r="D27" i="2226"/>
  <c r="E27" i="2226" s="1"/>
  <c r="D28" i="2226"/>
  <c r="E28" i="2226" s="1"/>
  <c r="D29" i="2226"/>
  <c r="E29" i="2226" s="1"/>
  <c r="D30" i="2226"/>
  <c r="E30" i="2226" s="1"/>
  <c r="D31" i="2226"/>
  <c r="E31" i="2226" s="1"/>
  <c r="D33" i="2226"/>
  <c r="E33" i="2226" s="1"/>
  <c r="D34" i="2226"/>
  <c r="E34" i="2226" s="1"/>
  <c r="D35" i="2226"/>
  <c r="E35" i="2226" s="1"/>
  <c r="D36" i="2226"/>
  <c r="E36" i="2226" s="1"/>
  <c r="D37" i="2226"/>
  <c r="E37" i="2226" s="1"/>
  <c r="D38" i="2226"/>
  <c r="E38" i="2226" s="1"/>
  <c r="D39" i="2226"/>
  <c r="E39" i="2226" s="1"/>
  <c r="D40" i="2226"/>
  <c r="E40" i="2226" s="1"/>
  <c r="D41" i="2226"/>
  <c r="E41" i="2226" s="1"/>
  <c r="D42" i="2226"/>
  <c r="E42" i="2226" s="1"/>
  <c r="D43" i="2226"/>
  <c r="E43" i="2226" s="1"/>
  <c r="D44" i="2226"/>
  <c r="E44" i="2226" s="1"/>
  <c r="D45" i="2226"/>
  <c r="E45" i="2226" s="1"/>
  <c r="D46" i="2226"/>
  <c r="E46" i="2226" s="1"/>
  <c r="D47" i="2226"/>
  <c r="E47" i="2226" s="1"/>
  <c r="D48" i="2226"/>
  <c r="E48" i="2226" s="1"/>
  <c r="D49" i="2226"/>
  <c r="E49" i="2226" s="1"/>
  <c r="D50" i="2226"/>
  <c r="E50" i="2226" s="1"/>
  <c r="D51" i="2226"/>
  <c r="E51" i="2226" s="1"/>
  <c r="D52" i="2226"/>
  <c r="E52" i="2226" s="1"/>
  <c r="D53" i="2226"/>
  <c r="E53" i="2226" s="1"/>
  <c r="D54" i="2226"/>
  <c r="E54" i="2226" s="1"/>
  <c r="D55" i="2226"/>
  <c r="E55" i="2226" s="1"/>
  <c r="D56" i="2226"/>
  <c r="E56" i="2226" s="1"/>
  <c r="D57" i="2226"/>
  <c r="E57" i="2226" s="1"/>
  <c r="D58" i="2226"/>
  <c r="E58" i="2226" s="1"/>
  <c r="D59" i="2226"/>
  <c r="E59" i="2226" s="1"/>
  <c r="D60" i="2226"/>
  <c r="E60" i="2226" s="1"/>
  <c r="D61" i="2226"/>
  <c r="E61" i="2226" s="1"/>
  <c r="D62" i="2226"/>
  <c r="E62" i="2226" s="1"/>
  <c r="D63" i="2226"/>
  <c r="E63" i="2226" s="1"/>
  <c r="D64" i="2226"/>
  <c r="E64" i="2226" s="1"/>
  <c r="D65" i="2226"/>
  <c r="E65" i="2226" s="1"/>
  <c r="D66" i="2226"/>
  <c r="E66" i="2226" s="1"/>
  <c r="D67" i="2226"/>
  <c r="E67" i="2226" s="1"/>
  <c r="D68" i="2226"/>
  <c r="E68" i="2226" s="1"/>
  <c r="D69" i="2226"/>
  <c r="E69" i="2226" s="1"/>
  <c r="D70" i="2226"/>
  <c r="E70" i="2226" s="1"/>
  <c r="D71" i="2226"/>
  <c r="E71" i="2226" s="1"/>
  <c r="D72" i="2226"/>
  <c r="E72" i="2226" s="1"/>
  <c r="D73" i="2226"/>
  <c r="E73" i="2226" s="1"/>
  <c r="D74" i="2226"/>
  <c r="E74" i="2226" s="1"/>
  <c r="D75" i="2226"/>
  <c r="E75" i="2226" s="1"/>
  <c r="D76" i="2226"/>
  <c r="E76" i="2226" s="1"/>
  <c r="D77" i="2226"/>
  <c r="E77" i="2226" s="1"/>
  <c r="D78" i="2226"/>
  <c r="E78" i="2226" s="1"/>
  <c r="D79" i="2226"/>
  <c r="E79" i="2226" s="1"/>
  <c r="D80" i="2226"/>
  <c r="E80" i="2226" s="1"/>
  <c r="D81" i="2226"/>
  <c r="E81" i="2226" s="1"/>
  <c r="D82" i="2226"/>
  <c r="E82" i="2226" s="1"/>
  <c r="D83" i="2226"/>
  <c r="E83" i="2226" s="1"/>
  <c r="D84" i="2226"/>
  <c r="E84" i="2226" s="1"/>
  <c r="D85" i="2226"/>
  <c r="E85" i="2226" s="1"/>
  <c r="D86" i="2226"/>
  <c r="E86" i="2226" s="1"/>
  <c r="D87" i="2226"/>
  <c r="E87" i="2226" s="1"/>
  <c r="D88" i="2226"/>
  <c r="E88" i="2226" s="1"/>
  <c r="D89" i="2226"/>
  <c r="E89" i="2226" s="1"/>
  <c r="D90" i="2226"/>
  <c r="E90" i="2226" s="1"/>
  <c r="D91" i="2226"/>
  <c r="E91" i="2226" s="1"/>
  <c r="D92" i="2226"/>
  <c r="E92" i="2226" s="1"/>
  <c r="D93" i="2226"/>
  <c r="E93" i="2226" s="1"/>
  <c r="D94" i="2226"/>
  <c r="E94" i="2226" s="1"/>
  <c r="D95" i="2226"/>
  <c r="E95" i="2226" s="1"/>
  <c r="D96" i="2226"/>
  <c r="E96" i="2226" s="1"/>
  <c r="D97" i="2226"/>
  <c r="E97" i="2226" s="1"/>
  <c r="D98" i="2226"/>
  <c r="E98" i="2226" s="1"/>
  <c r="D99" i="2226"/>
  <c r="E99" i="2226" s="1"/>
  <c r="D2" i="2225"/>
  <c r="E2" i="2225" s="1"/>
  <c r="D3" i="2225"/>
  <c r="E3" i="2225" s="1"/>
  <c r="D2" i="2224"/>
  <c r="E2" i="2224" s="1"/>
  <c r="D3" i="2224"/>
  <c r="E3" i="2224" s="1"/>
  <c r="D4" i="2224"/>
  <c r="E4" i="2224" s="1"/>
  <c r="D5" i="2224"/>
  <c r="E5" i="2224" s="1"/>
  <c r="D6" i="2224"/>
  <c r="E6" i="2224" s="1"/>
  <c r="D7" i="2224"/>
  <c r="E7" i="2224" s="1"/>
  <c r="D8" i="2224"/>
  <c r="E8" i="2224" s="1"/>
  <c r="D9" i="2224"/>
  <c r="E9" i="2224" s="1"/>
  <c r="D10" i="2224"/>
  <c r="E10" i="2224" s="1"/>
  <c r="D11" i="2224"/>
  <c r="E11" i="2224" s="1"/>
  <c r="D12" i="2224"/>
  <c r="E12" i="2224" s="1"/>
  <c r="D13" i="2224"/>
  <c r="E13" i="2224" s="1"/>
  <c r="D14" i="2224"/>
  <c r="E14" i="2224" s="1"/>
  <c r="D15" i="2224"/>
  <c r="E15" i="2224" s="1"/>
  <c r="D16" i="2224"/>
  <c r="E16" i="2224" s="1"/>
  <c r="D17" i="2224"/>
  <c r="E17" i="2224" s="1"/>
  <c r="D18" i="2224"/>
  <c r="E18" i="2224" s="1"/>
  <c r="D19" i="2224"/>
  <c r="E19" i="2224" s="1"/>
  <c r="D20" i="2224"/>
  <c r="E20" i="2224" s="1"/>
  <c r="D21" i="2224"/>
  <c r="E21" i="2224" s="1"/>
  <c r="D22" i="2224"/>
  <c r="E22" i="2224" s="1"/>
  <c r="D23" i="2224"/>
  <c r="E23" i="2224" s="1"/>
  <c r="D24" i="2224"/>
  <c r="E24" i="2224" s="1"/>
  <c r="D25" i="2224"/>
  <c r="E25" i="2224" s="1"/>
  <c r="D26" i="2224"/>
  <c r="E26" i="2224" s="1"/>
  <c r="D27" i="2224"/>
  <c r="E27" i="2224" s="1"/>
  <c r="D28" i="2224"/>
  <c r="E28" i="2224" s="1"/>
  <c r="D29" i="2224"/>
  <c r="E29" i="2224" s="1"/>
  <c r="D30" i="2224"/>
  <c r="E30" i="2224" s="1"/>
  <c r="D31" i="2224"/>
  <c r="E31" i="2224" s="1"/>
  <c r="D32" i="2224"/>
  <c r="E32" i="2224" s="1"/>
  <c r="D33" i="2224"/>
  <c r="E33" i="2224" s="1"/>
  <c r="D34" i="2224"/>
  <c r="E34" i="2224" s="1"/>
  <c r="D35" i="2224"/>
  <c r="E35" i="2224" s="1"/>
  <c r="D36" i="2224"/>
  <c r="E36" i="2224" s="1"/>
  <c r="D37" i="2224"/>
  <c r="E37" i="2224" s="1"/>
  <c r="D38" i="2224"/>
  <c r="E38" i="2224" s="1"/>
  <c r="D39" i="2224"/>
  <c r="E39" i="2224" s="1"/>
  <c r="D40" i="2224"/>
  <c r="E40" i="2224" s="1"/>
  <c r="D41" i="2224"/>
  <c r="E41" i="2224" s="1"/>
  <c r="D42" i="2224"/>
  <c r="E42" i="2224" s="1"/>
  <c r="D43" i="2224"/>
  <c r="E43" i="2224" s="1"/>
  <c r="D44" i="2224"/>
  <c r="E44" i="2224" s="1"/>
  <c r="D45" i="2224"/>
  <c r="E45" i="2224" s="1"/>
  <c r="D46" i="2224"/>
  <c r="E46" i="2224" s="1"/>
  <c r="D47" i="2224"/>
  <c r="E47" i="2224" s="1"/>
  <c r="D48" i="2224"/>
  <c r="E48" i="2224" s="1"/>
  <c r="D49" i="2224"/>
  <c r="E49" i="2224" s="1"/>
  <c r="D50" i="2224"/>
  <c r="E50" i="2224" s="1"/>
  <c r="D51" i="2224"/>
  <c r="E51" i="2224" s="1"/>
  <c r="D52" i="2224"/>
  <c r="E52" i="2224" s="1"/>
  <c r="D53" i="2224"/>
  <c r="E53" i="2224" s="1"/>
  <c r="D54" i="2224"/>
  <c r="E54" i="2224" s="1"/>
  <c r="D55" i="2224"/>
  <c r="E55" i="2224" s="1"/>
  <c r="D56" i="2224"/>
  <c r="E56" i="2224" s="1"/>
  <c r="D57" i="2224"/>
  <c r="E57" i="2224" s="1"/>
  <c r="D58" i="2224"/>
  <c r="E58" i="2224" s="1"/>
  <c r="D59" i="2224"/>
  <c r="E59" i="2224" s="1"/>
  <c r="D60" i="2224"/>
  <c r="E60" i="2224" s="1"/>
  <c r="D61" i="2224"/>
  <c r="E61" i="2224" s="1"/>
  <c r="D62" i="2224"/>
  <c r="E62" i="2224" s="1"/>
  <c r="D63" i="2224"/>
  <c r="E63" i="2224" s="1"/>
  <c r="D64" i="2224"/>
  <c r="E64" i="2224" s="1"/>
  <c r="D65" i="2224"/>
  <c r="E65" i="2224" s="1"/>
  <c r="D66" i="2224"/>
  <c r="E66" i="2224" s="1"/>
  <c r="D67" i="2224"/>
  <c r="E67" i="2224" s="1"/>
  <c r="D68" i="2224"/>
  <c r="E68" i="2224" s="1"/>
  <c r="D69" i="2224"/>
  <c r="E69" i="2224" s="1"/>
  <c r="D70" i="2224"/>
  <c r="E70" i="2224" s="1"/>
  <c r="D71" i="2224"/>
  <c r="E71" i="2224" s="1"/>
  <c r="D72" i="2224"/>
  <c r="E72" i="2224" s="1"/>
  <c r="D73" i="2224"/>
  <c r="E73" i="2224" s="1"/>
  <c r="D74" i="2224"/>
  <c r="E74" i="2224" s="1"/>
  <c r="D75" i="2224"/>
  <c r="E75" i="2224" s="1"/>
  <c r="D76" i="2224"/>
  <c r="E76" i="2224" s="1"/>
  <c r="D77" i="2224"/>
  <c r="E77" i="2224" s="1"/>
  <c r="D78" i="2224"/>
  <c r="E78" i="2224" s="1"/>
  <c r="D79" i="2224"/>
  <c r="E79" i="2224" s="1"/>
  <c r="D80" i="2224"/>
  <c r="E80" i="2224" s="1"/>
  <c r="D81" i="2224"/>
  <c r="E81" i="2224" s="1"/>
  <c r="D82" i="2224"/>
  <c r="E82" i="2224" s="1"/>
  <c r="D83" i="2224"/>
  <c r="E83" i="2224" s="1"/>
  <c r="D84" i="2224"/>
  <c r="E84" i="2224" s="1"/>
  <c r="D85" i="2224"/>
  <c r="E85" i="2224" s="1"/>
  <c r="D86" i="2224"/>
  <c r="E86" i="2224" s="1"/>
  <c r="D87" i="2224"/>
  <c r="E87" i="2224" s="1"/>
  <c r="D88" i="2224"/>
  <c r="E88" i="2224" s="1"/>
  <c r="D89" i="2224"/>
  <c r="E89" i="2224" s="1"/>
  <c r="D90" i="2224"/>
  <c r="E90" i="2224" s="1"/>
  <c r="D91" i="2224"/>
  <c r="E91" i="2224" s="1"/>
  <c r="D92" i="2224"/>
  <c r="E92" i="2224" s="1"/>
  <c r="D93" i="2224"/>
  <c r="E93" i="2224" s="1"/>
  <c r="D94" i="2224"/>
  <c r="E94" i="2224" s="1"/>
  <c r="D95" i="2224"/>
  <c r="E95" i="2224" s="1"/>
  <c r="D96" i="2224"/>
  <c r="E96" i="2224" s="1"/>
  <c r="D97" i="2224"/>
  <c r="E97" i="2224" s="1"/>
  <c r="D98" i="2224"/>
  <c r="E98" i="2224" s="1"/>
  <c r="D99" i="2224"/>
  <c r="E99" i="2224" s="1"/>
  <c r="D100" i="2224"/>
  <c r="E100" i="2224" s="1"/>
  <c r="D101" i="2224"/>
  <c r="E101" i="2224" s="1"/>
  <c r="D102" i="2224"/>
  <c r="E102" i="2224" s="1"/>
  <c r="D103" i="2224"/>
  <c r="E103" i="2224" s="1"/>
  <c r="D104" i="2224"/>
  <c r="E104" i="2224" s="1"/>
  <c r="D105" i="2224"/>
  <c r="E105" i="2224" s="1"/>
  <c r="D106" i="2224"/>
  <c r="E106" i="2224" s="1"/>
  <c r="D107" i="2224"/>
  <c r="E107" i="2224" s="1"/>
  <c r="D108" i="2224"/>
  <c r="E108" i="2224" s="1"/>
  <c r="D109" i="2224"/>
  <c r="E109" i="2224" s="1"/>
  <c r="D110" i="2224"/>
  <c r="E110" i="2224" s="1"/>
  <c r="D111" i="2224"/>
  <c r="E111" i="2224" s="1"/>
  <c r="D112" i="2224"/>
  <c r="E112" i="2224" s="1"/>
  <c r="D113" i="2224"/>
  <c r="E113" i="2224" s="1"/>
  <c r="D114" i="2224"/>
  <c r="E114" i="2224" s="1"/>
  <c r="D115" i="2224"/>
  <c r="E115" i="2224" s="1"/>
  <c r="D116" i="2224"/>
  <c r="E116" i="2224" s="1"/>
  <c r="D117" i="2224"/>
  <c r="E117" i="2224" s="1"/>
  <c r="D118" i="2224"/>
  <c r="E118" i="2224" s="1"/>
  <c r="D119" i="2224"/>
  <c r="E119" i="2224" s="1"/>
  <c r="D120" i="2224"/>
  <c r="E120" i="2224" s="1"/>
  <c r="D121" i="2224"/>
  <c r="E121" i="2224" s="1"/>
  <c r="D122" i="2224"/>
  <c r="E122" i="2224" s="1"/>
  <c r="D123" i="2224"/>
  <c r="E123" i="2224" s="1"/>
  <c r="D124" i="2224"/>
  <c r="E124" i="2224" s="1"/>
  <c r="D125" i="2224"/>
  <c r="E125" i="2224" s="1"/>
  <c r="D126" i="2224"/>
  <c r="E126" i="2224" s="1"/>
  <c r="D127" i="2224"/>
  <c r="E127" i="2224" s="1"/>
  <c r="D128" i="2224"/>
  <c r="E128" i="2224" s="1"/>
  <c r="D129" i="2224"/>
  <c r="E129" i="2224" s="1"/>
  <c r="D130" i="2224"/>
  <c r="E130" i="2224" s="1"/>
  <c r="D131" i="2224"/>
  <c r="E131" i="2224" s="1"/>
  <c r="D132" i="2224"/>
  <c r="E132" i="2224" s="1"/>
  <c r="D133" i="2224"/>
  <c r="E133" i="2224" s="1"/>
  <c r="D134" i="2224"/>
  <c r="E134" i="2224" s="1"/>
  <c r="D135" i="2224"/>
  <c r="E135" i="2224" s="1"/>
  <c r="D136" i="2224"/>
  <c r="E136" i="2224" s="1"/>
  <c r="D137" i="2224"/>
  <c r="E137" i="2224" s="1"/>
  <c r="D2" i="2223"/>
  <c r="E2" i="2223" s="1"/>
  <c r="D3" i="2223"/>
  <c r="E3" i="2223" s="1"/>
  <c r="D4" i="2223"/>
  <c r="E4" i="2223" s="1"/>
  <c r="D5" i="2223"/>
  <c r="E5" i="2223" s="1"/>
  <c r="D6" i="2223"/>
  <c r="E6" i="2223" s="1"/>
  <c r="D7" i="2223"/>
  <c r="E7" i="2223" s="1"/>
  <c r="D8" i="2223"/>
  <c r="E8" i="2223" s="1"/>
  <c r="D9" i="2223"/>
  <c r="E9" i="2223" s="1"/>
  <c r="D10" i="2223"/>
  <c r="E10" i="2223" s="1"/>
  <c r="D11" i="2223"/>
  <c r="E11" i="2223" s="1"/>
  <c r="D12" i="2223"/>
  <c r="E12" i="2223" s="1"/>
  <c r="D13" i="2223"/>
  <c r="E13" i="2223" s="1"/>
  <c r="D14" i="2223"/>
  <c r="E14" i="2223" s="1"/>
  <c r="D15" i="2223"/>
  <c r="E15" i="2223" s="1"/>
  <c r="D16" i="2223"/>
  <c r="E16" i="2223" s="1"/>
  <c r="D17" i="2223"/>
  <c r="E17" i="2223" s="1"/>
  <c r="D18" i="2223"/>
  <c r="E18" i="2223" s="1"/>
  <c r="D19" i="2223"/>
  <c r="E19" i="2223" s="1"/>
  <c r="D20" i="2223"/>
  <c r="E20" i="2223" s="1"/>
  <c r="D21" i="2223"/>
  <c r="E21" i="2223" s="1"/>
  <c r="D22" i="2223"/>
  <c r="E22" i="2223" s="1"/>
  <c r="D23" i="2223"/>
  <c r="E23" i="2223" s="1"/>
  <c r="D24" i="2223"/>
  <c r="E24" i="2223" s="1"/>
  <c r="D25" i="2223"/>
  <c r="E25" i="2223" s="1"/>
  <c r="D26" i="2223"/>
  <c r="E26" i="2223" s="1"/>
  <c r="D27" i="2223"/>
  <c r="E27" i="2223" s="1"/>
  <c r="D28" i="2223"/>
  <c r="E28" i="2223" s="1"/>
  <c r="D29" i="2223"/>
  <c r="E29" i="2223" s="1"/>
  <c r="D30" i="2223"/>
  <c r="E30" i="2223" s="1"/>
  <c r="D31" i="2223"/>
  <c r="E31" i="2223" s="1"/>
  <c r="D32" i="2223"/>
  <c r="E32" i="2223" s="1"/>
  <c r="D33" i="2223"/>
  <c r="E33" i="2223" s="1"/>
  <c r="D34" i="2223"/>
  <c r="E34" i="2223" s="1"/>
  <c r="D35" i="2223"/>
  <c r="E35" i="2223" s="1"/>
  <c r="D36" i="2223"/>
  <c r="E36" i="2223" s="1"/>
  <c r="D37" i="2223"/>
  <c r="E37" i="2223" s="1"/>
  <c r="D38" i="2223"/>
  <c r="E38" i="2223" s="1"/>
  <c r="D39" i="2223"/>
  <c r="E39" i="2223" s="1"/>
  <c r="D40" i="2223"/>
  <c r="E40" i="2223" s="1"/>
  <c r="D41" i="2223"/>
  <c r="E41" i="2223" s="1"/>
  <c r="D42" i="2223"/>
  <c r="E42" i="2223" s="1"/>
  <c r="D43" i="2223"/>
  <c r="E43" i="2223" s="1"/>
  <c r="D44" i="2223"/>
  <c r="E44" i="2223" s="1"/>
  <c r="D45" i="2223"/>
  <c r="E45" i="2223" s="1"/>
  <c r="D46" i="2223"/>
  <c r="E46" i="2223" s="1"/>
  <c r="D47" i="2223"/>
  <c r="E47" i="2223" s="1"/>
  <c r="D48" i="2223"/>
  <c r="E48" i="2223" s="1"/>
  <c r="D49" i="2223"/>
  <c r="E49" i="2223" s="1"/>
  <c r="D50" i="2223"/>
  <c r="E50" i="2223" s="1"/>
  <c r="D51" i="2223"/>
  <c r="E51" i="2223" s="1"/>
  <c r="D52" i="2223"/>
  <c r="E52" i="2223" s="1"/>
  <c r="D53" i="2223"/>
  <c r="E53" i="2223" s="1"/>
  <c r="D54" i="2223"/>
  <c r="E54" i="2223" s="1"/>
  <c r="D55" i="2223"/>
  <c r="E55" i="2223" s="1"/>
  <c r="D56" i="2223"/>
  <c r="E56" i="2223" s="1"/>
  <c r="D57" i="2223"/>
  <c r="E57" i="2223" s="1"/>
  <c r="D58" i="2223"/>
  <c r="E58" i="2223" s="1"/>
  <c r="D59" i="2223"/>
  <c r="E59" i="2223" s="1"/>
  <c r="D60" i="2223"/>
  <c r="E60" i="2223" s="1"/>
  <c r="D61" i="2223"/>
  <c r="E61" i="2223" s="1"/>
  <c r="D62" i="2223"/>
  <c r="E62" i="2223" s="1"/>
  <c r="D63" i="2223"/>
  <c r="E63" i="2223" s="1"/>
  <c r="D64" i="2223"/>
  <c r="E64" i="2223" s="1"/>
  <c r="D65" i="2223"/>
  <c r="E65" i="2223" s="1"/>
  <c r="D66" i="2223"/>
  <c r="E66" i="2223" s="1"/>
  <c r="D67" i="2223"/>
  <c r="E67" i="2223" s="1"/>
  <c r="D68" i="2223"/>
  <c r="E68" i="2223" s="1"/>
  <c r="D69" i="2223"/>
  <c r="E69" i="2223" s="1"/>
  <c r="D70" i="2223"/>
  <c r="E70" i="2223" s="1"/>
  <c r="D71" i="2223"/>
  <c r="E71" i="2223" s="1"/>
  <c r="D72" i="2223"/>
  <c r="E72" i="2223" s="1"/>
  <c r="D73" i="2223"/>
  <c r="E73" i="2223" s="1"/>
  <c r="D74" i="2223"/>
  <c r="E74" i="2223" s="1"/>
  <c r="D75" i="2223"/>
  <c r="E75" i="2223" s="1"/>
  <c r="D76" i="2223"/>
  <c r="E76" i="2223" s="1"/>
  <c r="D77" i="2223"/>
  <c r="E77" i="2223" s="1"/>
  <c r="D78" i="2223"/>
  <c r="E78" i="2223" s="1"/>
  <c r="D79" i="2223"/>
  <c r="E79" i="2223" s="1"/>
  <c r="D80" i="2223"/>
  <c r="E80" i="2223" s="1"/>
  <c r="D81" i="2223"/>
  <c r="E81" i="2223" s="1"/>
  <c r="D82" i="2223"/>
  <c r="E82" i="2223" s="1"/>
  <c r="D83" i="2223"/>
  <c r="E83" i="2223" s="1"/>
  <c r="D84" i="2223"/>
  <c r="E84" i="2223" s="1"/>
  <c r="D85" i="2223"/>
  <c r="E85" i="2223" s="1"/>
  <c r="D86" i="2223"/>
  <c r="E86" i="2223" s="1"/>
  <c r="D87" i="2223"/>
  <c r="E87" i="2223" s="1"/>
  <c r="D88" i="2223"/>
  <c r="E88" i="2223" s="1"/>
  <c r="D89" i="2223"/>
  <c r="E89" i="2223" s="1"/>
  <c r="D90" i="2223"/>
  <c r="E90" i="2223" s="1"/>
  <c r="D91" i="2223"/>
  <c r="E91" i="2223" s="1"/>
  <c r="D92" i="2223"/>
  <c r="E92" i="2223" s="1"/>
  <c r="D93" i="2223"/>
  <c r="E93" i="2223" s="1"/>
  <c r="D94" i="2223"/>
  <c r="E94" i="2223" s="1"/>
  <c r="D95" i="2223"/>
  <c r="E95" i="2223" s="1"/>
  <c r="D2" i="2222"/>
  <c r="E2" i="2222" s="1"/>
  <c r="D3" i="2222"/>
  <c r="E3" i="2222" s="1"/>
  <c r="D4" i="2222"/>
  <c r="E4" i="2222" s="1"/>
  <c r="D5" i="2222"/>
  <c r="E5" i="2222" s="1"/>
  <c r="D6" i="2222"/>
  <c r="E6" i="2222" s="1"/>
  <c r="D7" i="2222"/>
  <c r="E7" i="2222" s="1"/>
  <c r="D8" i="2222"/>
  <c r="E8" i="2222" s="1"/>
  <c r="D9" i="2222"/>
  <c r="E9" i="2222" s="1"/>
  <c r="D10" i="2222"/>
  <c r="E10" i="2222" s="1"/>
  <c r="D11" i="2222"/>
  <c r="E11" i="2222" s="1"/>
  <c r="D12" i="2222"/>
  <c r="E12" i="2222" s="1"/>
  <c r="D13" i="2222"/>
  <c r="E13" i="2222" s="1"/>
  <c r="D14" i="2222"/>
  <c r="E14" i="2222" s="1"/>
  <c r="D15" i="2222"/>
  <c r="E15" i="2222" s="1"/>
  <c r="D16" i="2222"/>
  <c r="E16" i="2222" s="1"/>
  <c r="D17" i="2222"/>
  <c r="E17" i="2222" s="1"/>
  <c r="D18" i="2222"/>
  <c r="E18" i="2222" s="1"/>
  <c r="D19" i="2222"/>
  <c r="E19" i="2222" s="1"/>
  <c r="D20" i="2222"/>
  <c r="E20" i="2222" s="1"/>
  <c r="D21" i="2222"/>
  <c r="E21" i="2222" s="1"/>
  <c r="D22" i="2222"/>
  <c r="E22" i="2222" s="1"/>
  <c r="D23" i="2222"/>
  <c r="E23" i="2222" s="1"/>
  <c r="D24" i="2222"/>
  <c r="E24" i="2222" s="1"/>
  <c r="D25" i="2222"/>
  <c r="E25" i="2222" s="1"/>
  <c r="D26" i="2222"/>
  <c r="E26" i="2222" s="1"/>
  <c r="D27" i="2222"/>
  <c r="E27" i="2222" s="1"/>
  <c r="D28" i="2222"/>
  <c r="E28" i="2222" s="1"/>
  <c r="D29" i="2222"/>
  <c r="E29" i="2222" s="1"/>
  <c r="D30" i="2222"/>
  <c r="E30" i="2222" s="1"/>
  <c r="D31" i="2222"/>
  <c r="E31" i="2222" s="1"/>
  <c r="D32" i="2222"/>
  <c r="E32" i="2222" s="1"/>
  <c r="D33" i="2222"/>
  <c r="E33" i="2222" s="1"/>
  <c r="D34" i="2222"/>
  <c r="E34" i="2222" s="1"/>
  <c r="D35" i="2222"/>
  <c r="E35" i="2222" s="1"/>
  <c r="D36" i="2222"/>
  <c r="E36" i="2222" s="1"/>
  <c r="D37" i="2222"/>
  <c r="E37" i="2222" s="1"/>
  <c r="D38" i="2222"/>
  <c r="E38" i="2222" s="1"/>
  <c r="D39" i="2222"/>
  <c r="E39" i="2222" s="1"/>
  <c r="D40" i="2222"/>
  <c r="E40" i="2222" s="1"/>
  <c r="D41" i="2222"/>
  <c r="E41" i="2222" s="1"/>
  <c r="D42" i="2222"/>
  <c r="E42" i="2222" s="1"/>
  <c r="D43" i="2222"/>
  <c r="E43" i="2222" s="1"/>
  <c r="D44" i="2222"/>
  <c r="E44" i="2222" s="1"/>
  <c r="D45" i="2222"/>
  <c r="E45" i="2222" s="1"/>
  <c r="D46" i="2222"/>
  <c r="E46" i="2222" s="1"/>
  <c r="D47" i="2222"/>
  <c r="E47" i="2222" s="1"/>
  <c r="D48" i="2222"/>
  <c r="E48" i="2222" s="1"/>
  <c r="D49" i="2222"/>
  <c r="E49" i="2222" s="1"/>
  <c r="D50" i="2222"/>
  <c r="E50" i="2222" s="1"/>
  <c r="D51" i="2222"/>
  <c r="E51" i="2222" s="1"/>
  <c r="D52" i="2222"/>
  <c r="E52" i="2222" s="1"/>
  <c r="D53" i="2222"/>
  <c r="E53" i="2222" s="1"/>
  <c r="D54" i="2222"/>
  <c r="E54" i="2222" s="1"/>
  <c r="D55" i="2222"/>
  <c r="E55" i="2222" s="1"/>
  <c r="D56" i="2222"/>
  <c r="E56" i="2222" s="1"/>
  <c r="D57" i="2222"/>
  <c r="E57" i="2222" s="1"/>
  <c r="D58" i="2222"/>
  <c r="E58" i="2222" s="1"/>
  <c r="D59" i="2222"/>
  <c r="E59" i="2222" s="1"/>
  <c r="D60" i="2222"/>
  <c r="E60" i="2222" s="1"/>
  <c r="D61" i="2222"/>
  <c r="E61" i="2222" s="1"/>
  <c r="D62" i="2222"/>
  <c r="E62" i="2222" s="1"/>
  <c r="D63" i="2222"/>
  <c r="E63" i="2222" s="1"/>
  <c r="D64" i="2222"/>
  <c r="E64" i="2222" s="1"/>
  <c r="D65" i="2222"/>
  <c r="E65" i="2222" s="1"/>
  <c r="D66" i="2222"/>
  <c r="E66" i="2222" s="1"/>
  <c r="D67" i="2222"/>
  <c r="E67" i="2222" s="1"/>
  <c r="D68" i="2222"/>
  <c r="E68" i="2222" s="1"/>
  <c r="D69" i="2222"/>
  <c r="E69" i="2222" s="1"/>
  <c r="D70" i="2222"/>
  <c r="E70" i="2222" s="1"/>
  <c r="D71" i="2222"/>
  <c r="E71" i="2222" s="1"/>
  <c r="D72" i="2222"/>
  <c r="E72" i="2222" s="1"/>
  <c r="D73" i="2222"/>
  <c r="E73" i="2222" s="1"/>
  <c r="D74" i="2222"/>
  <c r="E74" i="2222" s="1"/>
  <c r="D75" i="2222"/>
  <c r="E75" i="2222" s="1"/>
  <c r="D76" i="2222"/>
  <c r="E76" i="2222" s="1"/>
  <c r="D77" i="2222"/>
  <c r="E77" i="2222" s="1"/>
  <c r="D78" i="2222"/>
  <c r="E78" i="2222" s="1"/>
  <c r="D79" i="2222"/>
  <c r="E79" i="2222" s="1"/>
  <c r="D80" i="2222"/>
  <c r="E80" i="2222" s="1"/>
  <c r="D81" i="2222"/>
  <c r="E81" i="2222" s="1"/>
  <c r="D82" i="2222"/>
  <c r="E82" i="2222" s="1"/>
  <c r="D83" i="2222"/>
  <c r="E83" i="2222" s="1"/>
  <c r="D84" i="2222"/>
  <c r="E84" i="2222" s="1"/>
  <c r="D85" i="2222"/>
  <c r="E85" i="2222" s="1"/>
  <c r="D86" i="2222"/>
  <c r="E86" i="2222" s="1"/>
  <c r="D87" i="2222"/>
  <c r="E87" i="2222" s="1"/>
  <c r="D88" i="2222"/>
  <c r="E88" i="2222" s="1"/>
  <c r="D89" i="2222"/>
  <c r="E89" i="2222" s="1"/>
  <c r="D90" i="2222"/>
  <c r="E90" i="2222" s="1"/>
  <c r="D91" i="2222"/>
  <c r="E91" i="2222" s="1"/>
  <c r="D92" i="2222"/>
  <c r="E92" i="2222" s="1"/>
  <c r="D93" i="2222"/>
  <c r="E93" i="2222" s="1"/>
  <c r="D94" i="2222"/>
  <c r="E94" i="2222" s="1"/>
  <c r="D95" i="2222"/>
  <c r="E95" i="2222" s="1"/>
  <c r="D96" i="2222"/>
  <c r="E96" i="2222" s="1"/>
  <c r="D97" i="2222"/>
  <c r="E97" i="2222" s="1"/>
  <c r="D98" i="2222"/>
  <c r="E98" i="2222" s="1"/>
  <c r="D99" i="2222"/>
  <c r="E99" i="2222" s="1"/>
  <c r="D100" i="2222"/>
  <c r="E100" i="2222" s="1"/>
  <c r="D101" i="2222"/>
  <c r="E101" i="2222" s="1"/>
  <c r="D102" i="2222"/>
  <c r="E102" i="2222" s="1"/>
  <c r="D103" i="2222"/>
  <c r="E103" i="2222" s="1"/>
  <c r="D104" i="2222"/>
  <c r="E104" i="2222" s="1"/>
  <c r="D105" i="2222"/>
  <c r="E105" i="2222" s="1"/>
  <c r="D106" i="2222"/>
  <c r="E106" i="2222" s="1"/>
  <c r="D107" i="2222"/>
  <c r="E107" i="2222" s="1"/>
  <c r="D108" i="2222"/>
  <c r="E108" i="2222" s="1"/>
  <c r="D109" i="2222"/>
  <c r="E109" i="2222" s="1"/>
  <c r="D110" i="2222"/>
  <c r="E110" i="2222" s="1"/>
  <c r="D111" i="2222"/>
  <c r="E111" i="2222" s="1"/>
  <c r="D112" i="2222"/>
  <c r="E112" i="2222" s="1"/>
  <c r="D113" i="2222"/>
  <c r="E113" i="2222" s="1"/>
  <c r="D114" i="2222"/>
  <c r="E114" i="2222" s="1"/>
  <c r="D115" i="2222"/>
  <c r="E115" i="2222" s="1"/>
  <c r="D116" i="2222"/>
  <c r="E116" i="2222" s="1"/>
  <c r="D117" i="2222"/>
  <c r="E117" i="2222" s="1"/>
  <c r="D118" i="2222"/>
  <c r="E118" i="2222" s="1"/>
  <c r="D119" i="2222"/>
  <c r="E119" i="2222" s="1"/>
  <c r="D120" i="2222"/>
  <c r="E120" i="2222" s="1"/>
  <c r="D121" i="2222"/>
  <c r="E121" i="2222" s="1"/>
  <c r="D122" i="2222"/>
  <c r="E122" i="2222" s="1"/>
  <c r="D123" i="2222"/>
  <c r="E123" i="2222" s="1"/>
  <c r="D124" i="2222"/>
  <c r="E124" i="2222" s="1"/>
  <c r="D125" i="2222"/>
  <c r="E125" i="2222" s="1"/>
  <c r="D126" i="2222"/>
  <c r="E126" i="2222" s="1"/>
  <c r="D127" i="2222"/>
  <c r="E127" i="2222" s="1"/>
  <c r="D128" i="2222"/>
  <c r="E128" i="2222" s="1"/>
  <c r="D129" i="2222"/>
  <c r="E129" i="2222" s="1"/>
  <c r="D130" i="2222"/>
  <c r="E130" i="2222" s="1"/>
  <c r="D131" i="2222"/>
  <c r="E131" i="2222" s="1"/>
  <c r="D132" i="2222"/>
  <c r="E132" i="2222" s="1"/>
  <c r="D133" i="2222"/>
  <c r="E133" i="2222" s="1"/>
  <c r="D134" i="2222"/>
  <c r="E134" i="2222" s="1"/>
  <c r="D135" i="2222"/>
  <c r="E135" i="2222" s="1"/>
  <c r="D136" i="2222"/>
  <c r="E136" i="2222" s="1"/>
  <c r="D137" i="2222"/>
  <c r="E137" i="2222" s="1"/>
  <c r="D138" i="2222"/>
  <c r="E138" i="2222" s="1"/>
  <c r="D139" i="2222"/>
  <c r="E139" i="2222" s="1"/>
  <c r="D140" i="2222"/>
  <c r="E140" i="2222" s="1"/>
  <c r="D141" i="2222"/>
  <c r="E141" i="2222" s="1"/>
  <c r="D142" i="2222"/>
  <c r="E142" i="2222" s="1"/>
  <c r="D2" i="2221"/>
  <c r="E2" i="2221" s="1"/>
  <c r="D3" i="2221"/>
  <c r="E3" i="2221" s="1"/>
  <c r="D4" i="2221"/>
  <c r="E4" i="2221" s="1"/>
  <c r="D5" i="2221"/>
  <c r="E5" i="2221" s="1"/>
  <c r="D6" i="2221"/>
  <c r="E6" i="2221" s="1"/>
  <c r="D7" i="2221"/>
  <c r="E7" i="2221" s="1"/>
  <c r="D8" i="2221"/>
  <c r="E8" i="2221" s="1"/>
  <c r="D9" i="2221"/>
  <c r="E9" i="2221" s="1"/>
  <c r="D10" i="2221"/>
  <c r="E10" i="2221" s="1"/>
  <c r="D11" i="2221"/>
  <c r="E11" i="2221" s="1"/>
  <c r="D12" i="2221"/>
  <c r="E12" i="2221" s="1"/>
  <c r="D13" i="2221"/>
  <c r="E13" i="2221" s="1"/>
  <c r="D14" i="2221"/>
  <c r="E14" i="2221" s="1"/>
  <c r="D15" i="2221"/>
  <c r="E15" i="2221" s="1"/>
  <c r="D16" i="2221"/>
  <c r="E16" i="2221" s="1"/>
  <c r="D17" i="2221"/>
  <c r="E17" i="2221" s="1"/>
  <c r="D18" i="2221"/>
  <c r="E18" i="2221" s="1"/>
  <c r="D19" i="2221"/>
  <c r="E19" i="2221" s="1"/>
  <c r="D20" i="2221"/>
  <c r="E20" i="2221" s="1"/>
  <c r="D21" i="2221"/>
  <c r="E21" i="2221" s="1"/>
  <c r="D22" i="2221"/>
  <c r="E22" i="2221" s="1"/>
  <c r="D23" i="2221"/>
  <c r="E23" i="2221" s="1"/>
  <c r="D24" i="2221"/>
  <c r="E24" i="2221" s="1"/>
  <c r="D25" i="2221"/>
  <c r="E25" i="2221" s="1"/>
  <c r="D26" i="2221"/>
  <c r="E26" i="2221" s="1"/>
  <c r="D27" i="2221"/>
  <c r="E27" i="2221" s="1"/>
  <c r="D28" i="2221"/>
  <c r="E28" i="2221" s="1"/>
  <c r="D29" i="2221"/>
  <c r="E29" i="2221" s="1"/>
  <c r="D30" i="2221"/>
  <c r="E30" i="2221" s="1"/>
  <c r="D31" i="2221"/>
  <c r="E31" i="2221" s="1"/>
  <c r="D32" i="2221"/>
  <c r="E32" i="2221" s="1"/>
  <c r="D33" i="2221"/>
  <c r="E33" i="2221" s="1"/>
  <c r="D34" i="2221"/>
  <c r="E34" i="2221" s="1"/>
  <c r="D35" i="2221"/>
  <c r="E35" i="2221" s="1"/>
  <c r="D36" i="2221"/>
  <c r="E36" i="2221" s="1"/>
  <c r="D37" i="2221"/>
  <c r="E37" i="2221" s="1"/>
  <c r="D38" i="2221"/>
  <c r="E38" i="2221" s="1"/>
  <c r="D39" i="2221"/>
  <c r="E39" i="2221" s="1"/>
  <c r="D40" i="2221"/>
  <c r="E40" i="2221" s="1"/>
  <c r="D41" i="2221"/>
  <c r="E41" i="2221" s="1"/>
  <c r="D42" i="2221"/>
  <c r="E42" i="2221" s="1"/>
  <c r="D43" i="2221"/>
  <c r="E43" i="2221" s="1"/>
  <c r="D44" i="2221"/>
  <c r="E44" i="2221" s="1"/>
  <c r="D45" i="2221"/>
  <c r="E45" i="2221" s="1"/>
  <c r="D46" i="2221"/>
  <c r="E46" i="2221" s="1"/>
  <c r="D47" i="2221"/>
  <c r="E47" i="2221" s="1"/>
  <c r="D48" i="2221"/>
  <c r="E48" i="2221" s="1"/>
  <c r="D49" i="2221"/>
  <c r="E49" i="2221" s="1"/>
  <c r="D50" i="2221"/>
  <c r="E50" i="2221" s="1"/>
  <c r="D51" i="2221"/>
  <c r="E51" i="2221" s="1"/>
  <c r="D52" i="2221"/>
  <c r="E52" i="2221" s="1"/>
  <c r="D53" i="2221"/>
  <c r="E53" i="2221" s="1"/>
  <c r="D54" i="2221"/>
  <c r="E54" i="2221" s="1"/>
  <c r="D55" i="2221"/>
  <c r="E55" i="2221" s="1"/>
  <c r="D56" i="2221"/>
  <c r="E56" i="2221" s="1"/>
  <c r="D57" i="2221"/>
  <c r="E57" i="2221" s="1"/>
  <c r="D58" i="2221"/>
  <c r="E58" i="2221" s="1"/>
  <c r="D59" i="2221"/>
  <c r="E59" i="2221" s="1"/>
  <c r="D60" i="2221"/>
  <c r="E60" i="2221" s="1"/>
  <c r="D61" i="2221"/>
  <c r="E61" i="2221" s="1"/>
  <c r="D62" i="2221"/>
  <c r="E62" i="2221" s="1"/>
  <c r="D63" i="2221"/>
  <c r="E63" i="2221" s="1"/>
  <c r="D64" i="2221"/>
  <c r="E64" i="2221" s="1"/>
  <c r="D65" i="2221"/>
  <c r="E65" i="2221" s="1"/>
  <c r="D66" i="2221"/>
  <c r="E66" i="2221" s="1"/>
  <c r="D67" i="2221"/>
  <c r="E67" i="2221" s="1"/>
  <c r="D68" i="2221"/>
  <c r="E68" i="2221" s="1"/>
  <c r="D69" i="2221"/>
  <c r="E69" i="2221" s="1"/>
  <c r="D70" i="2221"/>
  <c r="E70" i="2221" s="1"/>
  <c r="D71" i="2221"/>
  <c r="E71" i="2221" s="1"/>
  <c r="D72" i="2221"/>
  <c r="E72" i="2221" s="1"/>
  <c r="D73" i="2221"/>
  <c r="E73" i="2221" s="1"/>
  <c r="D74" i="2221"/>
  <c r="E74" i="2221" s="1"/>
  <c r="D75" i="2221"/>
  <c r="E75" i="2221" s="1"/>
  <c r="D76" i="2221"/>
  <c r="E76" i="2221" s="1"/>
  <c r="D77" i="2221"/>
  <c r="E77" i="2221" s="1"/>
  <c r="D78" i="2221"/>
  <c r="E78" i="2221" s="1"/>
  <c r="D79" i="2221"/>
  <c r="E79" i="2221" s="1"/>
  <c r="D80" i="2221"/>
  <c r="E80" i="2221" s="1"/>
  <c r="D81" i="2221"/>
  <c r="E81" i="2221" s="1"/>
  <c r="D82" i="2221"/>
  <c r="E82" i="2221" s="1"/>
  <c r="D83" i="2221"/>
  <c r="E83" i="2221" s="1"/>
  <c r="D84" i="2221"/>
  <c r="E84" i="2221" s="1"/>
  <c r="D85" i="2221"/>
  <c r="E85" i="2221" s="1"/>
  <c r="D86" i="2221"/>
  <c r="E86" i="2221" s="1"/>
  <c r="D87" i="2221"/>
  <c r="E87" i="2221" s="1"/>
  <c r="D88" i="2221"/>
  <c r="E88" i="2221" s="1"/>
  <c r="D89" i="2221"/>
  <c r="E89" i="2221" s="1"/>
  <c r="D90" i="2221"/>
  <c r="E90" i="2221" s="1"/>
  <c r="D91" i="2221"/>
  <c r="E91" i="2221" s="1"/>
  <c r="D92" i="2221"/>
  <c r="E92" i="2221" s="1"/>
  <c r="D93" i="2221"/>
  <c r="E93" i="2221" s="1"/>
  <c r="D94" i="2221"/>
  <c r="E94" i="2221" s="1"/>
  <c r="D95" i="2221"/>
  <c r="E95" i="2221" s="1"/>
  <c r="D96" i="2221"/>
  <c r="E96" i="2221" s="1"/>
  <c r="D97" i="2221"/>
  <c r="E97" i="2221" s="1"/>
  <c r="D98" i="2221"/>
  <c r="E98" i="2221" s="1"/>
  <c r="D99" i="2221"/>
  <c r="E99" i="2221" s="1"/>
  <c r="D100" i="2221"/>
  <c r="E100" i="2221" s="1"/>
  <c r="D101" i="2221"/>
  <c r="E101" i="2221" s="1"/>
  <c r="D102" i="2221"/>
  <c r="E102" i="2221" s="1"/>
  <c r="D103" i="2221"/>
  <c r="E103" i="2221" s="1"/>
  <c r="D104" i="2221"/>
  <c r="E104" i="2221" s="1"/>
  <c r="D105" i="2221"/>
  <c r="E105" i="2221" s="1"/>
  <c r="D106" i="2221"/>
  <c r="E106" i="2221" s="1"/>
  <c r="D107" i="2221"/>
  <c r="E107" i="2221" s="1"/>
  <c r="D108" i="2221"/>
  <c r="E108" i="2221" s="1"/>
  <c r="D109" i="2221"/>
  <c r="E109" i="2221" s="1"/>
  <c r="D110" i="2221"/>
  <c r="E110" i="2221" s="1"/>
  <c r="D111" i="2221"/>
  <c r="E111" i="2221" s="1"/>
  <c r="D112" i="2221"/>
  <c r="E112" i="2221" s="1"/>
  <c r="D113" i="2221"/>
  <c r="E113" i="2221" s="1"/>
  <c r="D114" i="2221"/>
  <c r="E114" i="2221" s="1"/>
  <c r="D115" i="2221"/>
  <c r="E115" i="2221" s="1"/>
  <c r="D116" i="2221"/>
  <c r="E116" i="2221" s="1"/>
  <c r="D117" i="2221"/>
  <c r="E117" i="2221" s="1"/>
  <c r="D118" i="2221"/>
  <c r="E118" i="2221" s="1"/>
  <c r="D119" i="2221"/>
  <c r="E119" i="2221" s="1"/>
  <c r="D120" i="2221"/>
  <c r="E120" i="2221" s="1"/>
  <c r="D121" i="2221"/>
  <c r="E121" i="2221" s="1"/>
  <c r="D122" i="2221"/>
  <c r="E122" i="2221" s="1"/>
  <c r="D123" i="2221"/>
  <c r="E123" i="2221" s="1"/>
  <c r="D124" i="2221"/>
  <c r="E124" i="2221" s="1"/>
  <c r="D125" i="2221"/>
  <c r="E125" i="2221" s="1"/>
  <c r="D126" i="2221"/>
  <c r="E126" i="2221" s="1"/>
  <c r="D127" i="2221"/>
  <c r="E127" i="2221" s="1"/>
  <c r="D128" i="2221"/>
  <c r="E128" i="2221" s="1"/>
  <c r="D129" i="2221"/>
  <c r="E129" i="2221" s="1"/>
  <c r="D130" i="2221"/>
  <c r="E130" i="2221" s="1"/>
  <c r="D131" i="2221"/>
  <c r="E131" i="2221" s="1"/>
  <c r="D132" i="2221"/>
  <c r="E132" i="2221" s="1"/>
  <c r="D133" i="2221"/>
  <c r="E133" i="2221" s="1"/>
  <c r="D134" i="2221"/>
  <c r="E134" i="2221" s="1"/>
  <c r="D2" i="2220"/>
  <c r="E2" i="2220" s="1"/>
  <c r="D3" i="2220"/>
  <c r="E3" i="2220" s="1"/>
  <c r="D4" i="2220"/>
  <c r="E4" i="2220" s="1"/>
  <c r="D5" i="2220"/>
  <c r="E5" i="2220" s="1"/>
  <c r="D6" i="2220"/>
  <c r="E6" i="2220" s="1"/>
  <c r="D7" i="2220"/>
  <c r="E7" i="2220" s="1"/>
  <c r="D8" i="2220"/>
  <c r="E8" i="2220" s="1"/>
  <c r="D9" i="2220"/>
  <c r="E9" i="2220" s="1"/>
  <c r="D10" i="2220"/>
  <c r="E10" i="2220" s="1"/>
  <c r="D11" i="2220"/>
  <c r="E11" i="2220" s="1"/>
  <c r="D12" i="2220"/>
  <c r="E12" i="2220" s="1"/>
  <c r="D13" i="2220"/>
  <c r="E13" i="2220" s="1"/>
  <c r="D14" i="2220"/>
  <c r="E14" i="2220" s="1"/>
  <c r="D15" i="2220"/>
  <c r="E15" i="2220" s="1"/>
  <c r="D16" i="2220"/>
  <c r="E16" i="2220" s="1"/>
  <c r="D17" i="2220"/>
  <c r="E17" i="2220" s="1"/>
  <c r="D18" i="2220"/>
  <c r="E18" i="2220" s="1"/>
  <c r="D19" i="2220"/>
  <c r="E19" i="2220" s="1"/>
  <c r="D20" i="2220"/>
  <c r="E20" i="2220" s="1"/>
  <c r="D21" i="2220"/>
  <c r="E21" i="2220" s="1"/>
  <c r="D22" i="2220"/>
  <c r="E22" i="2220" s="1"/>
  <c r="D23" i="2220"/>
  <c r="E23" i="2220" s="1"/>
  <c r="D24" i="2220"/>
  <c r="E24" i="2220" s="1"/>
  <c r="D25" i="2220"/>
  <c r="E25" i="2220" s="1"/>
  <c r="D26" i="2220"/>
  <c r="E26" i="2220" s="1"/>
  <c r="D27" i="2220"/>
  <c r="E27" i="2220" s="1"/>
  <c r="D28" i="2220"/>
  <c r="E28" i="2220" s="1"/>
  <c r="D29" i="2220"/>
  <c r="E29" i="2220" s="1"/>
  <c r="D30" i="2220"/>
  <c r="E30" i="2220" s="1"/>
  <c r="D31" i="2220"/>
  <c r="E31" i="2220" s="1"/>
  <c r="D32" i="2220"/>
  <c r="E32" i="2220" s="1"/>
  <c r="D33" i="2220"/>
  <c r="E33" i="2220" s="1"/>
  <c r="D34" i="2220"/>
  <c r="E34" i="2220" s="1"/>
  <c r="D35" i="2220"/>
  <c r="E35" i="2220" s="1"/>
  <c r="D36" i="2220"/>
  <c r="E36" i="2220" s="1"/>
  <c r="D37" i="2220"/>
  <c r="E37" i="2220" s="1"/>
  <c r="D38" i="2220"/>
  <c r="E38" i="2220" s="1"/>
  <c r="D39" i="2220"/>
  <c r="E39" i="2220" s="1"/>
  <c r="D40" i="2220"/>
  <c r="E40" i="2220" s="1"/>
  <c r="D41" i="2220"/>
  <c r="E41" i="2220" s="1"/>
  <c r="D42" i="2220"/>
  <c r="E42" i="2220" s="1"/>
  <c r="D43" i="2220"/>
  <c r="E43" i="2220" s="1"/>
  <c r="D44" i="2220"/>
  <c r="E44" i="2220" s="1"/>
  <c r="D45" i="2220"/>
  <c r="E45" i="2220" s="1"/>
  <c r="D46" i="2220"/>
  <c r="E46" i="2220" s="1"/>
  <c r="D47" i="2220"/>
  <c r="E47" i="2220" s="1"/>
  <c r="D48" i="2220"/>
  <c r="E48" i="2220" s="1"/>
  <c r="D49" i="2220"/>
  <c r="E49" i="2220" s="1"/>
  <c r="D50" i="2220"/>
  <c r="E50" i="2220" s="1"/>
  <c r="D51" i="2220"/>
  <c r="E51" i="2220" s="1"/>
  <c r="D52" i="2220"/>
  <c r="E52" i="2220" s="1"/>
  <c r="D53" i="2220"/>
  <c r="E53" i="2220" s="1"/>
  <c r="D54" i="2220"/>
  <c r="E54" i="2220" s="1"/>
  <c r="D55" i="2220"/>
  <c r="E55" i="2220" s="1"/>
  <c r="D56" i="2220"/>
  <c r="E56" i="2220" s="1"/>
  <c r="D57" i="2220"/>
  <c r="E57" i="2220" s="1"/>
  <c r="D58" i="2220"/>
  <c r="E58" i="2220" s="1"/>
  <c r="D59" i="2220"/>
  <c r="E59" i="2220" s="1"/>
  <c r="D60" i="2220"/>
  <c r="E60" i="2220" s="1"/>
  <c r="D61" i="2220"/>
  <c r="E61" i="2220" s="1"/>
  <c r="D62" i="2220"/>
  <c r="E62" i="2220" s="1"/>
  <c r="D63" i="2220"/>
  <c r="E63" i="2220" s="1"/>
  <c r="D64" i="2220"/>
  <c r="E64" i="2220" s="1"/>
  <c r="D65" i="2220"/>
  <c r="E65" i="2220" s="1"/>
  <c r="D66" i="2220"/>
  <c r="E66" i="2220" s="1"/>
  <c r="D67" i="2220"/>
  <c r="E67" i="2220" s="1"/>
  <c r="D68" i="2220"/>
  <c r="E68" i="2220" s="1"/>
  <c r="D69" i="2220"/>
  <c r="E69" i="2220" s="1"/>
  <c r="D70" i="2220"/>
  <c r="E70" i="2220" s="1"/>
  <c r="D71" i="2220"/>
  <c r="E71" i="2220" s="1"/>
  <c r="D72" i="2220"/>
  <c r="E72" i="2220" s="1"/>
  <c r="D73" i="2220"/>
  <c r="E73" i="2220" s="1"/>
  <c r="D74" i="2220"/>
  <c r="E74" i="2220" s="1"/>
  <c r="D75" i="2220"/>
  <c r="E75" i="2220" s="1"/>
  <c r="D76" i="2220"/>
  <c r="E76" i="2220" s="1"/>
  <c r="D77" i="2220"/>
  <c r="E77" i="2220" s="1"/>
  <c r="D78" i="2220"/>
  <c r="E78" i="2220" s="1"/>
  <c r="D79" i="2220"/>
  <c r="E79" i="2220" s="1"/>
  <c r="D80" i="2220"/>
  <c r="E80" i="2220" s="1"/>
  <c r="D81" i="2220"/>
  <c r="E81" i="2220" s="1"/>
  <c r="D82" i="2220"/>
  <c r="E82" i="2220" s="1"/>
  <c r="D83" i="2220"/>
  <c r="E83" i="2220" s="1"/>
  <c r="D84" i="2220"/>
  <c r="E84" i="2220" s="1"/>
  <c r="D85" i="2220"/>
  <c r="E85" i="2220" s="1"/>
  <c r="D86" i="2220"/>
  <c r="E86" i="2220" s="1"/>
  <c r="D87" i="2220"/>
  <c r="E87" i="2220" s="1"/>
  <c r="D88" i="2220"/>
  <c r="E88" i="2220" s="1"/>
  <c r="D89" i="2220"/>
  <c r="E89" i="2220" s="1"/>
  <c r="D90" i="2220"/>
  <c r="E90" i="2220" s="1"/>
  <c r="D91" i="2220"/>
  <c r="E91" i="2220" s="1"/>
  <c r="D92" i="2220"/>
  <c r="E92" i="2220" s="1"/>
  <c r="D93" i="2220"/>
  <c r="E93" i="2220" s="1"/>
  <c r="D94" i="2220"/>
  <c r="E94" i="2220" s="1"/>
  <c r="D95" i="2220"/>
  <c r="E95" i="2220" s="1"/>
  <c r="D96" i="2220"/>
  <c r="E96" i="2220" s="1"/>
  <c r="D97" i="2220"/>
  <c r="E97" i="2220" s="1"/>
  <c r="D98" i="2220"/>
  <c r="E98" i="2220" s="1"/>
  <c r="D99" i="2220"/>
  <c r="E99" i="2220" s="1"/>
  <c r="D100" i="2220"/>
  <c r="E100" i="2220" s="1"/>
  <c r="D101" i="2220"/>
  <c r="E101" i="2220" s="1"/>
  <c r="D102" i="2220"/>
  <c r="E102" i="2220" s="1"/>
  <c r="D103" i="2220"/>
  <c r="E103" i="2220" s="1"/>
  <c r="D104" i="2220"/>
  <c r="E104" i="2220" s="1"/>
  <c r="D105" i="2220"/>
  <c r="E105" i="2220" s="1"/>
  <c r="D106" i="2220"/>
  <c r="E106" i="2220" s="1"/>
  <c r="D107" i="2220"/>
  <c r="E107" i="2220" s="1"/>
  <c r="D108" i="2220"/>
  <c r="E108" i="2220" s="1"/>
  <c r="D109" i="2220"/>
  <c r="E109" i="2220" s="1"/>
  <c r="D110" i="2220"/>
  <c r="E110" i="2220" s="1"/>
  <c r="D111" i="2220"/>
  <c r="E111" i="2220" s="1"/>
  <c r="D112" i="2220"/>
  <c r="E112" i="2220" s="1"/>
  <c r="D113" i="2220"/>
  <c r="E113" i="2220" s="1"/>
  <c r="D114" i="2220"/>
  <c r="E114" i="2220" s="1"/>
  <c r="D115" i="2220"/>
  <c r="E115" i="2220" s="1"/>
  <c r="D116" i="2220"/>
  <c r="E116" i="2220" s="1"/>
  <c r="D117" i="2220"/>
  <c r="E117" i="2220" s="1"/>
  <c r="D118" i="2220"/>
  <c r="E118" i="2220" s="1"/>
  <c r="D119" i="2220"/>
  <c r="E119" i="2220" s="1"/>
  <c r="D120" i="2220"/>
  <c r="E120" i="2220" s="1"/>
  <c r="D121" i="2220"/>
  <c r="E121" i="2220" s="1"/>
  <c r="D122" i="2220"/>
  <c r="E122" i="2220" s="1"/>
  <c r="D123" i="2220"/>
  <c r="E123" i="2220" s="1"/>
  <c r="D124" i="2220"/>
  <c r="E124" i="2220" s="1"/>
  <c r="D125" i="2220"/>
  <c r="E125" i="2220" s="1"/>
  <c r="D126" i="2220"/>
  <c r="E126" i="2220" s="1"/>
  <c r="D127" i="2220"/>
  <c r="E127" i="2220" s="1"/>
  <c r="D128" i="2220"/>
  <c r="E128" i="2220" s="1"/>
  <c r="D129" i="2220"/>
  <c r="E129" i="2220" s="1"/>
  <c r="D130" i="2220"/>
  <c r="E130" i="2220" s="1"/>
  <c r="D131" i="2220"/>
  <c r="E131" i="2220" s="1"/>
  <c r="D132" i="2220"/>
  <c r="E132" i="2220" s="1"/>
  <c r="D133" i="2220"/>
  <c r="E133" i="2220" s="1"/>
  <c r="D134" i="2220"/>
  <c r="E134" i="2220" s="1"/>
  <c r="D135" i="2220"/>
  <c r="E135" i="2220" s="1"/>
  <c r="D136" i="2220"/>
  <c r="E136" i="2220" s="1"/>
  <c r="D137" i="2220"/>
  <c r="E137" i="2220" s="1"/>
  <c r="D138" i="2220"/>
  <c r="E138" i="2220" s="1"/>
  <c r="D139" i="2220"/>
  <c r="E139" i="2220" s="1"/>
  <c r="D140" i="2220"/>
  <c r="E140" i="2220" s="1"/>
  <c r="D141" i="2220"/>
  <c r="E141" i="2220" s="1"/>
  <c r="D142" i="2220"/>
  <c r="E142" i="2220" s="1"/>
  <c r="D143" i="2220"/>
  <c r="E143" i="2220" s="1"/>
  <c r="D144" i="2220"/>
  <c r="E144" i="2220" s="1"/>
  <c r="D145" i="2220"/>
  <c r="E145" i="2220" s="1"/>
  <c r="D146" i="2220"/>
  <c r="E146" i="2220" s="1"/>
  <c r="D147" i="2220"/>
  <c r="E147" i="2220" s="1"/>
  <c r="D148" i="2220"/>
  <c r="E148" i="2220" s="1"/>
  <c r="D149" i="2220"/>
  <c r="E149" i="2220" s="1"/>
  <c r="D150" i="2220"/>
  <c r="E150" i="2220" s="1"/>
  <c r="D151" i="2220"/>
  <c r="E151" i="2220" s="1"/>
  <c r="D152" i="2220"/>
  <c r="E152" i="2220" s="1"/>
  <c r="D153" i="2220"/>
  <c r="E153" i="2220" s="1"/>
  <c r="D154" i="2220"/>
  <c r="E154" i="2220" s="1"/>
  <c r="D155" i="2220"/>
  <c r="E155" i="2220" s="1"/>
  <c r="D2" i="2219"/>
  <c r="E2" i="2219" s="1"/>
  <c r="D3" i="2219"/>
  <c r="E3" i="2219" s="1"/>
  <c r="D4" i="2219"/>
  <c r="E4" i="2219" s="1"/>
  <c r="D5" i="2219"/>
  <c r="E5" i="2219" s="1"/>
  <c r="D6" i="2219"/>
  <c r="E6" i="2219" s="1"/>
  <c r="D7" i="2219"/>
  <c r="E7" i="2219" s="1"/>
  <c r="D8" i="2219"/>
  <c r="E8" i="2219" s="1"/>
  <c r="D9" i="2219"/>
  <c r="E9" i="2219" s="1"/>
  <c r="D10" i="2219"/>
  <c r="E10" i="2219" s="1"/>
  <c r="D11" i="2219"/>
  <c r="E11" i="2219" s="1"/>
  <c r="D12" i="2219"/>
  <c r="E12" i="2219" s="1"/>
  <c r="D13" i="2219"/>
  <c r="E13" i="2219" s="1"/>
  <c r="D14" i="2219"/>
  <c r="E14" i="2219" s="1"/>
  <c r="D15" i="2219"/>
  <c r="E15" i="2219" s="1"/>
  <c r="D16" i="2219"/>
  <c r="E16" i="2219" s="1"/>
  <c r="D17" i="2219"/>
  <c r="E17" i="2219" s="1"/>
  <c r="D18" i="2219"/>
  <c r="E18" i="2219" s="1"/>
  <c r="D19" i="2219"/>
  <c r="E19" i="2219" s="1"/>
  <c r="D20" i="2219"/>
  <c r="E20" i="2219" s="1"/>
  <c r="D21" i="2219"/>
  <c r="E21" i="2219" s="1"/>
  <c r="D22" i="2219"/>
  <c r="E22" i="2219" s="1"/>
  <c r="D23" i="2219"/>
  <c r="E23" i="2219" s="1"/>
  <c r="D24" i="2219"/>
  <c r="E24" i="2219" s="1"/>
  <c r="D25" i="2219"/>
  <c r="E25" i="2219" s="1"/>
  <c r="D26" i="2219"/>
  <c r="E26" i="2219" s="1"/>
  <c r="D27" i="2219"/>
  <c r="E27" i="2219" s="1"/>
  <c r="D28" i="2219"/>
  <c r="E28" i="2219" s="1"/>
  <c r="D29" i="2219"/>
  <c r="E29" i="2219" s="1"/>
  <c r="D30" i="2219"/>
  <c r="E30" i="2219" s="1"/>
  <c r="D31" i="2219"/>
  <c r="E31" i="2219" s="1"/>
  <c r="D32" i="2219"/>
  <c r="E32" i="2219" s="1"/>
  <c r="D33" i="2219"/>
  <c r="E33" i="2219" s="1"/>
  <c r="D34" i="2219"/>
  <c r="E34" i="2219" s="1"/>
  <c r="D35" i="2219"/>
  <c r="E35" i="2219" s="1"/>
  <c r="D36" i="2219"/>
  <c r="E36" i="2219" s="1"/>
  <c r="D37" i="2219"/>
  <c r="E37" i="2219" s="1"/>
  <c r="D38" i="2219"/>
  <c r="E38" i="2219" s="1"/>
  <c r="D39" i="2219"/>
  <c r="E39" i="2219" s="1"/>
  <c r="D40" i="2219"/>
  <c r="E40" i="2219" s="1"/>
  <c r="D41" i="2219"/>
  <c r="E41" i="2219" s="1"/>
  <c r="D42" i="2219"/>
  <c r="E42" i="2219" s="1"/>
  <c r="D43" i="2219"/>
  <c r="E43" i="2219" s="1"/>
  <c r="D44" i="2219"/>
  <c r="E44" i="2219" s="1"/>
  <c r="D45" i="2219"/>
  <c r="E45" i="2219" s="1"/>
  <c r="D46" i="2219"/>
  <c r="E46" i="2219" s="1"/>
  <c r="D47" i="2219"/>
  <c r="E47" i="2219" s="1"/>
  <c r="D48" i="2219"/>
  <c r="E48" i="2219" s="1"/>
  <c r="D49" i="2219"/>
  <c r="E49" i="2219" s="1"/>
  <c r="D50" i="2219"/>
  <c r="E50" i="2219" s="1"/>
  <c r="D51" i="2219"/>
  <c r="E51" i="2219" s="1"/>
  <c r="D52" i="2219"/>
  <c r="E52" i="2219" s="1"/>
  <c r="D53" i="2219"/>
  <c r="E53" i="2219" s="1"/>
  <c r="D54" i="2219"/>
  <c r="E54" i="2219" s="1"/>
  <c r="D55" i="2219"/>
  <c r="E55" i="2219" s="1"/>
  <c r="D56" i="2219"/>
  <c r="E56" i="2219" s="1"/>
  <c r="D57" i="2219"/>
  <c r="E57" i="2219" s="1"/>
  <c r="D58" i="2219"/>
  <c r="E58" i="2219" s="1"/>
  <c r="D59" i="2219"/>
  <c r="E59" i="2219" s="1"/>
  <c r="D60" i="2219"/>
  <c r="E60" i="2219" s="1"/>
  <c r="D61" i="2219"/>
  <c r="E61" i="2219" s="1"/>
  <c r="D62" i="2219"/>
  <c r="E62" i="2219" s="1"/>
  <c r="D63" i="2219"/>
  <c r="E63" i="2219" s="1"/>
  <c r="D64" i="2219"/>
  <c r="E64" i="2219" s="1"/>
  <c r="D65" i="2219"/>
  <c r="E65" i="2219" s="1"/>
  <c r="D66" i="2219"/>
  <c r="E66" i="2219" s="1"/>
  <c r="D67" i="2219"/>
  <c r="E67" i="2219" s="1"/>
  <c r="D68" i="2219"/>
  <c r="E68" i="2219" s="1"/>
  <c r="D69" i="2219"/>
  <c r="E69" i="2219" s="1"/>
  <c r="D70" i="2219"/>
  <c r="E70" i="2219" s="1"/>
  <c r="D71" i="2219"/>
  <c r="E71" i="2219" s="1"/>
  <c r="D72" i="2219"/>
  <c r="E72" i="2219" s="1"/>
  <c r="D73" i="2219"/>
  <c r="E73" i="2219" s="1"/>
  <c r="D74" i="2219"/>
  <c r="E74" i="2219" s="1"/>
  <c r="D75" i="2219"/>
  <c r="E75" i="2219" s="1"/>
  <c r="D76" i="2219"/>
  <c r="E76" i="2219" s="1"/>
  <c r="D77" i="2219"/>
  <c r="E77" i="2219" s="1"/>
  <c r="D78" i="2219"/>
  <c r="E78" i="2219" s="1"/>
  <c r="D79" i="2219"/>
  <c r="E79" i="2219" s="1"/>
  <c r="D80" i="2219"/>
  <c r="E80" i="2219" s="1"/>
  <c r="D81" i="2219"/>
  <c r="E81" i="2219" s="1"/>
  <c r="D82" i="2219"/>
  <c r="E82" i="2219" s="1"/>
  <c r="D83" i="2219"/>
  <c r="E83" i="2219" s="1"/>
  <c r="D84" i="2219"/>
  <c r="E84" i="2219" s="1"/>
  <c r="D85" i="2219"/>
  <c r="E85" i="2219" s="1"/>
  <c r="D86" i="2219"/>
  <c r="E86" i="2219" s="1"/>
  <c r="D87" i="2219"/>
  <c r="E87" i="2219" s="1"/>
  <c r="D88" i="2219"/>
  <c r="E88" i="2219" s="1"/>
  <c r="D89" i="2219"/>
  <c r="E89" i="2219" s="1"/>
  <c r="D90" i="2219"/>
  <c r="E90" i="2219" s="1"/>
  <c r="D91" i="2219"/>
  <c r="E91" i="2219" s="1"/>
  <c r="D92" i="2219"/>
  <c r="E92" i="2219" s="1"/>
  <c r="D93" i="2219"/>
  <c r="E93" i="2219" s="1"/>
  <c r="D94" i="2219"/>
  <c r="E94" i="2219" s="1"/>
  <c r="D95" i="2219"/>
  <c r="E95" i="2219" s="1"/>
  <c r="D96" i="2219"/>
  <c r="E96" i="2219" s="1"/>
  <c r="D97" i="2219"/>
  <c r="E97" i="2219" s="1"/>
  <c r="D98" i="2219"/>
  <c r="E98" i="2219" s="1"/>
  <c r="D99" i="2219"/>
  <c r="E99" i="2219" s="1"/>
  <c r="D100" i="2219"/>
  <c r="E100" i="2219" s="1"/>
  <c r="D101" i="2219"/>
  <c r="E101" i="2219" s="1"/>
  <c r="D102" i="2219"/>
  <c r="E102" i="2219" s="1"/>
  <c r="D103" i="2219"/>
  <c r="E103" i="2219" s="1"/>
  <c r="D104" i="2219"/>
  <c r="E104" i="2219" s="1"/>
  <c r="D105" i="2219"/>
  <c r="E105" i="2219" s="1"/>
  <c r="D106" i="2219"/>
  <c r="E106" i="2219" s="1"/>
  <c r="D107" i="2219"/>
  <c r="E107" i="2219" s="1"/>
  <c r="D108" i="2219"/>
  <c r="E108" i="2219" s="1"/>
  <c r="D109" i="2219"/>
  <c r="E109" i="2219" s="1"/>
  <c r="D110" i="2219"/>
  <c r="E110" i="2219" s="1"/>
  <c r="D111" i="2219"/>
  <c r="E111" i="2219" s="1"/>
  <c r="D112" i="2219"/>
  <c r="E112" i="2219" s="1"/>
  <c r="D113" i="2219"/>
  <c r="E113" i="2219" s="1"/>
  <c r="D114" i="2219"/>
  <c r="E114" i="2219" s="1"/>
  <c r="D115" i="2219"/>
  <c r="E115" i="2219" s="1"/>
  <c r="D116" i="2219"/>
  <c r="E116" i="2219" s="1"/>
  <c r="D117" i="2219"/>
  <c r="E117" i="2219" s="1"/>
  <c r="D118" i="2219"/>
  <c r="E118" i="2219" s="1"/>
  <c r="D119" i="2219"/>
  <c r="E119" i="2219" s="1"/>
  <c r="D120" i="2219"/>
  <c r="E120" i="2219" s="1"/>
  <c r="D121" i="2219"/>
  <c r="E121" i="2219" s="1"/>
  <c r="D122" i="2219"/>
  <c r="E122" i="2219" s="1"/>
  <c r="D123" i="2219"/>
  <c r="E123" i="2219" s="1"/>
  <c r="D124" i="2219"/>
  <c r="E124" i="2219" s="1"/>
  <c r="D125" i="2219"/>
  <c r="E125" i="2219" s="1"/>
  <c r="D126" i="2219"/>
  <c r="E126" i="2219" s="1"/>
  <c r="D127" i="2219"/>
  <c r="E127" i="2219" s="1"/>
  <c r="D128" i="2219"/>
  <c r="E128" i="2219" s="1"/>
  <c r="D129" i="2219"/>
  <c r="E129" i="2219" s="1"/>
  <c r="D130" i="2219"/>
  <c r="E130" i="2219" s="1"/>
  <c r="D131" i="2219"/>
  <c r="E131" i="2219" s="1"/>
  <c r="D132" i="2219"/>
  <c r="E132" i="2219" s="1"/>
  <c r="D133" i="2219"/>
  <c r="E133" i="2219" s="1"/>
  <c r="D134" i="2219"/>
  <c r="E134" i="2219" s="1"/>
  <c r="D135" i="2219"/>
  <c r="E135" i="2219" s="1"/>
  <c r="D136" i="2219"/>
  <c r="E136" i="2219" s="1"/>
  <c r="D137" i="2219"/>
  <c r="E137" i="2219" s="1"/>
  <c r="D138" i="2219"/>
  <c r="E138" i="2219" s="1"/>
  <c r="D139" i="2219"/>
  <c r="E139" i="2219" s="1"/>
  <c r="D140" i="2219"/>
  <c r="E140" i="2219" s="1"/>
  <c r="D141" i="2219"/>
  <c r="E141" i="2219" s="1"/>
  <c r="D142" i="2219"/>
  <c r="E142" i="2219" s="1"/>
  <c r="D143" i="2219"/>
  <c r="E143" i="2219" s="1"/>
  <c r="D144" i="2219"/>
  <c r="E144" i="2219" s="1"/>
  <c r="D145" i="2219"/>
  <c r="E145" i="2219" s="1"/>
  <c r="D146" i="2219"/>
  <c r="E146" i="2219" s="1"/>
  <c r="D147" i="2219"/>
  <c r="E147" i="2219" s="1"/>
  <c r="D2" i="2218"/>
  <c r="E2" i="2218" s="1"/>
  <c r="D3" i="2218"/>
  <c r="E3" i="2218" s="1"/>
  <c r="D4" i="2218"/>
  <c r="E4" i="2218" s="1"/>
  <c r="D5" i="2218"/>
  <c r="E5" i="2218" s="1"/>
  <c r="D6" i="2218"/>
  <c r="E6" i="2218" s="1"/>
  <c r="D7" i="2218"/>
  <c r="E7" i="2218" s="1"/>
  <c r="D8" i="2218"/>
  <c r="E8" i="2218" s="1"/>
  <c r="D9" i="2218"/>
  <c r="E9" i="2218" s="1"/>
  <c r="D10" i="2218"/>
  <c r="E10" i="2218" s="1"/>
  <c r="D11" i="2218"/>
  <c r="E11" i="2218" s="1"/>
  <c r="D12" i="2218"/>
  <c r="E12" i="2218" s="1"/>
  <c r="D13" i="2218"/>
  <c r="E13" i="2218" s="1"/>
  <c r="D14" i="2218"/>
  <c r="E14" i="2218" s="1"/>
  <c r="D15" i="2218"/>
  <c r="E15" i="2218" s="1"/>
  <c r="D16" i="2218"/>
  <c r="E16" i="2218" s="1"/>
  <c r="D17" i="2218"/>
  <c r="E17" i="2218" s="1"/>
  <c r="D18" i="2218"/>
  <c r="E18" i="2218" s="1"/>
  <c r="D19" i="2218"/>
  <c r="E19" i="2218" s="1"/>
  <c r="D20" i="2218"/>
  <c r="E20" i="2218" s="1"/>
  <c r="D21" i="2218"/>
  <c r="E21" i="2218" s="1"/>
  <c r="D22" i="2218"/>
  <c r="E22" i="2218" s="1"/>
  <c r="D23" i="2218"/>
  <c r="E23" i="2218" s="1"/>
  <c r="D24" i="2218"/>
  <c r="E24" i="2218" s="1"/>
  <c r="D25" i="2218"/>
  <c r="E25" i="2218" s="1"/>
  <c r="D26" i="2218"/>
  <c r="E26" i="2218" s="1"/>
  <c r="D27" i="2218"/>
  <c r="E27" i="2218" s="1"/>
  <c r="D28" i="2218"/>
  <c r="E28" i="2218" s="1"/>
  <c r="D29" i="2218"/>
  <c r="E29" i="2218" s="1"/>
  <c r="D30" i="2218"/>
  <c r="E30" i="2218" s="1"/>
  <c r="D31" i="2218"/>
  <c r="E31" i="2218" s="1"/>
  <c r="D32" i="2218"/>
  <c r="E32" i="2218" s="1"/>
  <c r="D33" i="2218"/>
  <c r="E33" i="2218" s="1"/>
  <c r="D34" i="2218"/>
  <c r="E34" i="2218" s="1"/>
  <c r="D35" i="2218"/>
  <c r="E35" i="2218" s="1"/>
  <c r="D36" i="2218"/>
  <c r="E36" i="2218" s="1"/>
  <c r="D37" i="2218"/>
  <c r="E37" i="2218" s="1"/>
  <c r="D38" i="2218"/>
  <c r="E38" i="2218" s="1"/>
  <c r="D39" i="2218"/>
  <c r="E39" i="2218" s="1"/>
  <c r="D40" i="2218"/>
  <c r="E40" i="2218" s="1"/>
  <c r="D41" i="2218"/>
  <c r="E41" i="2218" s="1"/>
  <c r="D42" i="2218"/>
  <c r="E42" i="2218" s="1"/>
  <c r="D43" i="2218"/>
  <c r="E43" i="2218" s="1"/>
  <c r="D44" i="2218"/>
  <c r="E44" i="2218" s="1"/>
  <c r="D45" i="2218"/>
  <c r="E45" i="2218" s="1"/>
  <c r="D46" i="2218"/>
  <c r="E46" i="2218" s="1"/>
  <c r="D47" i="2218"/>
  <c r="E47" i="2218" s="1"/>
  <c r="D48" i="2218"/>
  <c r="E48" i="2218" s="1"/>
  <c r="D49" i="2218"/>
  <c r="E49" i="2218" s="1"/>
  <c r="D50" i="2218"/>
  <c r="E50" i="2218" s="1"/>
  <c r="D51" i="2218"/>
  <c r="E51" i="2218" s="1"/>
  <c r="D52" i="2218"/>
  <c r="E52" i="2218" s="1"/>
  <c r="D53" i="2218"/>
  <c r="E53" i="2218" s="1"/>
  <c r="D54" i="2218"/>
  <c r="E54" i="2218" s="1"/>
  <c r="D55" i="2218"/>
  <c r="E55" i="2218" s="1"/>
  <c r="D56" i="2218"/>
  <c r="E56" i="2218" s="1"/>
  <c r="D57" i="2218"/>
  <c r="E57" i="2218" s="1"/>
  <c r="D58" i="2218"/>
  <c r="E58" i="2218" s="1"/>
  <c r="D59" i="2218"/>
  <c r="E59" i="2218" s="1"/>
  <c r="D60" i="2218"/>
  <c r="E60" i="2218" s="1"/>
  <c r="D61" i="2218"/>
  <c r="E61" i="2218" s="1"/>
  <c r="D62" i="2218"/>
  <c r="E62" i="2218" s="1"/>
  <c r="D63" i="2218"/>
  <c r="E63" i="2218" s="1"/>
  <c r="D64" i="2218"/>
  <c r="E64" i="2218" s="1"/>
  <c r="D65" i="2218"/>
  <c r="E65" i="2218" s="1"/>
  <c r="D66" i="2218"/>
  <c r="E66" i="2218" s="1"/>
  <c r="D67" i="2218"/>
  <c r="E67" i="2218" s="1"/>
  <c r="D68" i="2218"/>
  <c r="E68" i="2218" s="1"/>
  <c r="D69" i="2218"/>
  <c r="E69" i="2218" s="1"/>
  <c r="D70" i="2218"/>
  <c r="E70" i="2218" s="1"/>
  <c r="D71" i="2218"/>
  <c r="E71" i="2218" s="1"/>
  <c r="D72" i="2218"/>
  <c r="E72" i="2218" s="1"/>
  <c r="D73" i="2218"/>
  <c r="E73" i="2218" s="1"/>
  <c r="D74" i="2218"/>
  <c r="E74" i="2218" s="1"/>
  <c r="D75" i="2218"/>
  <c r="E75" i="2218" s="1"/>
  <c r="D76" i="2218"/>
  <c r="E76" i="2218" s="1"/>
  <c r="D77" i="2218"/>
  <c r="E77" i="2218" s="1"/>
  <c r="D78" i="2218"/>
  <c r="E78" i="2218" s="1"/>
  <c r="D79" i="2218"/>
  <c r="E79" i="2218" s="1"/>
  <c r="D80" i="2218"/>
  <c r="E80" i="2218" s="1"/>
  <c r="D81" i="2218"/>
  <c r="E81" i="2218" s="1"/>
  <c r="D82" i="2218"/>
  <c r="E82" i="2218" s="1"/>
  <c r="D83" i="2218"/>
  <c r="E83" i="2218" s="1"/>
  <c r="D84" i="2218"/>
  <c r="E84" i="2218" s="1"/>
  <c r="D85" i="2218"/>
  <c r="E85" i="2218" s="1"/>
  <c r="D86" i="2218"/>
  <c r="E86" i="2218" s="1"/>
  <c r="D87" i="2218"/>
  <c r="E87" i="2218" s="1"/>
  <c r="D88" i="2218"/>
  <c r="E88" i="2218" s="1"/>
  <c r="D89" i="2218"/>
  <c r="E89" i="2218" s="1"/>
  <c r="D90" i="2218"/>
  <c r="E90" i="2218" s="1"/>
  <c r="D91" i="2218"/>
  <c r="E91" i="2218" s="1"/>
  <c r="D92" i="2218"/>
  <c r="E92" i="2218" s="1"/>
  <c r="D93" i="2218"/>
  <c r="E93" i="2218" s="1"/>
  <c r="D94" i="2218"/>
  <c r="E94" i="2218" s="1"/>
  <c r="D95" i="2218"/>
  <c r="E95" i="2218" s="1"/>
  <c r="D96" i="2218"/>
  <c r="E96" i="2218" s="1"/>
  <c r="D97" i="2218"/>
  <c r="E97" i="2218" s="1"/>
  <c r="D98" i="2218"/>
  <c r="E98" i="2218" s="1"/>
  <c r="D99" i="2218"/>
  <c r="E99" i="2218" s="1"/>
  <c r="D100" i="2218"/>
  <c r="E100" i="2218" s="1"/>
  <c r="D101" i="2218"/>
  <c r="E101" i="2218" s="1"/>
  <c r="D102" i="2218"/>
  <c r="E102" i="2218" s="1"/>
  <c r="D103" i="2218"/>
  <c r="E103" i="2218" s="1"/>
  <c r="D104" i="2218"/>
  <c r="E104" i="2218" s="1"/>
  <c r="D105" i="2218"/>
  <c r="E105" i="2218" s="1"/>
  <c r="D106" i="2218"/>
  <c r="E106" i="2218" s="1"/>
  <c r="D107" i="2218"/>
  <c r="E107" i="2218" s="1"/>
  <c r="D108" i="2218"/>
  <c r="E108" i="2218" s="1"/>
  <c r="D109" i="2218"/>
  <c r="E109" i="2218" s="1"/>
  <c r="D110" i="2218"/>
  <c r="E110" i="2218" s="1"/>
  <c r="D111" i="2218"/>
  <c r="E111" i="2218" s="1"/>
  <c r="D112" i="2218"/>
  <c r="E112" i="2218" s="1"/>
  <c r="D113" i="2218"/>
  <c r="E113" i="2218" s="1"/>
  <c r="D114" i="2218"/>
  <c r="E114" i="2218" s="1"/>
  <c r="D115" i="2218"/>
  <c r="E115" i="2218" s="1"/>
  <c r="D116" i="2218"/>
  <c r="E116" i="2218" s="1"/>
  <c r="D117" i="2218"/>
  <c r="E117" i="2218" s="1"/>
  <c r="D118" i="2218"/>
  <c r="E118" i="2218" s="1"/>
  <c r="D119" i="2218"/>
  <c r="E119" i="2218" s="1"/>
  <c r="D120" i="2218"/>
  <c r="E120" i="2218" s="1"/>
  <c r="D121" i="2218"/>
  <c r="E121" i="2218" s="1"/>
  <c r="D122" i="2218"/>
  <c r="E122" i="2218" s="1"/>
  <c r="D123" i="2218"/>
  <c r="E123" i="2218" s="1"/>
  <c r="D124" i="2218"/>
  <c r="E124" i="2218" s="1"/>
  <c r="D125" i="2218"/>
  <c r="E125" i="2218" s="1"/>
  <c r="D2" i="2217"/>
  <c r="E2" i="2217" s="1"/>
  <c r="D3" i="2217"/>
  <c r="E3" i="2217" s="1"/>
  <c r="D4" i="2217"/>
  <c r="E4" i="2217" s="1"/>
  <c r="D5" i="2217"/>
  <c r="E5" i="2217" s="1"/>
  <c r="D6" i="2217"/>
  <c r="E6" i="2217" s="1"/>
  <c r="D7" i="2217"/>
  <c r="E7" i="2217" s="1"/>
  <c r="D8" i="2217"/>
  <c r="E8" i="2217" s="1"/>
  <c r="D9" i="2217"/>
  <c r="E9" i="2217" s="1"/>
  <c r="D10" i="2217"/>
  <c r="E10" i="2217" s="1"/>
  <c r="D11" i="2217"/>
  <c r="E11" i="2217" s="1"/>
  <c r="D12" i="2217"/>
  <c r="E12" i="2217" s="1"/>
  <c r="D13" i="2217"/>
  <c r="E13" i="2217" s="1"/>
  <c r="D14" i="2217"/>
  <c r="E14" i="2217" s="1"/>
  <c r="D15" i="2217"/>
  <c r="E15" i="2217" s="1"/>
  <c r="D16" i="2217"/>
  <c r="E16" i="2217" s="1"/>
  <c r="D17" i="2217"/>
  <c r="E17" i="2217" s="1"/>
  <c r="D18" i="2217"/>
  <c r="E18" i="2217" s="1"/>
  <c r="D19" i="2217"/>
  <c r="E19" i="2217" s="1"/>
  <c r="D20" i="2217"/>
  <c r="E20" i="2217" s="1"/>
  <c r="D21" i="2217"/>
  <c r="E21" i="2217" s="1"/>
  <c r="D22" i="2217"/>
  <c r="E22" i="2217" s="1"/>
  <c r="D23" i="2217"/>
  <c r="E23" i="2217" s="1"/>
  <c r="D24" i="2217"/>
  <c r="E24" i="2217" s="1"/>
  <c r="D25" i="2217"/>
  <c r="E25" i="2217" s="1"/>
  <c r="D26" i="2217"/>
  <c r="E26" i="2217" s="1"/>
  <c r="D27" i="2217"/>
  <c r="E27" i="2217" s="1"/>
  <c r="D28" i="2217"/>
  <c r="E28" i="2217" s="1"/>
  <c r="D29" i="2217"/>
  <c r="E29" i="2217" s="1"/>
  <c r="D30" i="2217"/>
  <c r="E30" i="2217" s="1"/>
  <c r="D31" i="2217"/>
  <c r="E31" i="2217" s="1"/>
  <c r="D32" i="2217"/>
  <c r="E32" i="2217" s="1"/>
  <c r="D33" i="2217"/>
  <c r="E33" i="2217" s="1"/>
  <c r="D34" i="2217"/>
  <c r="E34" i="2217" s="1"/>
  <c r="D35" i="2217"/>
  <c r="E35" i="2217" s="1"/>
  <c r="D36" i="2217"/>
  <c r="E36" i="2217" s="1"/>
  <c r="D37" i="2217"/>
  <c r="E37" i="2217" s="1"/>
  <c r="D38" i="2217"/>
  <c r="E38" i="2217" s="1"/>
  <c r="D39" i="2217"/>
  <c r="E39" i="2217" s="1"/>
  <c r="D40" i="2217"/>
  <c r="E40" i="2217" s="1"/>
  <c r="D41" i="2217"/>
  <c r="E41" i="2217" s="1"/>
  <c r="D42" i="2217"/>
  <c r="E42" i="2217" s="1"/>
  <c r="D43" i="2217"/>
  <c r="E43" i="2217" s="1"/>
  <c r="D44" i="2217"/>
  <c r="E44" i="2217" s="1"/>
  <c r="D45" i="2217"/>
  <c r="E45" i="2217" s="1"/>
  <c r="D46" i="2217"/>
  <c r="E46" i="2217" s="1"/>
  <c r="D47" i="2217"/>
  <c r="E47" i="2217" s="1"/>
  <c r="D48" i="2217"/>
  <c r="E48" i="2217" s="1"/>
  <c r="D49" i="2217"/>
  <c r="E49" i="2217" s="1"/>
  <c r="D50" i="2217"/>
  <c r="E50" i="2217" s="1"/>
  <c r="D51" i="2217"/>
  <c r="E51" i="2217" s="1"/>
  <c r="D52" i="2217"/>
  <c r="E52" i="2217" s="1"/>
  <c r="D53" i="2217"/>
  <c r="E53" i="2217" s="1"/>
  <c r="D54" i="2217"/>
  <c r="E54" i="2217" s="1"/>
  <c r="D55" i="2217"/>
  <c r="E55" i="2217" s="1"/>
  <c r="D56" i="2217"/>
  <c r="E56" i="2217" s="1"/>
  <c r="D57" i="2217"/>
  <c r="E57" i="2217" s="1"/>
  <c r="D58" i="2217"/>
  <c r="E58" i="2217" s="1"/>
  <c r="D59" i="2217"/>
  <c r="E59" i="2217" s="1"/>
  <c r="D60" i="2217"/>
  <c r="E60" i="2217" s="1"/>
  <c r="D61" i="2217"/>
  <c r="E61" i="2217" s="1"/>
  <c r="D62" i="2217"/>
  <c r="E62" i="2217" s="1"/>
  <c r="D63" i="2217"/>
  <c r="E63" i="2217" s="1"/>
  <c r="D64" i="2217"/>
  <c r="E64" i="2217" s="1"/>
  <c r="D65" i="2217"/>
  <c r="E65" i="2217" s="1"/>
  <c r="D66" i="2217"/>
  <c r="E66" i="2217" s="1"/>
  <c r="D67" i="2217"/>
  <c r="E67" i="2217" s="1"/>
  <c r="D68" i="2217"/>
  <c r="E68" i="2217" s="1"/>
  <c r="D69" i="2217"/>
  <c r="E69" i="2217" s="1"/>
  <c r="D70" i="2217"/>
  <c r="E70" i="2217" s="1"/>
  <c r="D71" i="2217"/>
  <c r="E71" i="2217" s="1"/>
  <c r="D72" i="2217"/>
  <c r="E72" i="2217" s="1"/>
  <c r="D73" i="2217"/>
  <c r="E73" i="2217" s="1"/>
  <c r="D74" i="2217"/>
  <c r="E74" i="2217" s="1"/>
  <c r="D75" i="2217"/>
  <c r="E75" i="2217" s="1"/>
  <c r="D76" i="2217"/>
  <c r="E76" i="2217" s="1"/>
  <c r="D77" i="2217"/>
  <c r="E77" i="2217" s="1"/>
  <c r="D78" i="2217"/>
  <c r="E78" i="2217" s="1"/>
  <c r="D79" i="2217"/>
  <c r="E79" i="2217" s="1"/>
  <c r="D80" i="2217"/>
  <c r="E80" i="2217" s="1"/>
  <c r="D81" i="2217"/>
  <c r="E81" i="2217" s="1"/>
  <c r="D82" i="2217"/>
  <c r="E82" i="2217" s="1"/>
  <c r="D83" i="2217"/>
  <c r="E83" i="2217" s="1"/>
  <c r="D84" i="2217"/>
  <c r="E84" i="2217" s="1"/>
  <c r="D85" i="2217"/>
  <c r="E85" i="2217" s="1"/>
  <c r="D86" i="2217"/>
  <c r="E86" i="2217" s="1"/>
  <c r="D87" i="2217"/>
  <c r="E87" i="2217" s="1"/>
  <c r="D88" i="2217"/>
  <c r="E88" i="2217" s="1"/>
  <c r="D89" i="2217"/>
  <c r="E89" i="2217" s="1"/>
  <c r="D90" i="2217"/>
  <c r="E90" i="2217" s="1"/>
  <c r="D91" i="2217"/>
  <c r="E91" i="2217" s="1"/>
  <c r="D92" i="2217"/>
  <c r="E92" i="2217" s="1"/>
  <c r="D93" i="2217"/>
  <c r="E93" i="2217" s="1"/>
  <c r="D94" i="2217"/>
  <c r="E94" i="2217" s="1"/>
  <c r="D95" i="2217"/>
  <c r="E95" i="2217" s="1"/>
  <c r="D96" i="2217"/>
  <c r="E96" i="2217" s="1"/>
  <c r="D97" i="2217"/>
  <c r="E97" i="2217" s="1"/>
  <c r="D98" i="2217"/>
  <c r="E98" i="2217" s="1"/>
  <c r="D99" i="2217"/>
  <c r="E99" i="2217" s="1"/>
  <c r="D100" i="2217"/>
  <c r="E100" i="2217" s="1"/>
  <c r="D101" i="2217"/>
  <c r="E101" i="2217" s="1"/>
  <c r="D102" i="2217"/>
  <c r="E102" i="2217" s="1"/>
  <c r="D103" i="2217"/>
  <c r="E103" i="2217" s="1"/>
  <c r="D104" i="2217"/>
  <c r="E104" i="2217" s="1"/>
  <c r="D105" i="2217"/>
  <c r="E105" i="2217" s="1"/>
  <c r="D106" i="2217"/>
  <c r="E106" i="2217" s="1"/>
  <c r="D107" i="2217"/>
  <c r="E107" i="2217" s="1"/>
  <c r="D108" i="2217"/>
  <c r="E108" i="2217" s="1"/>
  <c r="D109" i="2217"/>
  <c r="E109" i="2217" s="1"/>
  <c r="D110" i="2217"/>
  <c r="E110" i="2217" s="1"/>
  <c r="D111" i="2217"/>
  <c r="E111" i="2217" s="1"/>
  <c r="D112" i="2217"/>
  <c r="E112" i="2217" s="1"/>
  <c r="D113" i="2217"/>
  <c r="E113" i="2217" s="1"/>
  <c r="D114" i="2217"/>
  <c r="E114" i="2217" s="1"/>
  <c r="D115" i="2217"/>
  <c r="E115" i="2217" s="1"/>
  <c r="D116" i="2217"/>
  <c r="E116" i="2217" s="1"/>
  <c r="D117" i="2217"/>
  <c r="E117" i="2217" s="1"/>
  <c r="D118" i="2217"/>
  <c r="E118" i="2217" s="1"/>
  <c r="D119" i="2217"/>
  <c r="E119" i="2217" s="1"/>
  <c r="D120" i="2217"/>
  <c r="E120" i="2217" s="1"/>
  <c r="D121" i="2217"/>
  <c r="E121" i="2217" s="1"/>
  <c r="D122" i="2217"/>
  <c r="E122" i="2217" s="1"/>
  <c r="D123" i="2217"/>
  <c r="E123" i="2217" s="1"/>
  <c r="D124" i="2217"/>
  <c r="E124" i="2217" s="1"/>
  <c r="D125" i="2217"/>
  <c r="E125" i="2217" s="1"/>
  <c r="D126" i="2217"/>
  <c r="E126" i="2217" s="1"/>
  <c r="D127" i="2217"/>
  <c r="E127" i="2217" s="1"/>
  <c r="D128" i="2217"/>
  <c r="E128" i="2217" s="1"/>
  <c r="D129" i="2217"/>
  <c r="E129" i="2217" s="1"/>
  <c r="D130" i="2217"/>
  <c r="E130" i="2217" s="1"/>
  <c r="D131" i="2217"/>
  <c r="E131" i="2217" s="1"/>
  <c r="D132" i="2217"/>
  <c r="E132" i="2217" s="1"/>
  <c r="D133" i="2217"/>
  <c r="E133" i="2217" s="1"/>
  <c r="D134" i="2217"/>
  <c r="E134" i="2217" s="1"/>
  <c r="D135" i="2217"/>
  <c r="E135" i="2217" s="1"/>
  <c r="D136" i="2217"/>
  <c r="E136" i="2217" s="1"/>
  <c r="D137" i="2217"/>
  <c r="E137" i="2217" s="1"/>
  <c r="D138" i="2217"/>
  <c r="E138" i="2217" s="1"/>
  <c r="D139" i="2217"/>
  <c r="E139" i="2217" s="1"/>
  <c r="D140" i="2217"/>
  <c r="E140" i="2217" s="1"/>
  <c r="I1379" i="266"/>
  <c r="I1378" i="266"/>
  <c r="I1377" i="266"/>
  <c r="I1376" i="266"/>
  <c r="I1375" i="266"/>
  <c r="I1374" i="266"/>
  <c r="I1373" i="266" l="1"/>
  <c r="I1372" i="266"/>
  <c r="I1371" i="266"/>
  <c r="G2" i="31"/>
  <c r="H2" i="31" s="1"/>
  <c r="I1370" i="266"/>
  <c r="I1369" i="266"/>
  <c r="I1368" i="266"/>
  <c r="I1367" i="266"/>
  <c r="I1365" i="266"/>
  <c r="I1366" i="266"/>
  <c r="I1364" i="266"/>
  <c r="I1363" i="266"/>
  <c r="I593" i="266"/>
  <c r="I1081" i="266"/>
  <c r="I1359" i="266"/>
  <c r="I1362" i="266"/>
  <c r="I1361" i="266"/>
  <c r="I1358" i="266"/>
  <c r="I1360" i="266"/>
  <c r="I1357" i="266"/>
  <c r="I760" i="266"/>
  <c r="D32" i="2226" s="1"/>
  <c r="E32" i="2226" s="1"/>
  <c r="I1356" i="266" l="1"/>
  <c r="I1355" i="266"/>
  <c r="I1354" i="266"/>
  <c r="I1353" i="266"/>
  <c r="I5" i="266"/>
  <c r="I1352" i="266"/>
  <c r="I1351" i="266"/>
  <c r="I1350" i="266"/>
  <c r="I1349" i="266"/>
  <c r="I1348" i="266"/>
  <c r="I1347" i="266"/>
  <c r="I1346" i="266"/>
  <c r="I1345" i="266"/>
  <c r="I1343" i="266"/>
  <c r="I1344" i="266"/>
  <c r="I1342" i="266"/>
  <c r="I1341" i="266"/>
  <c r="I1339" i="266"/>
  <c r="I1340" i="266"/>
  <c r="I1338" i="266"/>
  <c r="I1337" i="266"/>
  <c r="I1332" i="266"/>
  <c r="I1333" i="266"/>
  <c r="I1334" i="266"/>
  <c r="I1335" i="266"/>
  <c r="I1336" i="266"/>
  <c r="I1331" i="266"/>
  <c r="I1329" i="266"/>
  <c r="I1330" i="266"/>
  <c r="I1328" i="266"/>
  <c r="I1327" i="266"/>
  <c r="I1326" i="266"/>
  <c r="I1325" i="266"/>
  <c r="I1323" i="266"/>
  <c r="I1324" i="266"/>
  <c r="I1322" i="266"/>
  <c r="I1319" i="266"/>
  <c r="I1320" i="266"/>
  <c r="I1321" i="266"/>
  <c r="I1318" i="266"/>
  <c r="I1317" i="266"/>
  <c r="I1315" i="266"/>
  <c r="I1316" i="266"/>
  <c r="I1314" i="266"/>
  <c r="I1313" i="266"/>
  <c r="I1312" i="266"/>
  <c r="I1311" i="266"/>
  <c r="I1310" i="266"/>
  <c r="I1309" i="266"/>
  <c r="I1308" i="266"/>
  <c r="I1307" i="266"/>
  <c r="I1306" i="266"/>
  <c r="I1304" i="266"/>
  <c r="I1305" i="266"/>
  <c r="I1303" i="266"/>
  <c r="I1302" i="266"/>
  <c r="I1301" i="266"/>
  <c r="I1300" i="266"/>
  <c r="I1299" i="266"/>
  <c r="I1298" i="266"/>
  <c r="I1297" i="266"/>
  <c r="I1296" i="266"/>
  <c r="I1295" i="266"/>
  <c r="I1292" i="266"/>
  <c r="I1293" i="266"/>
  <c r="I1294" i="266"/>
  <c r="I1291" i="266"/>
  <c r="I1290" i="266"/>
  <c r="I794" i="266"/>
  <c r="I1289" i="266"/>
  <c r="I1288" i="266"/>
  <c r="I1287" i="266"/>
  <c r="I1286" i="266"/>
  <c r="I1285" i="266"/>
  <c r="I1284" i="266"/>
  <c r="I1283" i="266"/>
  <c r="I1282" i="266"/>
  <c r="I1281" i="266"/>
  <c r="I1280" i="266"/>
  <c r="I1276" i="266"/>
  <c r="I1277" i="266"/>
  <c r="I1278" i="266"/>
  <c r="I1279" i="266"/>
  <c r="I1270" i="266"/>
  <c r="I1271" i="266"/>
  <c r="I1272" i="266"/>
  <c r="I1273" i="266"/>
  <c r="I1274" i="266"/>
  <c r="I1275" i="266"/>
  <c r="I1269" i="266"/>
  <c r="I1268" i="266"/>
  <c r="I1267" i="266"/>
  <c r="I1265" i="266"/>
  <c r="I1266" i="266"/>
  <c r="I1264" i="266"/>
  <c r="I1263" i="266"/>
  <c r="I1262" i="266"/>
  <c r="D4" i="154"/>
  <c r="D5" i="154"/>
  <c r="D6" i="154"/>
  <c r="D7" i="154"/>
  <c r="D9" i="154"/>
  <c r="D10" i="154"/>
  <c r="D11" i="154"/>
  <c r="D12" i="154"/>
  <c r="I1261" i="266"/>
  <c r="I1259" i="266"/>
  <c r="I1258" i="266"/>
  <c r="I1257" i="266"/>
  <c r="I1256" i="266"/>
  <c r="I1253" i="266"/>
  <c r="I1252" i="266"/>
  <c r="I1251" i="266"/>
  <c r="I1250" i="266"/>
  <c r="I1249" i="266"/>
  <c r="I1248" i="266"/>
  <c r="I1246" i="266"/>
  <c r="I1247" i="266"/>
  <c r="I1245" i="266"/>
  <c r="I1244" i="266"/>
  <c r="I1243" i="266"/>
  <c r="I1241" i="266"/>
  <c r="I1242" i="266"/>
  <c r="I1240" i="266"/>
  <c r="I1239" i="266"/>
  <c r="I1238" i="266"/>
  <c r="I1237" i="266"/>
  <c r="I1236" i="266"/>
  <c r="I1235" i="266"/>
  <c r="I1233" i="266"/>
  <c r="I1234" i="266"/>
  <c r="I1232" i="266"/>
  <c r="I1231" i="266"/>
  <c r="I1230" i="266"/>
  <c r="I1229" i="266"/>
  <c r="I1228" i="266"/>
  <c r="I1227" i="266"/>
  <c r="E4" i="154" l="1"/>
  <c r="E11" i="154"/>
  <c r="E10" i="154"/>
  <c r="E9" i="154"/>
  <c r="E7" i="154"/>
  <c r="E6" i="154"/>
  <c r="E5" i="154"/>
  <c r="I1226" i="266"/>
  <c r="I1225" i="266" l="1"/>
  <c r="I1224" i="266"/>
  <c r="I1223" i="266"/>
  <c r="I1222" i="266"/>
  <c r="I1221" i="266"/>
  <c r="I1220" i="266" l="1"/>
  <c r="I1219" i="266"/>
  <c r="I1218" i="266"/>
  <c r="I1217" i="266"/>
  <c r="I1216" i="266"/>
  <c r="I1215" i="266" l="1"/>
  <c r="I1214" i="266"/>
  <c r="I1213" i="266"/>
  <c r="I1212" i="266"/>
  <c r="I1211" i="266" l="1"/>
  <c r="I1210" i="266"/>
  <c r="I1209" i="266"/>
  <c r="I1208" i="266"/>
  <c r="I1207" i="266"/>
  <c r="I1206" i="266"/>
  <c r="I1205" i="266"/>
  <c r="I1204" i="266"/>
  <c r="I1203" i="266"/>
  <c r="I1202" i="266"/>
  <c r="I1200" i="266"/>
  <c r="I1201" i="266"/>
  <c r="I1199" i="266"/>
  <c r="I1198" i="266"/>
  <c r="I1197" i="266"/>
  <c r="I1196" i="266"/>
  <c r="I1195" i="266"/>
  <c r="I1194" i="266"/>
  <c r="I1193" i="266"/>
  <c r="I1192" i="266"/>
  <c r="I1191" i="266"/>
  <c r="I1190" i="266"/>
  <c r="I1189" i="266" l="1"/>
  <c r="I1188" i="266"/>
  <c r="I1187" i="266"/>
  <c r="I1186" i="266"/>
  <c r="I1185" i="266"/>
  <c r="I1184" i="266"/>
  <c r="I1183" i="266"/>
  <c r="I1182" i="266"/>
  <c r="I1181" i="266"/>
  <c r="I1180" i="266"/>
  <c r="I1179" i="266" l="1"/>
  <c r="I1178" i="266"/>
  <c r="I1174" i="266"/>
  <c r="I1175" i="266"/>
  <c r="I1176" i="266"/>
  <c r="I1177" i="266"/>
  <c r="I1173" i="266"/>
  <c r="I1172" i="266"/>
  <c r="I1171" i="266"/>
  <c r="I1170" i="266"/>
  <c r="I1169" i="266"/>
  <c r="I1168" i="266" l="1"/>
  <c r="I1167" i="266"/>
  <c r="I1166" i="266"/>
  <c r="I1163" i="266"/>
  <c r="I1164" i="266"/>
  <c r="I1165" i="266"/>
  <c r="I1161" i="266"/>
  <c r="I1162" i="266"/>
  <c r="I1160" i="266"/>
  <c r="I1159" i="266"/>
  <c r="I1158" i="266"/>
  <c r="I1157" i="266"/>
  <c r="I1156" i="266"/>
  <c r="I1155" i="266"/>
  <c r="I1154" i="266"/>
  <c r="I1150" i="266"/>
  <c r="I1151" i="266"/>
  <c r="I1149" i="266"/>
  <c r="I1148" i="266"/>
  <c r="I1147" i="266"/>
  <c r="I1146" i="266"/>
  <c r="I1145" i="266"/>
  <c r="I1144" i="266"/>
  <c r="I1143" i="266"/>
  <c r="I1142" i="266"/>
  <c r="I1141" i="266"/>
  <c r="I1140" i="266"/>
  <c r="I1139" i="266"/>
  <c r="I1138" i="266"/>
  <c r="I1137" i="266"/>
  <c r="I1136" i="266"/>
  <c r="I1135" i="266"/>
  <c r="I1134" i="266"/>
  <c r="I1133" i="266"/>
  <c r="I1132" i="266"/>
  <c r="I1131" i="266"/>
  <c r="G2" i="2108"/>
  <c r="G2" i="2107"/>
  <c r="G2" i="2106"/>
  <c r="H2" i="2106" l="1"/>
  <c r="I9" i="2106" s="1"/>
  <c r="D13" i="154"/>
  <c r="H2" i="2107"/>
  <c r="I24" i="2107" s="1"/>
  <c r="D14" i="154"/>
  <c r="H2" i="2108"/>
  <c r="I12" i="2108" s="1"/>
  <c r="D15" i="154"/>
  <c r="E15" i="154" s="1"/>
  <c r="E14" i="154" l="1"/>
  <c r="E12" i="154"/>
  <c r="E13" i="154"/>
  <c r="I6" i="2107"/>
  <c r="I6" i="2106"/>
  <c r="I31" i="2106"/>
  <c r="I15" i="2106"/>
  <c r="I28" i="2106"/>
  <c r="I15" i="2107"/>
  <c r="I18" i="2107"/>
  <c r="I24" i="2108"/>
  <c r="I31" i="2108"/>
  <c r="I28" i="2107"/>
  <c r="I31" i="2107"/>
  <c r="I15" i="2108"/>
  <c r="I24" i="2106"/>
  <c r="I18" i="2106"/>
  <c r="I12" i="2107"/>
  <c r="I18" i="2108"/>
  <c r="I9" i="2108"/>
  <c r="I28" i="2108"/>
  <c r="I12" i="2106"/>
  <c r="I9" i="2107"/>
  <c r="I6" i="2108"/>
  <c r="I1130" i="266"/>
  <c r="I1129" i="266"/>
  <c r="I1128" i="266"/>
  <c r="I1126" i="266"/>
  <c r="I1127" i="266"/>
  <c r="I1125" i="266" l="1"/>
  <c r="I1124" i="266"/>
  <c r="I1123" i="266"/>
  <c r="I1122" i="266"/>
  <c r="I1121" i="266" l="1"/>
  <c r="I1120" i="266"/>
  <c r="I1117" i="266"/>
  <c r="I1118" i="266"/>
  <c r="I1119" i="266"/>
  <c r="I1116" i="266"/>
  <c r="I1115" i="266"/>
  <c r="I1114" i="266"/>
  <c r="I1113" i="266" l="1"/>
  <c r="I1111" i="266"/>
  <c r="I1112" i="266"/>
  <c r="I1110" i="266" l="1"/>
  <c r="I1108" i="266"/>
  <c r="I1109" i="266"/>
  <c r="I1107" i="266" l="1"/>
  <c r="I1106" i="266"/>
  <c r="I1105" i="266"/>
  <c r="I1104" i="266"/>
  <c r="I1103" i="266"/>
  <c r="I1102" i="266" l="1"/>
  <c r="I1101" i="266"/>
  <c r="I1100" i="266"/>
  <c r="I1099" i="266"/>
  <c r="I1098" i="266"/>
  <c r="I1097" i="266"/>
  <c r="I1096" i="266"/>
  <c r="I1095" i="266"/>
  <c r="I1094" i="266"/>
  <c r="I1093" i="266"/>
  <c r="I1092" i="266"/>
  <c r="I1091" i="266"/>
  <c r="I1090" i="266"/>
  <c r="I1089" i="266"/>
  <c r="I1088" i="266"/>
  <c r="I1087" i="266"/>
  <c r="I1086" i="266"/>
  <c r="I1085" i="266"/>
  <c r="I1084" i="266"/>
  <c r="I1083" i="266"/>
  <c r="I1082" i="266"/>
  <c r="I1079" i="266"/>
  <c r="I1080" i="266"/>
  <c r="I1078" i="266"/>
  <c r="I1077" i="266"/>
  <c r="I1076" i="266"/>
  <c r="I1075" i="266"/>
  <c r="I1073" i="266"/>
  <c r="I1074" i="266"/>
  <c r="I1069" i="266"/>
  <c r="I1070" i="266"/>
  <c r="I1071" i="266"/>
  <c r="I1072" i="266"/>
  <c r="I1068" i="266"/>
  <c r="I1067" i="266"/>
  <c r="I1065" i="266"/>
  <c r="I1066" i="266"/>
  <c r="I1064" i="266"/>
  <c r="I1063" i="266"/>
  <c r="I1061" i="266" l="1"/>
  <c r="I1062" i="266"/>
  <c r="I1060" i="266" l="1"/>
  <c r="I1059" i="266"/>
  <c r="I1058" i="266"/>
  <c r="I1056" i="266"/>
  <c r="I1057" i="266"/>
  <c r="I1055" i="266"/>
  <c r="I1054" i="266"/>
  <c r="I1053" i="266"/>
  <c r="I1052" i="266"/>
  <c r="I1051" i="266"/>
  <c r="I1050" i="266"/>
  <c r="I1049" i="266"/>
  <c r="I1048" i="266"/>
  <c r="I1047" i="266"/>
  <c r="I1046" i="266"/>
  <c r="I1045" i="266"/>
  <c r="I1044" i="266"/>
  <c r="I1043" i="266" l="1"/>
  <c r="I1042" i="266"/>
  <c r="I1041" i="266"/>
  <c r="I1039" i="266"/>
  <c r="I1040" i="266"/>
  <c r="I1038" i="266"/>
  <c r="I1037" i="266"/>
  <c r="I1036" i="266"/>
  <c r="I1035" i="266"/>
  <c r="I1034" i="266"/>
  <c r="I1033" i="266"/>
  <c r="I1032" i="266"/>
  <c r="I1029" i="266"/>
  <c r="I1030" i="266"/>
  <c r="I1031" i="266"/>
  <c r="I1027" i="266" l="1"/>
  <c r="I1028" i="266"/>
  <c r="I1026" i="266"/>
  <c r="I1025" i="266"/>
  <c r="I1024" i="266"/>
  <c r="I1023" i="266"/>
  <c r="I1021" i="266"/>
  <c r="I1022" i="266"/>
  <c r="I1007" i="266"/>
  <c r="I1019" i="266"/>
  <c r="I1020" i="266"/>
  <c r="I1017" i="266"/>
  <c r="I1018" i="266"/>
  <c r="I1016" i="266"/>
  <c r="I1011" i="266"/>
  <c r="I1012" i="266"/>
  <c r="I1013" i="266"/>
  <c r="I1014" i="266"/>
  <c r="I1015" i="266"/>
  <c r="I1010" i="266"/>
  <c r="I1008" i="266"/>
  <c r="I1009" i="266"/>
  <c r="I308" i="266"/>
  <c r="I1006" i="266" l="1"/>
  <c r="I1005" i="266"/>
  <c r="I1004" i="266" l="1"/>
  <c r="I1003" i="266" l="1"/>
  <c r="I1002" i="266"/>
  <c r="I1001" i="266"/>
  <c r="I1000" i="266"/>
  <c r="I999" i="266"/>
  <c r="I998" i="266"/>
  <c r="I997" i="266"/>
  <c r="I996" i="266"/>
  <c r="I995" i="266"/>
  <c r="I994" i="266"/>
  <c r="I993" i="266"/>
  <c r="I992" i="266"/>
  <c r="I991" i="266"/>
  <c r="I990" i="266"/>
  <c r="I989" i="266"/>
  <c r="I988" i="266" l="1"/>
  <c r="I987" i="266"/>
  <c r="I986" i="266"/>
  <c r="I985" i="266"/>
  <c r="I984" i="266" l="1"/>
  <c r="I305" i="266"/>
  <c r="I982" i="266"/>
  <c r="I980" i="266"/>
  <c r="I979" i="266"/>
  <c r="I978" i="266"/>
  <c r="I977" i="266"/>
  <c r="I976" i="266"/>
  <c r="I975" i="266"/>
  <c r="I974" i="266"/>
  <c r="I973" i="266"/>
  <c r="I972" i="266"/>
  <c r="I971" i="266"/>
  <c r="I970" i="266"/>
  <c r="I969" i="266"/>
  <c r="I968" i="266"/>
  <c r="I967" i="266"/>
  <c r="I965" i="266"/>
  <c r="I964" i="266"/>
  <c r="I963" i="266"/>
  <c r="I962" i="266"/>
  <c r="I961" i="266"/>
  <c r="I960" i="266"/>
  <c r="I959" i="266"/>
  <c r="I958" i="266"/>
  <c r="I957" i="266"/>
  <c r="I956" i="266"/>
  <c r="I955" i="266"/>
  <c r="I954" i="266"/>
  <c r="I953" i="266"/>
  <c r="I952" i="266"/>
  <c r="I951" i="266"/>
  <c r="I950" i="266"/>
  <c r="I949" i="266"/>
  <c r="I948" i="266"/>
  <c r="I947" i="266"/>
  <c r="I946" i="266"/>
  <c r="I945" i="266"/>
  <c r="I944" i="266"/>
  <c r="I943" i="266"/>
  <c r="I942" i="266"/>
  <c r="I941" i="266"/>
  <c r="I940" i="266"/>
  <c r="I938" i="266"/>
  <c r="I939" i="266"/>
  <c r="I937" i="266"/>
  <c r="I936" i="266"/>
  <c r="I935" i="266"/>
  <c r="I934" i="266"/>
  <c r="I933" i="266"/>
  <c r="I932" i="266"/>
  <c r="I931" i="266"/>
  <c r="I930" i="266"/>
  <c r="I929" i="266"/>
  <c r="I928" i="266"/>
  <c r="I927" i="266"/>
  <c r="I926" i="266"/>
  <c r="I925" i="266"/>
  <c r="I924" i="266"/>
  <c r="I923" i="266"/>
  <c r="I922" i="266"/>
  <c r="I920" i="266"/>
  <c r="I921" i="266"/>
  <c r="I919" i="266"/>
  <c r="I918" i="266"/>
  <c r="I917" i="266"/>
  <c r="I913" i="266"/>
  <c r="I916" i="266"/>
  <c r="I915" i="266"/>
  <c r="I914" i="266"/>
  <c r="I830" i="266"/>
  <c r="I912" i="266"/>
  <c r="I911" i="266"/>
  <c r="I842" i="266"/>
  <c r="I909" i="266"/>
  <c r="I908" i="266"/>
  <c r="I907" i="266"/>
  <c r="I906" i="266"/>
  <c r="I905" i="266"/>
  <c r="I903" i="266"/>
  <c r="I902" i="266"/>
  <c r="I901" i="266"/>
  <c r="I900" i="266"/>
  <c r="I899" i="266"/>
  <c r="I898" i="266"/>
  <c r="I897" i="266"/>
  <c r="I896" i="266"/>
  <c r="I835" i="266"/>
  <c r="I894" i="266"/>
  <c r="I864" i="266"/>
  <c r="I892" i="266"/>
  <c r="I883" i="266"/>
  <c r="I890" i="266"/>
  <c r="I834" i="266"/>
  <c r="I875" i="266"/>
  <c r="I887" i="266"/>
  <c r="I889" i="266"/>
  <c r="I886" i="266"/>
  <c r="I884" i="266"/>
  <c r="I836" i="266"/>
  <c r="I837" i="266"/>
  <c r="I881" i="266"/>
  <c r="I879" i="266"/>
  <c r="I880" i="266"/>
  <c r="I827" i="266"/>
  <c r="I877" i="266"/>
  <c r="I876" i="266"/>
  <c r="I895" i="266"/>
  <c r="I874" i="266"/>
  <c r="I832" i="266"/>
  <c r="I872" i="266"/>
  <c r="I871" i="266"/>
  <c r="I869" i="266"/>
  <c r="I870" i="266"/>
  <c r="I868" i="266"/>
  <c r="H862" i="266"/>
  <c r="I862" i="266" s="1"/>
  <c r="D3" i="2228" s="1"/>
  <c r="E3" i="2228" s="1"/>
  <c r="H855" i="266"/>
  <c r="I855" i="266" s="1"/>
  <c r="H854" i="266"/>
  <c r="I854" i="266" s="1"/>
  <c r="H853" i="266"/>
  <c r="I853" i="266" s="1"/>
  <c r="H852" i="266"/>
  <c r="I866" i="266"/>
  <c r="I867" i="266"/>
  <c r="I851" i="266"/>
  <c r="I826" i="266"/>
  <c r="I863" i="266"/>
  <c r="I860" i="266"/>
  <c r="I861" i="266"/>
  <c r="I856" i="266"/>
  <c r="I857" i="266"/>
  <c r="I858" i="266"/>
  <c r="I859" i="266"/>
  <c r="I852" i="266"/>
  <c r="I882" i="266"/>
  <c r="I865" i="266"/>
  <c r="I831" i="266"/>
  <c r="I833" i="266"/>
  <c r="I838" i="266"/>
  <c r="I844" i="266"/>
  <c r="I847" i="266"/>
  <c r="I878" i="266"/>
  <c r="I891" i="266"/>
  <c r="I850" i="266"/>
  <c r="I904" i="266"/>
  <c r="I845" i="266"/>
  <c r="I846" i="266"/>
  <c r="I848" i="266"/>
  <c r="I849" i="266"/>
  <c r="I873" i="266"/>
  <c r="I828" i="266"/>
  <c r="I885" i="266"/>
  <c r="I893" i="266"/>
  <c r="I829" i="266"/>
  <c r="I843" i="266"/>
  <c r="I839" i="266"/>
  <c r="I840" i="266"/>
  <c r="I841" i="266"/>
  <c r="I888" i="266"/>
  <c r="I910" i="266"/>
  <c r="I825" i="266"/>
  <c r="I824" i="266"/>
  <c r="I823" i="266"/>
  <c r="I822" i="266"/>
  <c r="I821" i="266"/>
  <c r="I820" i="266"/>
  <c r="I819" i="266"/>
  <c r="I818" i="266"/>
  <c r="I817" i="266"/>
  <c r="I816" i="266"/>
  <c r="I815" i="266"/>
  <c r="I814" i="266"/>
  <c r="I813" i="266"/>
  <c r="I812" i="266"/>
  <c r="I811" i="266"/>
  <c r="I810" i="266"/>
  <c r="I809" i="266"/>
  <c r="I808" i="266"/>
  <c r="I807" i="266"/>
  <c r="I806" i="266"/>
  <c r="I805" i="266"/>
  <c r="I804" i="266"/>
  <c r="I803" i="266"/>
  <c r="I802" i="266"/>
  <c r="I801" i="266"/>
  <c r="I800" i="266"/>
  <c r="I799" i="266"/>
  <c r="I798" i="266"/>
  <c r="I797" i="266"/>
  <c r="I796" i="266"/>
  <c r="I795" i="266"/>
  <c r="I793" i="266"/>
  <c r="I792" i="266"/>
  <c r="I791" i="266"/>
  <c r="I790" i="266"/>
  <c r="I789" i="266"/>
  <c r="I788" i="266"/>
  <c r="I787" i="266"/>
  <c r="I786" i="266"/>
  <c r="I785" i="266"/>
  <c r="I784" i="266"/>
  <c r="I783" i="266"/>
  <c r="I782" i="266"/>
  <c r="I781" i="266"/>
  <c r="I780" i="266"/>
  <c r="I779" i="266"/>
  <c r="I778" i="266"/>
  <c r="I777" i="266"/>
  <c r="I776" i="266"/>
  <c r="I775" i="266"/>
  <c r="I774" i="266"/>
  <c r="I773" i="266"/>
  <c r="I772" i="266"/>
  <c r="I771" i="266"/>
  <c r="I770" i="266"/>
  <c r="I769" i="266"/>
  <c r="I768" i="266"/>
  <c r="I767" i="266"/>
  <c r="I766" i="266"/>
  <c r="I764" i="266"/>
  <c r="I761" i="266"/>
  <c r="I759" i="266"/>
  <c r="I758" i="266"/>
  <c r="I757" i="266"/>
  <c r="I756" i="266"/>
  <c r="I755" i="266"/>
  <c r="I754" i="266"/>
  <c r="I753" i="266"/>
  <c r="I752" i="266"/>
  <c r="I751" i="266"/>
  <c r="I750" i="266"/>
  <c r="I749" i="266"/>
  <c r="I748" i="266"/>
  <c r="I747" i="266"/>
  <c r="I746" i="266"/>
  <c r="I745" i="266"/>
  <c r="I744" i="266"/>
  <c r="I743" i="266"/>
  <c r="I742" i="266"/>
  <c r="I741" i="266"/>
  <c r="I740" i="266"/>
  <c r="I739" i="266"/>
  <c r="I738" i="266"/>
  <c r="I737" i="266"/>
  <c r="I733" i="266"/>
  <c r="I732" i="266"/>
  <c r="I731" i="266"/>
  <c r="I730" i="266"/>
  <c r="I729" i="266"/>
  <c r="I728" i="266"/>
  <c r="I726" i="266"/>
  <c r="I724" i="266"/>
  <c r="I720" i="266"/>
  <c r="I719" i="266"/>
  <c r="I718" i="266"/>
  <c r="I717" i="266"/>
  <c r="I716" i="266"/>
  <c r="I715" i="266"/>
  <c r="I714" i="266"/>
  <c r="I713" i="266"/>
  <c r="I710" i="266"/>
  <c r="I709" i="266"/>
  <c r="I708" i="266"/>
  <c r="I707" i="266"/>
  <c r="I706" i="266"/>
  <c r="I705" i="266"/>
  <c r="I703" i="266"/>
  <c r="I702" i="266"/>
  <c r="I701" i="266"/>
  <c r="I700" i="266"/>
  <c r="I699" i="266"/>
  <c r="I698" i="266"/>
  <c r="I697" i="266"/>
  <c r="I692" i="266"/>
  <c r="I691" i="266"/>
  <c r="I690" i="266"/>
  <c r="I689" i="266"/>
  <c r="I688" i="266"/>
  <c r="I687" i="266"/>
  <c r="I686" i="266"/>
  <c r="I685" i="266"/>
  <c r="I684" i="266"/>
  <c r="I683" i="266"/>
  <c r="I682" i="266"/>
  <c r="I681" i="266"/>
  <c r="I680" i="266"/>
  <c r="I679" i="266"/>
  <c r="I678" i="266"/>
  <c r="I677" i="266"/>
  <c r="I676" i="266"/>
  <c r="I675" i="266"/>
  <c r="I674" i="266"/>
  <c r="I673" i="266"/>
  <c r="I672" i="266"/>
  <c r="I671" i="266"/>
  <c r="I670" i="266"/>
  <c r="I669" i="266"/>
  <c r="I668" i="266"/>
  <c r="I667" i="266"/>
  <c r="I666" i="266"/>
  <c r="I665" i="266"/>
  <c r="I664" i="266"/>
  <c r="I663" i="266"/>
  <c r="I662" i="266"/>
  <c r="I661" i="266"/>
  <c r="I660" i="266"/>
  <c r="I659" i="266"/>
  <c r="I658" i="266"/>
  <c r="I657" i="266"/>
  <c r="I656" i="266"/>
  <c r="I655" i="266"/>
  <c r="I654" i="266"/>
  <c r="I653" i="266"/>
  <c r="I652" i="266"/>
  <c r="I651" i="266"/>
  <c r="I650" i="266"/>
  <c r="I649" i="266"/>
  <c r="I648" i="266"/>
  <c r="I647" i="266"/>
  <c r="I646" i="266"/>
  <c r="I645" i="266"/>
  <c r="I644" i="266"/>
  <c r="I643" i="266"/>
  <c r="I642" i="266"/>
  <c r="I641" i="266"/>
  <c r="I640" i="266"/>
  <c r="I639" i="266"/>
  <c r="I638" i="266"/>
  <c r="I637" i="266"/>
  <c r="I636" i="266"/>
  <c r="I635" i="266"/>
  <c r="I634" i="266"/>
  <c r="I633" i="266"/>
  <c r="I632" i="266"/>
  <c r="I631" i="266"/>
  <c r="I630" i="266"/>
  <c r="I629" i="266"/>
  <c r="I628" i="266"/>
  <c r="I627" i="266"/>
  <c r="I626" i="266"/>
  <c r="I625" i="266"/>
  <c r="I624" i="266"/>
  <c r="I623" i="266"/>
  <c r="I622" i="266"/>
  <c r="I621" i="266"/>
  <c r="I620" i="266"/>
  <c r="I619" i="266"/>
  <c r="I618" i="266"/>
  <c r="I617" i="266"/>
  <c r="I616" i="266"/>
  <c r="I615" i="266"/>
  <c r="I614" i="266"/>
  <c r="I613" i="266"/>
  <c r="I612" i="266"/>
  <c r="I611" i="266"/>
  <c r="I610" i="266"/>
  <c r="I609" i="266"/>
  <c r="I608" i="266"/>
  <c r="I607" i="266"/>
  <c r="I606" i="266"/>
  <c r="I605" i="266"/>
  <c r="I604" i="266"/>
  <c r="I603" i="266"/>
  <c r="I602" i="266"/>
  <c r="I601" i="266"/>
  <c r="I600" i="266"/>
  <c r="I599" i="266"/>
  <c r="I598" i="266"/>
  <c r="I597" i="266"/>
  <c r="I596" i="266"/>
  <c r="I595" i="266"/>
  <c r="I594" i="266"/>
  <c r="I592" i="266"/>
  <c r="I591" i="266"/>
  <c r="I590" i="266"/>
  <c r="I589" i="266"/>
  <c r="I588" i="266"/>
  <c r="I587" i="266"/>
  <c r="I586" i="266"/>
  <c r="I585" i="266"/>
  <c r="I584" i="266"/>
  <c r="I583" i="266"/>
  <c r="I582" i="266"/>
  <c r="I581" i="266"/>
  <c r="I580" i="266"/>
  <c r="I579" i="266"/>
  <c r="I578" i="266"/>
  <c r="I577" i="266"/>
  <c r="I576" i="266"/>
  <c r="I575" i="266"/>
  <c r="I574" i="266"/>
  <c r="I573" i="266"/>
  <c r="I572" i="266"/>
  <c r="I571" i="266"/>
  <c r="I570" i="266"/>
  <c r="I569" i="266"/>
  <c r="I568" i="266"/>
  <c r="I567" i="266"/>
  <c r="I566" i="266"/>
  <c r="I565" i="266"/>
  <c r="I564" i="266"/>
  <c r="I563" i="266"/>
  <c r="I562" i="266"/>
  <c r="I561" i="266"/>
  <c r="I560" i="266"/>
  <c r="I559" i="266"/>
  <c r="I558" i="266"/>
  <c r="I557" i="266"/>
  <c r="I556" i="266"/>
  <c r="I555" i="266"/>
  <c r="I554" i="266"/>
  <c r="I553" i="266"/>
  <c r="I552" i="266"/>
  <c r="I551" i="266"/>
  <c r="I550" i="266"/>
  <c r="I549" i="266"/>
  <c r="I548" i="266"/>
  <c r="I547" i="266"/>
  <c r="I546" i="266"/>
  <c r="I545" i="266"/>
  <c r="I544" i="266"/>
  <c r="I543" i="266"/>
  <c r="I542" i="266"/>
  <c r="I541" i="266"/>
  <c r="I540" i="266"/>
  <c r="I539" i="266"/>
  <c r="I538" i="266"/>
  <c r="I537" i="266"/>
  <c r="I536" i="266"/>
  <c r="I535" i="266"/>
  <c r="I534" i="266"/>
  <c r="I533" i="266"/>
  <c r="I532" i="266"/>
  <c r="I531" i="266"/>
  <c r="I530" i="266"/>
  <c r="I529" i="266"/>
  <c r="I528" i="266"/>
  <c r="I527" i="266"/>
  <c r="I526" i="266"/>
  <c r="I525" i="266"/>
  <c r="I524" i="266"/>
  <c r="I523" i="266"/>
  <c r="I522" i="266"/>
  <c r="I521" i="266"/>
  <c r="I520" i="266"/>
  <c r="I519" i="266"/>
  <c r="I518" i="266"/>
  <c r="I517" i="266"/>
  <c r="I516" i="266"/>
  <c r="I515" i="266"/>
  <c r="I514" i="266"/>
  <c r="I513" i="266"/>
  <c r="I512" i="266"/>
  <c r="I511" i="266"/>
  <c r="I510" i="266"/>
  <c r="I509" i="266"/>
  <c r="I508" i="266"/>
  <c r="I507" i="266"/>
  <c r="I506" i="266"/>
  <c r="I505" i="266"/>
  <c r="I504" i="266"/>
  <c r="I503" i="266"/>
  <c r="I502" i="266"/>
  <c r="I501" i="266"/>
  <c r="I500" i="266"/>
  <c r="I499" i="266"/>
  <c r="I498" i="266"/>
  <c r="I497" i="266"/>
  <c r="I496" i="266"/>
  <c r="I495" i="266"/>
  <c r="I494" i="266"/>
  <c r="I493" i="266"/>
  <c r="I492" i="266"/>
  <c r="I491" i="266"/>
  <c r="I490" i="266"/>
  <c r="I489" i="266"/>
  <c r="I488" i="266"/>
  <c r="I487" i="266"/>
  <c r="I486" i="266"/>
  <c r="I485" i="266"/>
  <c r="I484" i="266"/>
  <c r="I483" i="266"/>
  <c r="I481" i="266"/>
  <c r="I480" i="266"/>
  <c r="I479" i="266"/>
  <c r="I478" i="266"/>
  <c r="I477" i="266"/>
  <c r="I476" i="266"/>
  <c r="I475" i="266"/>
  <c r="I474" i="266"/>
  <c r="I473" i="266"/>
  <c r="I472" i="266"/>
  <c r="I471" i="266"/>
  <c r="I470" i="266"/>
  <c r="I469" i="266"/>
  <c r="I468" i="266"/>
  <c r="I467" i="266"/>
  <c r="I466" i="266"/>
  <c r="I465" i="266"/>
  <c r="I464" i="266"/>
  <c r="I463" i="266"/>
  <c r="I462" i="266"/>
  <c r="I461" i="266"/>
  <c r="I460" i="266"/>
  <c r="I459" i="266"/>
  <c r="I458" i="266"/>
  <c r="I457" i="266"/>
  <c r="I456" i="266"/>
  <c r="I455" i="266"/>
  <c r="I454" i="266"/>
  <c r="I453" i="266"/>
  <c r="I452" i="266"/>
  <c r="I451" i="266"/>
  <c r="I450" i="266"/>
  <c r="I449" i="266"/>
  <c r="I448" i="266"/>
  <c r="I447" i="266"/>
  <c r="I446" i="266"/>
  <c r="I445" i="266"/>
  <c r="I444" i="266"/>
  <c r="I443" i="266"/>
  <c r="I442" i="266"/>
  <c r="I441" i="266"/>
  <c r="I440" i="266"/>
  <c r="I439" i="266"/>
  <c r="I438" i="266"/>
  <c r="I437" i="266"/>
  <c r="I436" i="266"/>
  <c r="I435" i="266"/>
  <c r="I434" i="266"/>
  <c r="I433" i="266"/>
  <c r="I432" i="266"/>
  <c r="I431" i="266"/>
  <c r="I430" i="266"/>
  <c r="I429" i="266"/>
  <c r="I428" i="266"/>
  <c r="I427" i="266"/>
  <c r="I426" i="266"/>
  <c r="I425" i="266"/>
  <c r="I424" i="266"/>
  <c r="I423" i="266"/>
  <c r="I422" i="266"/>
  <c r="I421" i="266"/>
  <c r="I420" i="266"/>
  <c r="I419" i="266"/>
  <c r="I418" i="266"/>
  <c r="I417" i="266"/>
  <c r="I416" i="266"/>
  <c r="I415" i="266"/>
  <c r="I414" i="266"/>
  <c r="I413" i="266"/>
  <c r="I412" i="266"/>
  <c r="I411" i="266"/>
  <c r="I410" i="266"/>
  <c r="I409" i="266"/>
  <c r="I408" i="266"/>
  <c r="I407" i="266"/>
  <c r="I406" i="266"/>
  <c r="I405" i="266"/>
  <c r="I404" i="266"/>
  <c r="I403" i="266"/>
  <c r="I402" i="266"/>
  <c r="I401" i="266"/>
  <c r="I400" i="266"/>
  <c r="I399" i="266"/>
  <c r="I398" i="266"/>
  <c r="I397" i="266"/>
  <c r="I396" i="266"/>
  <c r="I395" i="266"/>
  <c r="I394" i="266"/>
  <c r="I393" i="266"/>
  <c r="I392" i="266"/>
  <c r="I391" i="266"/>
  <c r="I390" i="266"/>
  <c r="I389" i="266"/>
  <c r="I388" i="266"/>
  <c r="I387" i="266"/>
  <c r="I386" i="266"/>
  <c r="I385" i="266"/>
  <c r="I384" i="266"/>
  <c r="I383" i="266"/>
  <c r="I382" i="266"/>
  <c r="I381" i="266"/>
  <c r="I380" i="266"/>
  <c r="I379" i="266"/>
  <c r="I378" i="266"/>
  <c r="I377" i="266"/>
  <c r="I376" i="266"/>
  <c r="I375" i="266"/>
  <c r="I374" i="266"/>
  <c r="I373" i="266"/>
  <c r="I372" i="266"/>
  <c r="I371" i="266"/>
  <c r="I370" i="266"/>
  <c r="I369" i="266"/>
  <c r="I368" i="266"/>
  <c r="I367" i="266"/>
  <c r="I366" i="266"/>
  <c r="I365" i="266"/>
  <c r="I364" i="266"/>
  <c r="I363" i="266"/>
  <c r="I362" i="266"/>
  <c r="I361" i="266"/>
  <c r="I360" i="266"/>
  <c r="I359" i="266"/>
  <c r="I358" i="266"/>
  <c r="I357" i="266"/>
  <c r="I356" i="266"/>
  <c r="I355" i="266"/>
  <c r="I354" i="266"/>
  <c r="I353" i="266"/>
  <c r="I352" i="266"/>
  <c r="I351" i="266"/>
  <c r="I350" i="266"/>
  <c r="I349" i="266"/>
  <c r="I348" i="266"/>
  <c r="I347" i="266"/>
  <c r="I346" i="266"/>
  <c r="I345" i="266"/>
  <c r="I344" i="266"/>
  <c r="I343" i="266"/>
  <c r="I342" i="266"/>
  <c r="I341" i="266"/>
  <c r="I340" i="266"/>
  <c r="I339" i="266"/>
  <c r="I338" i="266"/>
  <c r="I337" i="266"/>
  <c r="I336" i="266"/>
  <c r="I335" i="266"/>
  <c r="I334" i="266"/>
  <c r="I333" i="266"/>
  <c r="I332" i="266"/>
  <c r="I331" i="266"/>
  <c r="I330" i="266"/>
  <c r="I329" i="266"/>
  <c r="I328" i="266"/>
  <c r="I327" i="266"/>
  <c r="I326" i="266"/>
  <c r="I325" i="266"/>
  <c r="I324" i="266"/>
  <c r="I323" i="266"/>
  <c r="I322" i="266"/>
  <c r="I321" i="266"/>
  <c r="I320" i="266"/>
  <c r="I319" i="266"/>
  <c r="I318" i="266"/>
  <c r="I317" i="266"/>
  <c r="I316" i="266"/>
  <c r="I315" i="266"/>
  <c r="I314" i="266"/>
  <c r="I313" i="266"/>
  <c r="I312" i="266"/>
  <c r="I311" i="266"/>
  <c r="I310" i="266"/>
  <c r="I983" i="266"/>
  <c r="I981" i="266"/>
  <c r="I309" i="266"/>
  <c r="I307" i="266"/>
  <c r="I306" i="266"/>
  <c r="I304" i="266"/>
  <c r="I303" i="266"/>
  <c r="I302" i="266"/>
  <c r="I301" i="266"/>
  <c r="I300" i="266"/>
  <c r="I299" i="266"/>
  <c r="I298" i="266"/>
  <c r="I297" i="266"/>
  <c r="I296" i="266"/>
  <c r="I295" i="266"/>
  <c r="I294" i="266"/>
  <c r="I293" i="266"/>
  <c r="I292" i="266"/>
  <c r="I291" i="266"/>
  <c r="I290" i="266"/>
  <c r="I289" i="266"/>
  <c r="I288" i="266"/>
  <c r="I287" i="266"/>
  <c r="I286" i="266"/>
  <c r="I285" i="266"/>
  <c r="I284" i="266"/>
  <c r="I283" i="266"/>
  <c r="I282" i="266"/>
  <c r="I281" i="266"/>
  <c r="I280" i="266"/>
  <c r="I279" i="266"/>
  <c r="I278" i="266"/>
  <c r="I277" i="266"/>
  <c r="I276" i="266"/>
  <c r="I275" i="266"/>
  <c r="I274" i="266"/>
  <c r="I273" i="266"/>
  <c r="I272" i="266"/>
  <c r="I271" i="266"/>
  <c r="I270" i="266"/>
  <c r="I269" i="266"/>
  <c r="I268" i="266"/>
  <c r="I267" i="266"/>
  <c r="I266" i="266"/>
  <c r="I265" i="266"/>
  <c r="I264" i="266"/>
  <c r="I263" i="266"/>
  <c r="I262" i="266"/>
  <c r="I261" i="266"/>
  <c r="I260" i="266"/>
  <c r="I259" i="266"/>
  <c r="I258" i="266"/>
  <c r="I257" i="266"/>
  <c r="I256" i="266"/>
  <c r="I255" i="266"/>
  <c r="I254" i="266"/>
  <c r="I253" i="266"/>
  <c r="I252" i="266"/>
  <c r="I251" i="266"/>
  <c r="I250" i="266"/>
  <c r="I249" i="266"/>
  <c r="I248" i="266"/>
  <c r="I247" i="266"/>
  <c r="I246" i="266"/>
  <c r="I245" i="266"/>
  <c r="I244" i="266"/>
  <c r="I243" i="266"/>
  <c r="I242" i="266"/>
  <c r="I241" i="266"/>
  <c r="I240" i="266"/>
  <c r="I239" i="266"/>
  <c r="I238" i="266"/>
  <c r="I237" i="266"/>
  <c r="I236" i="266"/>
  <c r="I235" i="266"/>
  <c r="I234" i="266"/>
  <c r="I233" i="266"/>
  <c r="I232" i="266"/>
  <c r="I231" i="266"/>
  <c r="I230" i="266"/>
  <c r="I229" i="266"/>
  <c r="I228" i="266"/>
  <c r="I227" i="266"/>
  <c r="I226" i="266"/>
  <c r="I225" i="266"/>
  <c r="I224" i="266"/>
  <c r="I223" i="266"/>
  <c r="I222" i="266"/>
  <c r="I221" i="266"/>
  <c r="I220" i="266"/>
  <c r="I219" i="266"/>
  <c r="I218" i="266"/>
  <c r="I217" i="266"/>
  <c r="I216" i="266"/>
  <c r="I215" i="266"/>
  <c r="I214" i="266"/>
  <c r="I213" i="266"/>
  <c r="I212" i="266"/>
  <c r="I211" i="266"/>
  <c r="I210" i="266"/>
  <c r="I209" i="266"/>
  <c r="I208" i="266"/>
  <c r="I207" i="266"/>
  <c r="I206" i="266"/>
  <c r="I205" i="266"/>
  <c r="I204" i="266"/>
  <c r="I203" i="266"/>
  <c r="I202" i="266"/>
  <c r="I201" i="266"/>
  <c r="I200" i="266"/>
  <c r="I199" i="266"/>
  <c r="I198" i="266"/>
  <c r="I197" i="266"/>
  <c r="I196" i="266"/>
  <c r="I195" i="266"/>
  <c r="I194" i="266"/>
  <c r="I193" i="266"/>
  <c r="I192" i="266"/>
  <c r="I191" i="266"/>
  <c r="I190" i="266"/>
  <c r="I189" i="266"/>
  <c r="I188" i="266"/>
  <c r="I187" i="266"/>
  <c r="I186" i="266"/>
  <c r="I185" i="266"/>
  <c r="I184" i="266"/>
  <c r="I183" i="266"/>
  <c r="I182" i="266"/>
  <c r="I181" i="266"/>
  <c r="I180" i="266"/>
  <c r="I179" i="266"/>
  <c r="I178" i="266"/>
  <c r="I177" i="266"/>
  <c r="I176" i="266"/>
  <c r="I175" i="266"/>
  <c r="I174" i="266"/>
  <c r="I173" i="266"/>
  <c r="I172" i="266"/>
  <c r="I171" i="266"/>
  <c r="I170" i="266"/>
  <c r="I169" i="266"/>
  <c r="I168" i="266"/>
  <c r="I167" i="266"/>
  <c r="I166" i="266"/>
  <c r="I165" i="266"/>
  <c r="I164" i="266"/>
  <c r="I163" i="266"/>
  <c r="I162" i="266"/>
  <c r="I161" i="266"/>
  <c r="I160" i="266"/>
  <c r="I159" i="266"/>
  <c r="I158" i="266"/>
  <c r="I156" i="266"/>
  <c r="I155" i="266"/>
  <c r="I154" i="266"/>
  <c r="I153" i="266"/>
  <c r="I152" i="266"/>
  <c r="I151" i="266"/>
  <c r="I150" i="266"/>
  <c r="I149" i="266"/>
  <c r="I148" i="266"/>
  <c r="I147" i="266"/>
  <c r="I146" i="266"/>
  <c r="I145" i="266"/>
  <c r="I144" i="266"/>
  <c r="I143" i="266"/>
  <c r="I142" i="266"/>
  <c r="I141" i="266"/>
  <c r="I140" i="266"/>
  <c r="I134" i="266"/>
  <c r="I133" i="266"/>
  <c r="I132" i="266"/>
  <c r="I131" i="266"/>
  <c r="I130" i="266"/>
  <c r="I129" i="266"/>
  <c r="I128" i="266"/>
  <c r="I127" i="266"/>
  <c r="I126" i="266"/>
  <c r="I125" i="266"/>
  <c r="I124" i="266"/>
  <c r="I123" i="266"/>
  <c r="I122" i="266"/>
  <c r="I121" i="266"/>
  <c r="I120" i="266"/>
  <c r="I119" i="266"/>
  <c r="I118" i="266"/>
  <c r="I117" i="266"/>
  <c r="I116" i="266"/>
  <c r="I115" i="266"/>
  <c r="I114" i="266"/>
  <c r="I113" i="266"/>
  <c r="I112" i="266"/>
  <c r="I111" i="266"/>
  <c r="I110" i="266"/>
  <c r="I109" i="266"/>
  <c r="I108" i="266"/>
  <c r="I107" i="266"/>
  <c r="I106" i="266"/>
  <c r="I105" i="266"/>
  <c r="I104" i="266"/>
  <c r="I103" i="266"/>
  <c r="I102" i="266"/>
  <c r="I101" i="266"/>
  <c r="I100" i="266"/>
  <c r="I99" i="266"/>
  <c r="I98" i="266"/>
  <c r="I97" i="266"/>
  <c r="I96" i="266"/>
  <c r="I95" i="266"/>
  <c r="I94" i="266"/>
  <c r="I93" i="266"/>
  <c r="I92" i="266"/>
  <c r="I91" i="266"/>
  <c r="I90" i="266"/>
  <c r="I89" i="266"/>
  <c r="I88" i="266"/>
  <c r="I87" i="266"/>
  <c r="I86" i="266"/>
  <c r="I85" i="266"/>
  <c r="I84" i="266"/>
  <c r="I83" i="266"/>
  <c r="I82" i="266"/>
  <c r="I81" i="266"/>
  <c r="I80" i="266"/>
  <c r="I79" i="266"/>
  <c r="I78" i="266"/>
  <c r="I77" i="266"/>
  <c r="I76" i="266"/>
  <c r="I75" i="266"/>
  <c r="I74" i="266"/>
  <c r="I73" i="266"/>
  <c r="I72" i="266"/>
  <c r="I71" i="266"/>
  <c r="I70" i="266"/>
  <c r="I69" i="266"/>
  <c r="I68" i="266"/>
  <c r="I67" i="266"/>
  <c r="I66" i="266"/>
  <c r="I65" i="266"/>
  <c r="I64" i="266"/>
  <c r="I63" i="266"/>
  <c r="I62" i="266"/>
  <c r="I61" i="266"/>
  <c r="I60" i="266"/>
  <c r="I59" i="266"/>
  <c r="I58" i="266"/>
  <c r="I57" i="266"/>
  <c r="I56" i="266"/>
  <c r="I55" i="266"/>
  <c r="I54" i="266"/>
  <c r="I53" i="266"/>
  <c r="I52" i="266"/>
  <c r="I51" i="266"/>
  <c r="I50" i="266"/>
  <c r="I49" i="266"/>
  <c r="I48" i="266"/>
  <c r="I47" i="266"/>
  <c r="I46" i="266"/>
  <c r="I45" i="266"/>
  <c r="I44" i="266"/>
  <c r="I43" i="266"/>
  <c r="I42" i="266"/>
  <c r="I41" i="266"/>
  <c r="I40" i="266"/>
  <c r="I39" i="266"/>
  <c r="I38" i="266"/>
  <c r="I37" i="266"/>
  <c r="I36" i="266"/>
  <c r="I35" i="266"/>
  <c r="I34" i="266"/>
  <c r="I33" i="266"/>
  <c r="I32" i="266"/>
  <c r="I31" i="266"/>
  <c r="I30" i="266"/>
  <c r="I29" i="266"/>
  <c r="I28" i="266"/>
  <c r="I27" i="266"/>
  <c r="I26" i="266"/>
  <c r="I25" i="266"/>
  <c r="I24" i="266"/>
  <c r="I23" i="266"/>
  <c r="I22" i="266"/>
  <c r="I21" i="266"/>
  <c r="I20" i="266"/>
  <c r="I19" i="266"/>
  <c r="I18" i="266"/>
  <c r="I17" i="266"/>
  <c r="I16" i="266"/>
  <c r="I15" i="266"/>
  <c r="I14" i="266"/>
  <c r="I13" i="266"/>
  <c r="I12" i="266"/>
  <c r="I11" i="266"/>
  <c r="I10" i="266"/>
  <c r="I9" i="266"/>
  <c r="I8" i="266"/>
  <c r="I7" i="266"/>
  <c r="I6" i="266"/>
  <c r="G2" i="189" l="1"/>
  <c r="H2" i="189" l="1"/>
  <c r="I18" i="189" s="1"/>
  <c r="I12" i="189" l="1"/>
  <c r="I6" i="189"/>
  <c r="I9" i="189"/>
  <c r="I28" i="189"/>
  <c r="I31" i="189"/>
  <c r="I15" i="189"/>
  <c r="I24" i="189"/>
  <c r="G2" i="2"/>
  <c r="G2" i="105" l="1"/>
  <c r="H2" i="105" s="1"/>
  <c r="G2" i="8"/>
  <c r="H2" i="8" s="1"/>
  <c r="G2" i="6"/>
  <c r="H2" i="6" s="1"/>
  <c r="G2" i="5"/>
  <c r="D8" i="154" s="1"/>
  <c r="G2" i="4"/>
  <c r="H2" i="4" s="1"/>
  <c r="G2" i="3"/>
  <c r="H2" i="3" s="1"/>
  <c r="E8" i="154" l="1"/>
  <c r="I24" i="31"/>
  <c r="I34" i="31"/>
  <c r="I31" i="8"/>
  <c r="I18" i="8"/>
  <c r="I6" i="8"/>
  <c r="I9" i="8"/>
  <c r="I28" i="8"/>
  <c r="I15" i="8"/>
  <c r="I21" i="8"/>
  <c r="I24" i="8"/>
  <c r="I12" i="8"/>
  <c r="I20" i="105"/>
  <c r="I8" i="105"/>
  <c r="I27" i="105"/>
  <c r="I23" i="105"/>
  <c r="I30" i="105"/>
  <c r="I17" i="105"/>
  <c r="I5" i="105"/>
  <c r="I14" i="105"/>
  <c r="I11" i="105"/>
  <c r="I23" i="6"/>
  <c r="I11" i="6"/>
  <c r="I5" i="6"/>
  <c r="I20" i="6"/>
  <c r="I8" i="6"/>
  <c r="I27" i="6"/>
  <c r="I30" i="6"/>
  <c r="I17" i="6"/>
  <c r="I14" i="6"/>
  <c r="I31" i="4"/>
  <c r="I18" i="4"/>
  <c r="I6" i="4"/>
  <c r="I12" i="4"/>
  <c r="I9" i="4"/>
  <c r="I28" i="4"/>
  <c r="I15" i="4"/>
  <c r="I24" i="4"/>
  <c r="I21" i="4"/>
  <c r="I30" i="3"/>
  <c r="I17" i="3"/>
  <c r="I5" i="3"/>
  <c r="I8" i="3"/>
  <c r="I27" i="3"/>
  <c r="I14" i="3"/>
  <c r="I20" i="3"/>
  <c r="I23" i="3"/>
  <c r="I11" i="3"/>
  <c r="H2" i="5"/>
  <c r="H2" i="2"/>
  <c r="I35" i="2" s="1"/>
  <c r="I12" i="31"/>
  <c r="I28" i="31"/>
  <c r="I15" i="31"/>
  <c r="I31" i="31"/>
  <c r="I6" i="31"/>
  <c r="I18" i="31"/>
  <c r="I9" i="31"/>
  <c r="I4" i="2"/>
  <c r="G4" i="2"/>
  <c r="I7" i="2" l="1"/>
  <c r="I21" i="2106"/>
  <c r="I21" i="2108"/>
  <c r="I21" i="2107"/>
  <c r="I27" i="5"/>
  <c r="I14" i="5"/>
  <c r="I17" i="5"/>
  <c r="I23" i="5"/>
  <c r="I11" i="5"/>
  <c r="I30" i="5"/>
  <c r="I20" i="5"/>
  <c r="I8" i="5"/>
  <c r="I5" i="5"/>
  <c r="H4" i="2"/>
  <c r="I21" i="189"/>
  <c r="I19" i="2"/>
  <c r="I25" i="2"/>
  <c r="I21" i="31"/>
  <c r="I32" i="2"/>
  <c r="I16" i="2"/>
  <c r="I13" i="2"/>
  <c r="I10" i="2"/>
  <c r="I22" i="2"/>
  <c r="I2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REPORTE BODEGA" description="Conexión a la consulta 'REPORTE BODEGA' en el libro." type="5" refreshedVersion="0" background="1">
    <dbPr connection="Provider=Microsoft.Mashup.OleDb.1;Data Source=$Workbook$;Location=&quot;REPORTE BODEGA&quot;;Extended Properties=&quot;&quot;" command="SELECT * FROM [REPORTE BODEGA]"/>
  </connection>
</connections>
</file>

<file path=xl/sharedStrings.xml><?xml version="1.0" encoding="utf-8"?>
<sst xmlns="http://schemas.openxmlformats.org/spreadsheetml/2006/main" count="7691" uniqueCount="2283">
  <si>
    <t>PD PEDIALYTE UVA 60 MEQ 500ML (12)</t>
  </si>
  <si>
    <t>PD39242</t>
  </si>
  <si>
    <t>PD PEDIALYTE FRESA 60 MEQ 500ML (12)</t>
  </si>
  <si>
    <t>PD39842</t>
  </si>
  <si>
    <t>PD PEDIALYTE CLASICO 30 MEQ 500ML (12)</t>
  </si>
  <si>
    <t>PD39206</t>
  </si>
  <si>
    <t>PD PEDIALYTE CEREZA 30 MEQ 500ML (12)</t>
  </si>
  <si>
    <t>PD39248</t>
  </si>
  <si>
    <t>BONI GORRAS PEDIALYTE</t>
  </si>
  <si>
    <t>GTPDL003</t>
  </si>
  <si>
    <t>IQUI CLORO MAGICLOR POPULINO 1X4X12 235ML</t>
  </si>
  <si>
    <t>IQM1010111</t>
  </si>
  <si>
    <t>IQUI CLORO MAGICLOR POPULINO 1X12X6 235ML</t>
  </si>
  <si>
    <t>IQM1010110</t>
  </si>
  <si>
    <t>KELL CHOCO KRISPIS MINI SCH 5X12X22G (5)</t>
  </si>
  <si>
    <t>BEST GALLETA FRESA 24X12X22G (24)</t>
  </si>
  <si>
    <t>PT01212</t>
  </si>
  <si>
    <t>BEST GALLETA CHOCOLATE 24X12X22G (24)</t>
  </si>
  <si>
    <t>PT01223</t>
  </si>
  <si>
    <t>XHC DIN ROKU JAB SALMON 400G (4)</t>
  </si>
  <si>
    <t>DCASA MIRASOL MARG 24X5X80G</t>
  </si>
  <si>
    <t>DCAS2310</t>
  </si>
  <si>
    <t>DCASA HEINZ PERA FLEX 24X113G</t>
  </si>
  <si>
    <t>DCAS0534</t>
  </si>
  <si>
    <t>DCASA HEINZ MANZANA FLEX 24X113G</t>
  </si>
  <si>
    <t>DCAS0531</t>
  </si>
  <si>
    <t>DCASA HEINZ BANANO FLEX 24X113G</t>
  </si>
  <si>
    <t>DCAS0532</t>
  </si>
  <si>
    <t>ALD SONETTO CHOCOLATE BLANCO 16X110u (16)</t>
  </si>
  <si>
    <t>ALD05697</t>
  </si>
  <si>
    <t>NSK TAJIN CLASICO TIRA  DE 12 SCH (44T)</t>
  </si>
  <si>
    <t>N8680</t>
  </si>
  <si>
    <t>NSK LAVAPLATOS AXION MAQUETAS 250 GR (42)</t>
  </si>
  <si>
    <t>N7520</t>
  </si>
  <si>
    <t>NSK LAVAPLATOS AXION LIMON TIRA 115GR (6)</t>
  </si>
  <si>
    <t>N7516</t>
  </si>
  <si>
    <t>NSK JABON PROTEX FRESH 110GR (96)</t>
  </si>
  <si>
    <t>N7525</t>
  </si>
  <si>
    <t>NSK JABON PROTEX AVENA 110GR (96)</t>
  </si>
  <si>
    <t>N7526</t>
  </si>
  <si>
    <t>NSK JABON PROTEX ALOE 110GR (96)</t>
  </si>
  <si>
    <t>N7524</t>
  </si>
  <si>
    <t>NSK FRUTY DULCE BOLSA 17</t>
  </si>
  <si>
    <t>NSK5595</t>
  </si>
  <si>
    <t>NSK COLGATE KIT DE CEPILL 1X24TX6UNDS</t>
  </si>
  <si>
    <t>N7545</t>
  </si>
  <si>
    <t>NSK AZISTIN ALTERNATIVO CLORO 1X6X12U/80ML</t>
  </si>
  <si>
    <t>N7748</t>
  </si>
  <si>
    <t>QUA YUS LIMONADA CON CHAN 9X15X28g</t>
  </si>
  <si>
    <t>QUA YUS HORCHATA 9X15X28g</t>
  </si>
  <si>
    <t>QUA PROMOCION SAVILOE 500ML 9+3 (PAQUETE)</t>
  </si>
  <si>
    <t>QUA JUGOS YA NARANJA 10X15</t>
  </si>
  <si>
    <t>QUA JUGOS YA JAMAICA 10X15</t>
  </si>
  <si>
    <t>QUA JUGOS YA DURAZNO 10X15</t>
  </si>
  <si>
    <t>BONI QUA FRIJOL NEGRO LAT 5.5 OZ (48)</t>
  </si>
  <si>
    <t>GTQ0014</t>
  </si>
  <si>
    <t>XHC XEDEX P MULTI LIMP ACTIVA 20X250G</t>
  </si>
  <si>
    <t>XHC XEDEX P MAXIMO PODER 30X450G</t>
  </si>
  <si>
    <t>XHC XEDEX P MAXIMO PODER 13X900G</t>
  </si>
  <si>
    <t>XHC XEDEX P ANTIBACT 20X250G</t>
  </si>
  <si>
    <t>SCH SEDAL SH NEGRO LUM 24X28X10ML</t>
  </si>
  <si>
    <t>SCH SAVILE SH BIOTINA 12X28X15ML</t>
  </si>
  <si>
    <t>SCH SAVILE SH ARGAN 24X28X15ML</t>
  </si>
  <si>
    <t>SCH SAVILE SH 2EN1 24X28X15ML</t>
  </si>
  <si>
    <t>SCH SAVILE SH 2EN1 12X28X15ML</t>
  </si>
  <si>
    <t>SCH DOVE SUPER AC 60 20X12X12ML (20)</t>
  </si>
  <si>
    <t>SCH DOVE SH OLEO NUTRI 24X28X10ML</t>
  </si>
  <si>
    <t>REXONA CLINICAL CLEAN SCENT 12X48G</t>
  </si>
  <si>
    <t>REXONA AERO V8 12X90G</t>
  </si>
  <si>
    <t>REXONA AERO BAMBOO 12X90G</t>
  </si>
  <si>
    <t>FOOD NATURAS SALSA TOMATE RANCHERA 96X100G</t>
  </si>
  <si>
    <t>FOOD NATURAS SALSA TOMATE C/CARNES 96X100G</t>
  </si>
  <si>
    <t>FOOD NATURAS SALSA C/QUESO 96X100G</t>
  </si>
  <si>
    <t>FOOD NATURAS JUMB SSA RANCH 24X100G</t>
  </si>
  <si>
    <t>FOOD MAIZENA FECULA MAIZ NATURAL 20X20X47G</t>
  </si>
  <si>
    <t>FOOD MAIZENA FECULA BAN/FRESA/VAIN 16X12X47G</t>
  </si>
  <si>
    <t>FOOD KNORR SOPA POLL VERD CODITO 12X12X54G</t>
  </si>
  <si>
    <t>FOOD KNORR SOPA GAL CRIOL C/FIDEOS 12X12X54G</t>
  </si>
  <si>
    <t>FOOD KNORR SOPA GAL C/CONCHI 12X12X54G</t>
  </si>
  <si>
    <t>FOOD KNORR SOPA GAL C/ARROZ CHIP 12X12X55G</t>
  </si>
  <si>
    <t>FOOD KNORR SOPA COST CRIOL C/FID 12X12X55G</t>
  </si>
  <si>
    <t>EGO GEL POWER 4X6X110ML</t>
  </si>
  <si>
    <t>EGO GEL CONTROL CAIDA 6X30X12ML</t>
  </si>
  <si>
    <t>EGO GEL ATTRAC 6/30/12ML</t>
  </si>
  <si>
    <t>EGO GEL ATTRAC 24/110ML</t>
  </si>
  <si>
    <t>DOVE AERO DERMO ACLARANT 12X89G</t>
  </si>
  <si>
    <t>BONI SAVILE ANTICASPA 7 und</t>
  </si>
  <si>
    <t>GTUL0021</t>
  </si>
  <si>
    <t>BONI COLADOR</t>
  </si>
  <si>
    <t>GTUL0020</t>
  </si>
  <si>
    <t>AXE AERO VITTO DARK TEMPT12X58G</t>
  </si>
  <si>
    <t>IAK KERNS TE DURAZNO 2500ml (6)</t>
  </si>
  <si>
    <t>K177507</t>
  </si>
  <si>
    <t>IAK KERNS PASTA TOMATE LATA 48X6oz</t>
  </si>
  <si>
    <t>K51818</t>
  </si>
  <si>
    <t>IAK KERNS PASTA TOMATE 4 Oz DyP (48)</t>
  </si>
  <si>
    <t>K59080</t>
  </si>
  <si>
    <t>IAK KERNS NECT PERA TETR 250ml (24)</t>
  </si>
  <si>
    <t>K129030</t>
  </si>
  <si>
    <t>IAK KERNS NECT MELOC TETR 24X250ml</t>
  </si>
  <si>
    <t>K129029</t>
  </si>
  <si>
    <t>IAK KERNS 330ml NECT MELOCOTON (24)</t>
  </si>
  <si>
    <t>K167451</t>
  </si>
  <si>
    <t>K154182</t>
  </si>
  <si>
    <t>IAK KERNS 157mL COCTEL VEGETALES (48)</t>
  </si>
  <si>
    <t>K154264</t>
  </si>
  <si>
    <t>IAK FUN C REFR MELOC 200ML TETR (24)</t>
  </si>
  <si>
    <t>K124100</t>
  </si>
  <si>
    <t>IAK FUN C REFR MANZ 200ML TETR (24)</t>
  </si>
  <si>
    <t>K124099</t>
  </si>
  <si>
    <t>IAK DUCAL FRIJ ROJO LAT 5.5oz (48)</t>
  </si>
  <si>
    <t>K51790</t>
  </si>
  <si>
    <t>IAK DUCAL FRIJ NEGR LAT 15oz (24)</t>
  </si>
  <si>
    <t>K73543</t>
  </si>
  <si>
    <t>IAK DUCAL FRIJ NEGR LAT 10.5oz (48)</t>
  </si>
  <si>
    <t>K51795</t>
  </si>
  <si>
    <t>IAK DUCAL FRIJ NEGR DyP 40oz (12)</t>
  </si>
  <si>
    <t>K172835</t>
  </si>
  <si>
    <t>IAK DUCAL FRIJ NEGR DyP 14.1oz (18)</t>
  </si>
  <si>
    <t>K150801</t>
  </si>
  <si>
    <t>IAK DUCAL FRIJ CHUB ROJO ENT 1.82kgs (6)</t>
  </si>
  <si>
    <t>K135164</t>
  </si>
  <si>
    <t>IAK DUCAL BEB TETR MELOC 200ml (24)</t>
  </si>
  <si>
    <t>K156745</t>
  </si>
  <si>
    <t>IAK DUCAL BEB TETR MANZ 200ml (24)</t>
  </si>
  <si>
    <t>K156746</t>
  </si>
  <si>
    <t>IAK DUCAL BEB HOJALAT PIÑA 154ml (48)</t>
  </si>
  <si>
    <t>K156805</t>
  </si>
  <si>
    <t>IAK DUCAL BEB ALUMIN MANZ 330ml (24)</t>
  </si>
  <si>
    <t>K157301</t>
  </si>
  <si>
    <t>BONI IAK PASTA TOMATE 4 OZ DYP</t>
  </si>
  <si>
    <t>GT0029K</t>
  </si>
  <si>
    <t>BONI IAK FUN C TETRA MELOCOTON 200ML</t>
  </si>
  <si>
    <t>GT0055K</t>
  </si>
  <si>
    <t>BONI IAK FUN C TETRA MANZANA 200ML</t>
  </si>
  <si>
    <t>GT003K</t>
  </si>
  <si>
    <t>BONI IAK DUCAL FRIJOL NEGRO DyP 8 ONZ</t>
  </si>
  <si>
    <t>GT0024K</t>
  </si>
  <si>
    <t>BONI IAK DUCAL FRIJOL LATA 10.5 OZ (48)</t>
  </si>
  <si>
    <t>GT0019K</t>
  </si>
  <si>
    <t>ALC ORO MAY HARIN MAIZ BLANC 5LB (6)</t>
  </si>
  <si>
    <t>ALC ORO MAY HARIN MAIZ BLANC 400G (20)</t>
  </si>
  <si>
    <t>ALC ORO MAY HARIN MAIZ BLANC 2LB (9)</t>
  </si>
  <si>
    <t>ALC ARROZ MOLINER BLANC 400G (25)</t>
  </si>
  <si>
    <t>ALC ARROZ MACAREN PREC 400G (25)</t>
  </si>
  <si>
    <t>ALC ARROZ MACARE BLANC 400G (25)</t>
  </si>
  <si>
    <t>ALC ARROZ GALL DORA PREC 400G (25)</t>
  </si>
  <si>
    <t>ALC ARROZ ESTRELLA PRECO 350G (25)</t>
  </si>
  <si>
    <t>ALC ARROZ ESTRELLA BLANCO 350G (25)</t>
  </si>
  <si>
    <t>KMD EL ARTESANO SALSA CHILTEPE 95g</t>
  </si>
  <si>
    <t>KMD10080010001</t>
  </si>
  <si>
    <t>XHC XEDEX P SUAVIZ YLANG 30X125G</t>
  </si>
  <si>
    <t>XHC XEDEX P SUAVIZ YLANG 15X1KG</t>
  </si>
  <si>
    <t>HC</t>
  </si>
  <si>
    <t>XHC XEDEX P SUAVIZ B PRIMAV 30X125G</t>
  </si>
  <si>
    <t>XHC XEDEX P SUAV B PRIMAV 15X1KG</t>
  </si>
  <si>
    <t>XHC XEDEX P REMOJO 30X125G</t>
  </si>
  <si>
    <t>XHC XEDEX P PROTECCION COLOR 20X250G</t>
  </si>
  <si>
    <t>XHC XEDEX P PROTECCION COLOR 15X1KG</t>
  </si>
  <si>
    <t>XHC XEDEX P MULTI LIMP ACTIVA 30X125G</t>
  </si>
  <si>
    <t>XHC XEDEX P MULTI LIMP ACTIVA 15X1KG</t>
  </si>
  <si>
    <t>XHC XEDEX P ANTIBAC 15X1KG</t>
  </si>
  <si>
    <t>XHC XEDEX LIQ PROTEC COLOR DYP 5X12X100ML</t>
  </si>
  <si>
    <t>XHC XEDEX LIQ FLORAL DYP 5X12X100ML</t>
  </si>
  <si>
    <t>XHC XEDEX JAB LIQ FLORAL DYP 12X450ML</t>
  </si>
  <si>
    <t>XHC VENZA JABON VITAMINA E 110g (72)</t>
  </si>
  <si>
    <t>XHC VENZA JABON SABILA 110g (72)</t>
  </si>
  <si>
    <t>XHC VENZA JABON FRESCURA EXTR 110g (72)</t>
  </si>
  <si>
    <t>XHC VENZA JABON AVENA 110g (72)</t>
  </si>
  <si>
    <t>XHC SURF P ROSAS 15X1KG</t>
  </si>
  <si>
    <t>XHC SURF P FUERZA SOLAR 30X125G</t>
  </si>
  <si>
    <t>XHC SURF P FUERZA SOLAR 15X1KG</t>
  </si>
  <si>
    <t>XHC SURF P FUERZA FLORES 30X450G</t>
  </si>
  <si>
    <t>XHC</t>
  </si>
  <si>
    <t>XHC SURF P FUERZA FLORES 15X1KG</t>
  </si>
  <si>
    <t>XHC RINSO P ROSAS Y LILAS 30X140G</t>
  </si>
  <si>
    <t>XHC RINSO P ROSAS Y LILAS 15X1KG</t>
  </si>
  <si>
    <t>XHC RINSO P JAZM MED NOCHE ORQ 15X1KG</t>
  </si>
  <si>
    <t>XHC RINSO P HORTENSIAS 30X140G</t>
  </si>
  <si>
    <t>XHC RINSO P HORTENSIAS 15X1KG</t>
  </si>
  <si>
    <t>XHC RINSO P HORTENSIAS  30X140G</t>
  </si>
  <si>
    <t>XHC REXONA JAB BAMBOO 48X125G</t>
  </si>
  <si>
    <t>XHC REXONA JAB AVENA 48X125G</t>
  </si>
  <si>
    <t>XHC REXONA JAB ANTIBAC FRESH 48X125G</t>
  </si>
  <si>
    <t>XHC MAX PODER VERDE LIMON 6X3X400G</t>
  </si>
  <si>
    <t>XHC MAX PODER VERDE 6X4X350G</t>
  </si>
  <si>
    <t>XHC MAX PODER VERDE 6X3X400G</t>
  </si>
  <si>
    <t>XHC MAX PODER ROSADO 6X3X400G</t>
  </si>
  <si>
    <t>XHC MAX PODER NARANJA 6X3X425G</t>
  </si>
  <si>
    <t>XHC MAX PODER NARANJA 6X3X400G</t>
  </si>
  <si>
    <t>XHC MAX PODER BLANCO 6X4X350G</t>
  </si>
  <si>
    <t>XHC MAX PODER BLANCO 6X3X400G</t>
  </si>
  <si>
    <t>XHC MAX PODER AZUL 6X4X350G</t>
  </si>
  <si>
    <t>XHC MAX PODER AZUL  6X3X425G</t>
  </si>
  <si>
    <t>XHC MAX PODER AZUL  6X3X400G</t>
  </si>
  <si>
    <t>XHC MAX PODER AMARILLO 6X3X400G</t>
  </si>
  <si>
    <t>XHC MAX MB NARANJA 6X3X575G</t>
  </si>
  <si>
    <t>XHC MAX MB NARANJA 6X3X540G</t>
  </si>
  <si>
    <t>XHC MAX MB BLANCA 6X3X540G</t>
  </si>
  <si>
    <t>XHC MAX MB BLANC/VERD DUOX 6X3X575G</t>
  </si>
  <si>
    <t>XHC MAX MB BLANC/VERD DUOX 6X3X540G</t>
  </si>
  <si>
    <t>XHC MAX MB BLANC/NAR DUOX 6X3X540G</t>
  </si>
  <si>
    <t>XHC MAX BLANC/VERDE DUOX 6X4X350G</t>
  </si>
  <si>
    <t>XHC MAX BLANC/NARAN DUOX 6X4X350G</t>
  </si>
  <si>
    <t>XHC MAX BLANC/NARAN DUOX 6X3X425G</t>
  </si>
  <si>
    <t>XHC MAX BLANC/NARAN DUOX 6X3X400G</t>
  </si>
  <si>
    <t>XHC MAX BLANC/AZUL DUOX 6X4X350G</t>
  </si>
  <si>
    <t>XHC MAX BLANC/AZUL DUOX 6X3X425G</t>
  </si>
  <si>
    <t>XHC MAX BLANC/AZUL DUOX 6X3X400G</t>
  </si>
  <si>
    <t>XHC LIMPIOX CILINDRO LIMON 18X340G</t>
  </si>
  <si>
    <t>HX</t>
  </si>
  <si>
    <t>XHC DOVE JAB CUIDA PROTEGE 48X90G</t>
  </si>
  <si>
    <t>XHC DOVE JAB BLANCO ORIGINAL 48X90G</t>
  </si>
  <si>
    <t>XHC DOVE JAB BABY HUMECTANTE 48X75G</t>
  </si>
  <si>
    <t>HXC</t>
  </si>
  <si>
    <t>XHC DIN ZIXX JAB VERDE 400G (6)</t>
  </si>
  <si>
    <t>XHC DIN ZIXX JAB ROSADO 400G (6)</t>
  </si>
  <si>
    <t>XHC DIN ZIXX JAB LILA 400G (6)</t>
  </si>
  <si>
    <t>XHC DIN ZIXX JAB BLANCO 400G (6)</t>
  </si>
  <si>
    <t>XHC DIN ZIXX JAB AZUL 400G (6)</t>
  </si>
  <si>
    <t>XHC DIN ZIXX JAB AVENA 400G (6)</t>
  </si>
  <si>
    <t>XHC DIN ZIXX JAB AMARILLO 400G (6)</t>
  </si>
  <si>
    <t>XHC DIN SUAVISSIMO LLUVIA VIOLETAS 80ml (6)</t>
  </si>
  <si>
    <t>XHC DIN ROKU JAB AQUA 400G (4)</t>
  </si>
  <si>
    <t>XHC DIN ROKU JAB AMARILLO 400G (4)</t>
  </si>
  <si>
    <t>XHC CENTELLA CHIBOLONA AMARILLO 4X3X400G</t>
  </si>
  <si>
    <t>XHC CENTELLA CHIBOL VERDE 6X3X300G</t>
  </si>
  <si>
    <t>XHC CENTELLA CHIBOL VERDE 4X3X425G</t>
  </si>
  <si>
    <t>XHC CENTELLA CHIBOL ROSADA 4X3X425G</t>
  </si>
  <si>
    <t>XHC CENTELLA CHIBOL BLANCA 6X3X300G</t>
  </si>
  <si>
    <t>XHC CENTELLA CHIBOL BLANCA 4X3X425G</t>
  </si>
  <si>
    <t>XHC CENTELLA CHIBOL AMARILLA 4X3X425G</t>
  </si>
  <si>
    <t>XHC CENTELLA CAMPEON VERDE 6X4X330G</t>
  </si>
  <si>
    <t>XHC CENTELLA CAMPEON BLANCO 6X4X350G</t>
  </si>
  <si>
    <t>XEDEX POLVO TQ SUAV B PRIMAV 15X1KG</t>
  </si>
  <si>
    <t>SURF POLVO FUERZA SOLAR 10X900G</t>
  </si>
  <si>
    <t>Spray Desinfectante Bioklar sin fragancia (Display de 12 Unidades)</t>
  </si>
  <si>
    <t>BIOKLAR</t>
  </si>
  <si>
    <t>INP7401192400136</t>
  </si>
  <si>
    <t>Spray Desinfectante Bioklar sin fragancia</t>
  </si>
  <si>
    <t>INP7401192400143</t>
  </si>
  <si>
    <t>SNICKER BARRA 8X48</t>
  </si>
  <si>
    <t xml:space="preserve">Ninoshka </t>
  </si>
  <si>
    <t>N0333</t>
  </si>
  <si>
    <t>SEDAL SH 340 ML RIZOS DEFINIDOS (12)</t>
  </si>
  <si>
    <t>SEDAL SH 340 ML NEGROS LUMINOSOS (12)</t>
  </si>
  <si>
    <t>SEDAL SH 340 ML LISO PERFECTO (12)</t>
  </si>
  <si>
    <t>PC</t>
  </si>
  <si>
    <t>SEDAL SH 340 ML CERAMIDAS (12)</t>
  </si>
  <si>
    <t>SEDAL CR PEIN NEGROS LUMIN 12X300ML</t>
  </si>
  <si>
    <t>SEDAL CR 300 ML PEIN RIZOS OBEDIENTES (12)</t>
  </si>
  <si>
    <t>SEDAL CR 300 ML PEIN LISOS PERFEC (12)</t>
  </si>
  <si>
    <t>SEDAL AC 340 ML RIZOS DEFINIDOS (12)</t>
  </si>
  <si>
    <t>SCH SEDAL SH SOS CASPA 12X24X10ML+4</t>
  </si>
  <si>
    <t>SCH SEDAL SH LISO PERFECTO 24X28X10ML</t>
  </si>
  <si>
    <t>SCH SEDAL SH CERAMIDAS 24X28X10ML</t>
  </si>
  <si>
    <t>SCH SEDAL CR PEIN RIZ OBED 24X28X10ML</t>
  </si>
  <si>
    <t>SCH SEDAL CR LISO PERFECTO 24X28X10ML</t>
  </si>
  <si>
    <t>SCH SAVILE SH ARGAN 12X28X15ML</t>
  </si>
  <si>
    <t>SCH SAVILE CR RIZOS ARGAN 12X28X15ML</t>
  </si>
  <si>
    <t>SCH REXONA CLIN DEO CLEAN MEN 12X8X8G+SCH (12)</t>
  </si>
  <si>
    <t>SCH REXONA CLIN DEO CLAS W 12X8X8G+SCH (12)</t>
  </si>
  <si>
    <t>SCH REXONA CLIN DEO CLAS MIX S6X10X8G+SCH (6)</t>
  </si>
  <si>
    <t>RINSO POLVO ROSAS Y LILAS 15X1KG</t>
  </si>
  <si>
    <t>REXONA STICK WOMAN POWDER 12X50G</t>
  </si>
  <si>
    <t>REXONA STICK WOMAN BAMBOO 12X50G</t>
  </si>
  <si>
    <t>REXONA STICK WOMAN ANTIBAC INVISIBLE 12X50G</t>
  </si>
  <si>
    <t>REXONA STICK WOMAN ANTIBAC FRESH 12X50G</t>
  </si>
  <si>
    <t>REXONA STICK WOMAN ANTIBAC 12X50G</t>
  </si>
  <si>
    <t>REXONA STICK MEN V8 12X50G</t>
  </si>
  <si>
    <t>REXONA STICK MEN ANTIBACT FRESH 12X50G</t>
  </si>
  <si>
    <t>REXONA STICK MEN ANTIBAC 12X50G</t>
  </si>
  <si>
    <t>REXONA STICK CLIN EXTRA DRY EXP 12X46G</t>
  </si>
  <si>
    <t>REXONA STICK CLIN CLASSIC EXPERT 12X46G</t>
  </si>
  <si>
    <t>REXONA STICK AP V8 12X50G</t>
  </si>
  <si>
    <t>REXONA ROLLON V8 6X30ML</t>
  </si>
  <si>
    <t>REXONA ROLLON BAMBOO 6X30ML</t>
  </si>
  <si>
    <t>REXONA CLINICAL STRESS CONTROL 12X48G</t>
  </si>
  <si>
    <t>REXONA CLINICAL SPORT STRENGTH 12X48G</t>
  </si>
  <si>
    <t>REXONA CLINICAL MEN 12X48G</t>
  </si>
  <si>
    <t>REXONA CLINICAL EXTRA DRY 12X48G</t>
  </si>
  <si>
    <t>REXONA CLINICAL DEO CR AP WOMEN 12X48G</t>
  </si>
  <si>
    <t>REXONA CLINICAL CLASSIC WOMAN 12X48G</t>
  </si>
  <si>
    <t>REXONA AERO WOMAN TONO PERFECTO 12X90G</t>
  </si>
  <si>
    <t>REXONA AERO SPORFAN 12X90G</t>
  </si>
  <si>
    <t>REXONA AERO INVISIBLE WOMAN 12X90G</t>
  </si>
  <si>
    <t>REXONA AERO COTTON 12X90G</t>
  </si>
  <si>
    <t>REXONA AERO CLINICAL CLEAN MEN 12X90G</t>
  </si>
  <si>
    <t>REXONA AERO CLINICAL CLASSIC WOMAN 12X90G</t>
  </si>
  <si>
    <t>REXONA AERO CLIN ANTIB MEN 12X91G</t>
  </si>
  <si>
    <t>REXONA AERO ANTIBACTERIAL MEN 12X90G</t>
  </si>
  <si>
    <t>REXONA AERO ANTIBAC MEN FRESH 12X90G</t>
  </si>
  <si>
    <t>REXONA AERO ANTIBAC INVISIBLE WOMAN 12X90G</t>
  </si>
  <si>
    <t>REXONA AERO ANTIBAC INVISIBLE MEN 12X90G</t>
  </si>
  <si>
    <t>REXONA AER AP ANTIBAC 12X175ML/105G</t>
  </si>
  <si>
    <t>QUA YUS TAMARINDO 9X15X28g</t>
  </si>
  <si>
    <t>QUA YUS SABILA 9X15X28G</t>
  </si>
  <si>
    <t>QUA YUS PIÑA 9X15X28g</t>
  </si>
  <si>
    <t>QUA YUS NARANJA 9X15X28g)</t>
  </si>
  <si>
    <t>QUA YUS LIMONADA 9X15X28g</t>
  </si>
  <si>
    <t>QUA YUS GUANABA 9X15X28g)</t>
  </si>
  <si>
    <t>QUA YUS FRESA 9X15X28g</t>
  </si>
  <si>
    <t>QUA YUS DURAZNO 9X15X28g</t>
  </si>
  <si>
    <t>QUA TOKI SURTIDO 25X24X8G</t>
  </si>
  <si>
    <t>QUA SAVILOE 12X320ML (PAQUETE)</t>
  </si>
  <si>
    <t>QUALA</t>
  </si>
  <si>
    <t>QUA JUGOS YA SABILA 10X15</t>
  </si>
  <si>
    <t>QUA JUGOS YA PIÑA 10X15</t>
  </si>
  <si>
    <t>QUA JUGOS YA MORA 10X15</t>
  </si>
  <si>
    <t>QUA JUGOS YA MANGO 10X15</t>
  </si>
  <si>
    <t>QUA JUGOS YA LIMON 10X15</t>
  </si>
  <si>
    <t>QUA JUGOS YA HORCHATA 10X15</t>
  </si>
  <si>
    <t>QUA JUGOS YA GUANABA 10X15G</t>
  </si>
  <si>
    <t>QUA JUGOS YA FRESA 10X15</t>
  </si>
  <si>
    <t>QUA FRUTY F SURTIDO 8X18X14G</t>
  </si>
  <si>
    <t>QUA BONTEA MANZANA 10X12X30G</t>
  </si>
  <si>
    <t>QUA BONTEA LIMON 10X12X30G</t>
  </si>
  <si>
    <t>QUA BONTEA DURAZNO 10X12X30G</t>
  </si>
  <si>
    <t>PONDS POLVO COMP PIEL CLARA 16X12G</t>
  </si>
  <si>
    <t>PONDS POLVO COMP AF NATURAL2 16X12G</t>
  </si>
  <si>
    <t>PONDS POLVO COMP AF CARIBE 16X12G</t>
  </si>
  <si>
    <t>PONDS CR DPL CLARANT B3 SECA 12X10X10G</t>
  </si>
  <si>
    <t>PONDS CR CLARANT B3 GRASA 24X50G</t>
  </si>
  <si>
    <t>PONDS CR 95G C ORIGINAL (24)</t>
  </si>
  <si>
    <t>PONDS CR 100G S HUMECTANTE NUTRITIVA (24)</t>
  </si>
  <si>
    <t>PONDS CR 100G REJUVENESS DIA (24)</t>
  </si>
  <si>
    <t>PONDS CR 100G H (24)</t>
  </si>
  <si>
    <t>PONDS CR 100G CLARANT B3 SECA (24)</t>
  </si>
  <si>
    <t>PONDS CR 100G CLARANT B3 GRASA (24)</t>
  </si>
  <si>
    <t>PONDS CR 100G  C PEPINO (24)</t>
  </si>
  <si>
    <t>PONDS CR  50G S HUMECTANTE NUTRITIVA (24)</t>
  </si>
  <si>
    <t>PONDS CR  50G REJUVENESS (24)</t>
  </si>
  <si>
    <t>PONDS CR  50G H (24)</t>
  </si>
  <si>
    <t>PONDS CR  50G CLARANT B3 SECA (24)</t>
  </si>
  <si>
    <t>PONDS CR  50G CLARANT B3 GRASA (24)</t>
  </si>
  <si>
    <t>PONDS CR  50G C PEPINO (24)</t>
  </si>
  <si>
    <t>PONDS CR  50G BIOHIDRATANTE (24)</t>
  </si>
  <si>
    <t>PONDS CR  45G C ORIGINAL (24)</t>
  </si>
  <si>
    <t>PD PEDIALYTE MANZANA 60 MEQ 500ML (12)</t>
  </si>
  <si>
    <t>PD39241</t>
  </si>
  <si>
    <t>PD PEDIALYTE COCO 60 MEQ 500ML (12)</t>
  </si>
  <si>
    <t>PD39873</t>
  </si>
  <si>
    <t>PD PEDIALYTE COCO 30 MEQ 500ML (12)</t>
  </si>
  <si>
    <t>PD39360</t>
  </si>
  <si>
    <t>NSK VANISH WHITE 6X12 U</t>
  </si>
  <si>
    <t>N7158</t>
  </si>
  <si>
    <t>NSK VANISH PINK 6X12 U</t>
  </si>
  <si>
    <t>N7157</t>
  </si>
  <si>
    <t>NSK TROLLI TIBURONES  240 U (6)</t>
  </si>
  <si>
    <t>N2046</t>
  </si>
  <si>
    <t>NSK TROLLI CULEBRAS 120 UNIDADES (6)</t>
  </si>
  <si>
    <t>N3600</t>
  </si>
  <si>
    <t>NSK TAJIN SALSA LIQ CLASICA 475ML (12)</t>
  </si>
  <si>
    <t>N7772</t>
  </si>
  <si>
    <t>NSK TAJIN SALSA LIQ CHAMOY 475MLl (12)</t>
  </si>
  <si>
    <t>N7770</t>
  </si>
  <si>
    <t>NSK TAJIN CLASICO POLVO BOTE 142G (24)</t>
  </si>
  <si>
    <t>N2896</t>
  </si>
  <si>
    <t>NSK SUAVITEL AROM D SOL 1X6X12U/80ML</t>
  </si>
  <si>
    <t>N7511</t>
  </si>
  <si>
    <t>NSK SQUIZ MACH TUTI FRUTI (16)</t>
  </si>
  <si>
    <t>N1792980</t>
  </si>
  <si>
    <t>NSK SQUIZ MACH FRESA (16)</t>
  </si>
  <si>
    <t>N1792978</t>
  </si>
  <si>
    <t>NSK SQUIZ MACH BLUEBERRY (16)</t>
  </si>
  <si>
    <t>N1792979</t>
  </si>
  <si>
    <t>NSK SQUIZ ACIDO MANGO (16)</t>
  </si>
  <si>
    <t>N1798967</t>
  </si>
  <si>
    <t>NSK SQUIZ ACIDO FRESA (16)</t>
  </si>
  <si>
    <t>N1798966</t>
  </si>
  <si>
    <t>NSK SQUIZ ACIDO BLUEBERRY (16)</t>
  </si>
  <si>
    <t>N1798968</t>
  </si>
  <si>
    <t>NSK SOPA ISSIMA POLLO (12)</t>
  </si>
  <si>
    <t>N9821</t>
  </si>
  <si>
    <t>NSK SNICKERS MINI BOLSA 18OZ (8)</t>
  </si>
  <si>
    <t>N7562</t>
  </si>
  <si>
    <t>NSK SNICKERS ALMENDRA</t>
  </si>
  <si>
    <t>N0818</t>
  </si>
  <si>
    <t>NSK RAFAELO</t>
  </si>
  <si>
    <t>N2680</t>
  </si>
  <si>
    <t>NSK MENTOS FLOWPACK MENTA (20)</t>
  </si>
  <si>
    <t>N8834</t>
  </si>
  <si>
    <t>NSK MENTOS FLOWPACK FRUTA (20)</t>
  </si>
  <si>
    <t>N8835</t>
  </si>
  <si>
    <t>NSK LYSOL DESINFECTANTE MULTIUSOS SPRAY</t>
  </si>
  <si>
    <t>NSK9613</t>
  </si>
  <si>
    <t>NSK LAVAPLATOS POTENSOL CILINDRO 400 GR (20)</t>
  </si>
  <si>
    <t>N7527</t>
  </si>
  <si>
    <t>NSK LAVAPLATOS DOÑA BCA.CILINDRO 250 GR (24)</t>
  </si>
  <si>
    <t>N7515</t>
  </si>
  <si>
    <t>NSK LAVAPLATOS DOÑA BCA.CILINDRO 170GR(6)</t>
  </si>
  <si>
    <t>N7518</t>
  </si>
  <si>
    <t>NSK LAVAPLATOS AXION 235G UNIDAD  (48)</t>
  </si>
  <si>
    <t>N7517</t>
  </si>
  <si>
    <t>NSK LAVAPLATOS  POTENSOL MARQUETA 215GR (42)</t>
  </si>
  <si>
    <t>N8767</t>
  </si>
  <si>
    <t>NSK JABON PROTEX BALANCE 110GR (96)</t>
  </si>
  <si>
    <t>N7519</t>
  </si>
  <si>
    <t>NSK FRUTY DULCE BOTE 54</t>
  </si>
  <si>
    <t>NSK5596</t>
  </si>
  <si>
    <t>NSK FABULOSO LAVANDA 1X6X12U/80ML</t>
  </si>
  <si>
    <t>N7509</t>
  </si>
  <si>
    <t>NSK FABULOSO CITRIC Y FRU 1X6X12U/80ML</t>
  </si>
  <si>
    <t>N7508</t>
  </si>
  <si>
    <t>NSK COLGATE TRIP ACCION+PROTEX 75ML (48)</t>
  </si>
  <si>
    <t>N7541</t>
  </si>
  <si>
    <t>NSK COLGATE TRIP ACCION 75 ML+CEPIL (72)</t>
  </si>
  <si>
    <t>N7559</t>
  </si>
  <si>
    <t>NSK COLGATE DOBLE FRESC 75ML+CEPIL (72)</t>
  </si>
  <si>
    <t>N7542</t>
  </si>
  <si>
    <t>NSK CHIBOLON BOTE (6)</t>
  </si>
  <si>
    <t>NSK2453</t>
  </si>
  <si>
    <t>NSK BIC RASURADORA SHAVER SENS 24+4 (24)</t>
  </si>
  <si>
    <t>N5189022</t>
  </si>
  <si>
    <t>NSK BIC RASURADORA CONFORT 3 12+2 (24)</t>
  </si>
  <si>
    <t>N5189041</t>
  </si>
  <si>
    <t>NSK BIC RASURADORA CONFORT 2 12+2 (48)</t>
  </si>
  <si>
    <t>N5189012</t>
  </si>
  <si>
    <t>NSK BIC ENCENDEDOR MINI J5 (75)</t>
  </si>
  <si>
    <t>N3639161</t>
  </si>
  <si>
    <t>NSK BIC ENCENDEDOR MAXI J6 CARTON 15+3 (20)</t>
  </si>
  <si>
    <t>N9020</t>
  </si>
  <si>
    <t>NSK BIC ENCENDEDOR MAXI J6 5+1 (60)</t>
  </si>
  <si>
    <t>N3639021</t>
  </si>
  <si>
    <t>NSK BIC ENCENDEDOR HANDY P/ESTUFA (90)</t>
  </si>
  <si>
    <t>N3639134</t>
  </si>
  <si>
    <t>NSK BIC BOLIGRAFO AZUL 12 (100)</t>
  </si>
  <si>
    <t>N9006</t>
  </si>
  <si>
    <t>NSK AZISTIN MANZANA 1X6X12U/80ML</t>
  </si>
  <si>
    <t>N7528</t>
  </si>
  <si>
    <t>NSK AZISTIN LAVANDA 1X6X12U/80ML</t>
  </si>
  <si>
    <t>N7510</t>
  </si>
  <si>
    <t>NKS BIC BOLIGRAFO ROUND STIC NEGRO</t>
  </si>
  <si>
    <t>N9691</t>
  </si>
  <si>
    <t>NATURAS SSA TOMATE RANCHERA 24X227G</t>
  </si>
  <si>
    <t>FOOD</t>
  </si>
  <si>
    <t>NATURAS FRIJOL NEGRO VOLTEADO 24X210G</t>
  </si>
  <si>
    <t>MAIZ DULCE CALVO 241 GRS (24)</t>
  </si>
  <si>
    <t>CALVO</t>
  </si>
  <si>
    <t>KELL ZUCARITAS 28X260G (28)</t>
  </si>
  <si>
    <t>KELL FROOT LOOPS MINI SCH 5X12X22G (5)</t>
  </si>
  <si>
    <t>KELLOGS</t>
  </si>
  <si>
    <t>KELL FROOT LOOPS 28X180G (28)</t>
  </si>
  <si>
    <t>KELL CORN FLAKES 28X150G (28)</t>
  </si>
  <si>
    <t>KELL CORN FLAKES 16X500 (16)</t>
  </si>
  <si>
    <t>KELL CHOCO KRISPIS 28X290G (28)</t>
  </si>
  <si>
    <t>KELL CHOCO KRISPIS 24X620G (24)</t>
  </si>
  <si>
    <t>IQUI CLORO BLANCO SOL POPULINO 1X4X12 220ML</t>
  </si>
  <si>
    <t>IQUIMSA</t>
  </si>
  <si>
    <t>IQM1010239</t>
  </si>
  <si>
    <t>IQUI CLORO BLANCO SOL POP 1/12X6 235ML</t>
  </si>
  <si>
    <t>IQM101072</t>
  </si>
  <si>
    <t>IQUI CLORO BLANCO SOL 1LT (12)</t>
  </si>
  <si>
    <t>IQM1010106</t>
  </si>
  <si>
    <t>IQUI CLORO BLANCO SOL 1/2 GALON (6)</t>
  </si>
  <si>
    <t>IQM1010237</t>
  </si>
  <si>
    <t>IAK KERNS TETRA NECT MELOC 1000ml (12)</t>
  </si>
  <si>
    <t>KERNS</t>
  </si>
  <si>
    <t>K58978</t>
  </si>
  <si>
    <t>IAK KERNS TETRA NECT MANZ 1000ml (12)</t>
  </si>
  <si>
    <t>K58977</t>
  </si>
  <si>
    <t>IAK KERNS TETRA NECT FRUTAS 1000ml (12)</t>
  </si>
  <si>
    <t>K58980</t>
  </si>
  <si>
    <t>IAK KERNS TE MANZAN VERD 2500ml (6)</t>
  </si>
  <si>
    <t>K177512</t>
  </si>
  <si>
    <t>IAK KERNS TE LIMON 2500ML (6)</t>
  </si>
  <si>
    <t>K177510</t>
  </si>
  <si>
    <t>IAK KERNS TE FRAMBUES 2500ml (6)</t>
  </si>
  <si>
    <t>K177511</t>
  </si>
  <si>
    <t>IAK KERNS SALSITA RANCHERA 106GR DP (24)</t>
  </si>
  <si>
    <t>K185152</t>
  </si>
  <si>
    <t>IAK KERNS SALSITA QUESO 106GR DP (24)</t>
  </si>
  <si>
    <t>K185194</t>
  </si>
  <si>
    <t>IAK KERNS SALSITA CARNE 106GR DP (24)</t>
  </si>
  <si>
    <t>K185195</t>
  </si>
  <si>
    <t>IAK KERNS SALSA TOM PURA DP 14.1oz (18)</t>
  </si>
  <si>
    <t>K150992</t>
  </si>
  <si>
    <t>IAK KERNS NECTAR MANGO 1LT (12)</t>
  </si>
  <si>
    <t>K183978</t>
  </si>
  <si>
    <t>IAK KERNS NECT MANZ TETR 24X250ml</t>
  </si>
  <si>
    <t>K129027</t>
  </si>
  <si>
    <t>IAK KERNS KETCHUP SCH 52GR (144)</t>
  </si>
  <si>
    <t>K126679</t>
  </si>
  <si>
    <t>IAK KERNS KETCHUP SALSA GALON (3)</t>
  </si>
  <si>
    <t>K74067</t>
  </si>
  <si>
    <t>IAK KERNS KETCHUP PICANTE MEDIO 375GR (24)</t>
  </si>
  <si>
    <t>K191118</t>
  </si>
  <si>
    <t>IAK KERNS KETCHUP 8grs SACH 1000u</t>
  </si>
  <si>
    <t>K128391</t>
  </si>
  <si>
    <t>IAK KERNS KETCHUP 775gr PET (12)</t>
  </si>
  <si>
    <t>K151248</t>
  </si>
  <si>
    <t>IAK KERNS KETCHUP 24X375gr PET</t>
  </si>
  <si>
    <t>K151247</t>
  </si>
  <si>
    <t>IAK KERNS JUNIOR UVA TETR 200ml (24)</t>
  </si>
  <si>
    <t>K129031</t>
  </si>
  <si>
    <t>IAK KERNS JUNIOR PERA TETR 200ml (24)</t>
  </si>
  <si>
    <t>K129034</t>
  </si>
  <si>
    <t>IAK KERNS JUNIOR MELOC TETR 200ml (24)</t>
  </si>
  <si>
    <t>K129033</t>
  </si>
  <si>
    <t>IAK KERNS JUNIOR MANZ TETRA 200ml (24)</t>
  </si>
  <si>
    <t>K129032</t>
  </si>
  <si>
    <t>IAK KERNS COCT VEGET ALMEJA 1LT (12)</t>
  </si>
  <si>
    <t>K155813</t>
  </si>
  <si>
    <t>IAK KERNS COCT VEGET 1 LT TETR (12)</t>
  </si>
  <si>
    <t>K154181</t>
  </si>
  <si>
    <t>IAK KERNS 330ml NECT PIÑA (24)</t>
  </si>
  <si>
    <t>K64348</t>
  </si>
  <si>
    <t>IAK KERNS 330ml NECT PERA (24)</t>
  </si>
  <si>
    <t>K64347</t>
  </si>
  <si>
    <t>IAK KERNS 330ml NECT MANZANA  (24)</t>
  </si>
  <si>
    <t>K167452</t>
  </si>
  <si>
    <t>IAK KERNS 330ml COCTEL VEGETALES ALMEJA  (24)</t>
  </si>
  <si>
    <t>K158273</t>
  </si>
  <si>
    <t>IAK KERNS 330ml COCTEL VEGETALES  (24)</t>
  </si>
  <si>
    <t>IAK GOYA MAIZ ENTERO 8.75 ONZ (24)</t>
  </si>
  <si>
    <t>K186589</t>
  </si>
  <si>
    <t>IAK GOYA MAIZ ENTERO 15.25 ONZ (24)</t>
  </si>
  <si>
    <t>K186227</t>
  </si>
  <si>
    <t>IAK DUCAL FRIJ ROJO PICANT DyP 8oz (24)</t>
  </si>
  <si>
    <t>K172833</t>
  </si>
  <si>
    <t>IAK DUCAL FRIJ ROJO PICANT DyP 14oz (18)</t>
  </si>
  <si>
    <t>K172834</t>
  </si>
  <si>
    <t>IAK DUCAL FRIJ ROJO LAT 29oz (12)</t>
  </si>
  <si>
    <t>K51789</t>
  </si>
  <si>
    <t>IAK DUCAL FRIJ ROJO DyP 8oz (24)</t>
  </si>
  <si>
    <t>K150873</t>
  </si>
  <si>
    <t>IAK DUCAL FRIJ ROJO DyP 14.1oz (18)</t>
  </si>
  <si>
    <t>K150802</t>
  </si>
  <si>
    <t>IAK DUCAL FRIJ NEGR LAT 5.5oz (48)</t>
  </si>
  <si>
    <t>K51798</t>
  </si>
  <si>
    <t>IAK DUCAL FRIJ NEGR LAT 29oz (12)</t>
  </si>
  <si>
    <t>K51788</t>
  </si>
  <si>
    <t>IAK DUCAL FRIJ NEGR DyP 8oz (24)</t>
  </si>
  <si>
    <t>K150793</t>
  </si>
  <si>
    <t>IAK DUCAL FRIJ NEGR DyP 28oz (12)</t>
  </si>
  <si>
    <t>K155094</t>
  </si>
  <si>
    <t>IAK DUCAL FRIJ NEGR DyP 104oz (6)</t>
  </si>
  <si>
    <t>K162096</t>
  </si>
  <si>
    <t>IAK DUCAL FRIJ CHUB NEGR ENT 1.82kgs (6)</t>
  </si>
  <si>
    <t>K135638</t>
  </si>
  <si>
    <t>IAK DUCAL BEB HOJALAT VEGET 157ml (48)</t>
  </si>
  <si>
    <t>K155938</t>
  </si>
  <si>
    <t>IAK DUCAL BEB HOJALAT MELOC 154ml (48)</t>
  </si>
  <si>
    <t>K156804</t>
  </si>
  <si>
    <t>IAK DUCAL BEB HOJALAT MANZ 154ml (48)</t>
  </si>
  <si>
    <t>K156803</t>
  </si>
  <si>
    <t>IAK DUCAL BEB ALUMIN PIÑA 330ml (24)</t>
  </si>
  <si>
    <t>K156595</t>
  </si>
  <si>
    <t>IAK DUCAL BEB ALUMIN MELOC 330ml (24)</t>
  </si>
  <si>
    <t>K156593</t>
  </si>
  <si>
    <t>IAK BLISS HAPPY MIX 350ml VIDR (24)</t>
  </si>
  <si>
    <t>K153579</t>
  </si>
  <si>
    <t>IAK BAMB MOJITO 350ml LATA (24)</t>
  </si>
  <si>
    <t>K154086</t>
  </si>
  <si>
    <t>IAK BAMB DAIQUIRI FRESA 350ml LT (24)</t>
  </si>
  <si>
    <t>K161597</t>
  </si>
  <si>
    <t>IAK ADAN Y EVA MANDARINA 350ML LAT (24)</t>
  </si>
  <si>
    <t>K180106</t>
  </si>
  <si>
    <t>IAK ADAN Y EVA LIMON JEMGIBRE 355ML LAT (24)</t>
  </si>
  <si>
    <t>K195188</t>
  </si>
  <si>
    <t>IAK ADAN Y EVA FRUTOS ROJOS 350ML LAT (24)</t>
  </si>
  <si>
    <t>K180091</t>
  </si>
  <si>
    <t>IAK ADAN Y EVA COCO LIMON 355ML LAT (24)</t>
  </si>
  <si>
    <t>K195186</t>
  </si>
  <si>
    <t>GRIPETIN MULTISINTOMAS - 12 SOBRES</t>
  </si>
  <si>
    <t>FRV15206-2</t>
  </si>
  <si>
    <t>GRIPETIN M.S X 120 TABS.   (60 SOBRES *2 TABLETAS)</t>
  </si>
  <si>
    <t>FRV15206</t>
  </si>
  <si>
    <t>GRIPETIN GRIPE Y TOS - 12 SOBRES</t>
  </si>
  <si>
    <t>FRV15251-2</t>
  </si>
  <si>
    <t>GRIPETIN G. Y T. X 120 TBS. (60 SOBRES * 2 TABLETAS)</t>
  </si>
  <si>
    <t>FRV15251</t>
  </si>
  <si>
    <t>Gel Antibacterial Bioklar sin Fragancia (Display de 12 Unidades)</t>
  </si>
  <si>
    <t>INP7401192400013</t>
  </si>
  <si>
    <t>GAIN III 400GRS</t>
  </si>
  <si>
    <t>FRV39573</t>
  </si>
  <si>
    <t>GAIN I 400GRS</t>
  </si>
  <si>
    <t>FRV39569</t>
  </si>
  <si>
    <t>FOSFORO QUETZAL 10X10</t>
  </si>
  <si>
    <t>DSM1613</t>
  </si>
  <si>
    <t>FOS PALILLOS MADERA 12X12X250u</t>
  </si>
  <si>
    <t>FOS Fosforos Propasa 10x10</t>
  </si>
  <si>
    <t>FOS FOSFOROS MADERA GALLO 10X10</t>
  </si>
  <si>
    <t>FOSFO</t>
  </si>
  <si>
    <t>FOS FOSFOROS FOGATA ECO 12X10</t>
  </si>
  <si>
    <t>FOS FOSFOROS FOGATA 10x10</t>
  </si>
  <si>
    <t>FOS FOSFOROS CABALLO ROJO 24x10</t>
  </si>
  <si>
    <t>FOS FOSFOROS AGUILA 2X10X5</t>
  </si>
  <si>
    <t>FOS ENCIENDEFACIL CABALLO ROJO 8x6X12</t>
  </si>
  <si>
    <t>FOS ENCENDEDORES FRAGATA MINI 10X12X3 (3 PACK)(10)</t>
  </si>
  <si>
    <t>FOS ENCENDEDOR FRAGATA MINI 40X25</t>
  </si>
  <si>
    <t>FOS ENCENDEDOR FRAGATA MINI 20X50</t>
  </si>
  <si>
    <t>FOS ENCENDEDOR FRAGATA 40x25</t>
  </si>
  <si>
    <t>FOS CERILLOS GALLO FAMILIAR (100) 200 L</t>
  </si>
  <si>
    <t>FOS CERILLO GALLO 10X10</t>
  </si>
  <si>
    <t>FOS CARTERITA PROPASA 40X50</t>
  </si>
  <si>
    <t>FOS CARTERITA GALLO 40x50</t>
  </si>
  <si>
    <t>FOOD NATURAS SSA TOMATE RANCHERA 24X200G</t>
  </si>
  <si>
    <t>FOOD NATURAS SALSA TOMATE C/QUESO 96X106G</t>
  </si>
  <si>
    <t>FOOD NATURAS SALSA ITALIANA CL 96X100G</t>
  </si>
  <si>
    <t>FOOD NATURAS PASTA TRADICIONAL 96X100G</t>
  </si>
  <si>
    <t>FOOD NATURAS JUMB PASTA TRADIC 24X106G</t>
  </si>
  <si>
    <t>FOOD NATURAS FRIJ NEGR VOLT 24X400GR</t>
  </si>
  <si>
    <t>FOOD NATURAS FRIJ NEGR VOLT 24X210G</t>
  </si>
  <si>
    <t>FOOD MAIZENA FECULA MAIZ VAINILL16X12X47G</t>
  </si>
  <si>
    <t>FOOD MAIZENA FECULA MAIZ  FRESA 16X12X47G</t>
  </si>
  <si>
    <t>FOOD MAIZENA ALMIDON MAIZ NATURAL 80X190G</t>
  </si>
  <si>
    <t>FOOD MAIZENA ALMIDON MAIZ NATURAL 40X380G</t>
  </si>
  <si>
    <t>FOOD LIPTON TE YELLOW LABEL 20X20BLS</t>
  </si>
  <si>
    <t>FOOD LIPTON TE VERDE C/MENTA 20X20BLS</t>
  </si>
  <si>
    <t>FOOD LIPTON TE ROSA JAMAICA 24X20BLS</t>
  </si>
  <si>
    <t>FOOD LIPTON TE MANZANILLA MIEL 24X20BLS</t>
  </si>
  <si>
    <t>FOOD LIPTON TE INFUS MANZANILLA 24X20BLS</t>
  </si>
  <si>
    <t>FOOD KNORR SOPA POLLO C/FIDEO 12X12X55G</t>
  </si>
  <si>
    <t>FOOD KNORR SOPA POLL CONCH COLOR 12X12X55G</t>
  </si>
  <si>
    <t>FOOD KNORR CR HONGOS 12X12X63G</t>
  </si>
  <si>
    <t>FOOD KNORR CR ESPARRAGOS 12X12X57G</t>
  </si>
  <si>
    <t>FOOD HELLMANNS MOST DYP 12X100G</t>
  </si>
  <si>
    <t>FOOD HELLMANNS MAY DYP 12X400G</t>
  </si>
  <si>
    <t>FOOD HELLMANNS MAY DYP 12X200G</t>
  </si>
  <si>
    <t>FOOD HELLMANNS MAY DYP 12X100G</t>
  </si>
  <si>
    <t>EGO GEL URBAN 4x6x110 ML</t>
  </si>
  <si>
    <t>EGO GEL POWER 6X30X15ML</t>
  </si>
  <si>
    <t>EGO</t>
  </si>
  <si>
    <t>EGO GEL POWER 6/30/12ML</t>
  </si>
  <si>
    <t>EGO GEL POWER 6/1000 ML</t>
  </si>
  <si>
    <t>EGO GEL POWER 4x6x200 ML</t>
  </si>
  <si>
    <t>EGO GEL POWER 12/500 ML</t>
  </si>
  <si>
    <t>EGO GEL CONTROL CAIDA 6X950ML</t>
  </si>
  <si>
    <t>EGO GEL CONTROL CAIDA 4X6X110ML</t>
  </si>
  <si>
    <t>EGO GEL CONTROL CAIDA 3X8X110ML</t>
  </si>
  <si>
    <t>EGO GEL CONTROL CAIDA 2X6X200 ML</t>
  </si>
  <si>
    <t>EGO GEL CONTROL CAIDA 12X450ML</t>
  </si>
  <si>
    <t>EGO GEL ATTRAC 6/1000ML</t>
  </si>
  <si>
    <t>EGO GEL ATTRAC 4x6x200ML</t>
  </si>
  <si>
    <t>EGO GEL ATTRAC 12/500ML</t>
  </si>
  <si>
    <t>DOVE STICK ORIGINAL 12X50G</t>
  </si>
  <si>
    <t>DOVE STICK GO FRESH PEPINO 12X50G</t>
  </si>
  <si>
    <t>DOVE STICK EXTRA FRESH 12X50G</t>
  </si>
  <si>
    <t>DOVE STICK DERMO ACLARANT 12X50G</t>
  </si>
  <si>
    <t>DOVE STICK CUIDADO TOTAL 12X50G</t>
  </si>
  <si>
    <t>DOVE STICK CLEAR TONE 12X50G</t>
  </si>
  <si>
    <t>DOVE MINIROLLON ORIGINAL 6X30ML</t>
  </si>
  <si>
    <t>DOVE MINIROLLON CUIDADO TOTAL 6X30ML</t>
  </si>
  <si>
    <t>DOVE AERO ORIGINAL 12X89G</t>
  </si>
  <si>
    <t>DOVE AERO INVISIBLE DRY WOMAN 12X89G</t>
  </si>
  <si>
    <t>DOVE AERO INVISIBLE DRY MEN 12X89G</t>
  </si>
  <si>
    <t>DOVE AERO GO FRESH PEPINO 12X89G</t>
  </si>
  <si>
    <t>DOVE AERO CUIDADO TOTAL 12X89G</t>
  </si>
  <si>
    <t>DOVE AERO CLEAR TONE 12X89G</t>
  </si>
  <si>
    <t>DIN SOPA ISSIMA POLLO CON CHILE (12)</t>
  </si>
  <si>
    <t>DIN MAZOLA MARGARINA LIGHT 400GR (24)</t>
  </si>
  <si>
    <t>DIN MAZOLA MARGARINA BARRA 400gr (24)</t>
  </si>
  <si>
    <t>DIN MAZOLA MARGARINA  AJO/HIERBAS 400GR (24)</t>
  </si>
  <si>
    <t>DIN MAZOLA MANTECA 1LB (50)</t>
  </si>
  <si>
    <t>DINANT</t>
  </si>
  <si>
    <t>DIN MAZOLA ACEITE DYP 750ml (18)</t>
  </si>
  <si>
    <t>DIN MAZOLA ACEITE DYP 443ml (24)</t>
  </si>
  <si>
    <t>DIN MAZOLA ACEITE  BOT 32onz (12)</t>
  </si>
  <si>
    <t>DIN MANTECA MAZOLA INDUSTRIAL 50LB</t>
  </si>
  <si>
    <t>DIN ISSIMA PAST TOMAT ROJITA 106g (96)</t>
  </si>
  <si>
    <t>DCASA PAPEL HIG. 1X12X4ROLL</t>
  </si>
  <si>
    <t>DCAS0425</t>
  </si>
  <si>
    <t>DCASA MIRASOL MARG 6X60X35G</t>
  </si>
  <si>
    <t>DCAS2110</t>
  </si>
  <si>
    <t>DCASA MIRASOL MARG 36X5+1/80G</t>
  </si>
  <si>
    <t>DCASA</t>
  </si>
  <si>
    <t>DCAS2314</t>
  </si>
  <si>
    <t>DCASA HEINZ POSTRE  FLEX 24X113G</t>
  </si>
  <si>
    <t>DCAS0539</t>
  </si>
  <si>
    <t>DCASA HEINZ MELOCOTO FLEX 24X113G</t>
  </si>
  <si>
    <t>DCAS0533</t>
  </si>
  <si>
    <t>DCASA HEINZ FRUTA MIX FLEX 24X113G</t>
  </si>
  <si>
    <t>DCAS0538</t>
  </si>
  <si>
    <t>DCASA GELATINA POLVO UVA 450G (25)</t>
  </si>
  <si>
    <t>DCAS2122</t>
  </si>
  <si>
    <t>DCASA GELATINA POLVO PIÑA 450G (25)</t>
  </si>
  <si>
    <t>DCAS2121</t>
  </si>
  <si>
    <t>DCASA GELATINA POLVO NARANJA 450G (25)</t>
  </si>
  <si>
    <t>DCAS2123</t>
  </si>
  <si>
    <t>DCASA GELATINA POLVO LIMON 450G (25)</t>
  </si>
  <si>
    <t>DCAS2125</t>
  </si>
  <si>
    <t>DCASA GELATINA POLVO FRESA 450G (25)</t>
  </si>
  <si>
    <t>DCAS2120</t>
  </si>
  <si>
    <t>DCASA GELATINA POLVO CHICLE 450G (25)</t>
  </si>
  <si>
    <t>DCAS2126</t>
  </si>
  <si>
    <t>CLV MAIZ DULCE 425g (36)</t>
  </si>
  <si>
    <t>CLV ATUN TROZOS AGUA 142G (48)</t>
  </si>
  <si>
    <t>CLV20713</t>
  </si>
  <si>
    <t>CLV ATUN C/VEGETALES 142G (48)</t>
  </si>
  <si>
    <t>CLV22784</t>
  </si>
  <si>
    <t>Chicle Aciditas 1X16</t>
  </si>
  <si>
    <t>N0044</t>
  </si>
  <si>
    <t>BONI XTREME GEL 100g</t>
  </si>
  <si>
    <t>GTNSK006</t>
  </si>
  <si>
    <t>BONI VANISH 3X100ML</t>
  </si>
  <si>
    <t>GT004N</t>
  </si>
  <si>
    <t>BONI UNIDAD CLORO MAGICLOR 1/2 DOCENA</t>
  </si>
  <si>
    <t>GTIQUI003</t>
  </si>
  <si>
    <t>BONI UNIDAD CLORO MAGICLOR</t>
  </si>
  <si>
    <t>GTIQUI002</t>
  </si>
  <si>
    <t>BONI UNIDAD CLORO BLANCO SOL</t>
  </si>
  <si>
    <t>GTIQUI001</t>
  </si>
  <si>
    <t>BONI SUAVISSIMO LLUVIA VIOLETAS 80 ML (6)</t>
  </si>
  <si>
    <t>GTDIN006</t>
  </si>
  <si>
    <t>BONI SAVILOE UND 320ML (12)</t>
  </si>
  <si>
    <t>GTQ0012</t>
  </si>
  <si>
    <t>BONI ROLLO PAPEL HIGIENICO</t>
  </si>
  <si>
    <t>GT001N</t>
  </si>
  <si>
    <t>BONI QUA GALLO DORADO 400G (25)</t>
  </si>
  <si>
    <t>GTQ004</t>
  </si>
  <si>
    <t>BONI QUA FRUTY FRESCO (8)</t>
  </si>
  <si>
    <t>GTQ008</t>
  </si>
  <si>
    <t>BONI PACHONES PEDIALYTE</t>
  </si>
  <si>
    <t>GTPDL001</t>
  </si>
  <si>
    <t>BONI NSK KIT CEPILLADO UND</t>
  </si>
  <si>
    <t>GTNSK011</t>
  </si>
  <si>
    <t>BONI IAK TE KERNS MANZANA 2500 ML(6)</t>
  </si>
  <si>
    <t>GT0066K</t>
  </si>
  <si>
    <t>BONI IAK TE KERNS LIMON 2500 ML(6)</t>
  </si>
  <si>
    <t>GT0067K</t>
  </si>
  <si>
    <t>BONI IAK TE KERNS FRAMBUESA 2500 ML(6)</t>
  </si>
  <si>
    <t>GT0065K</t>
  </si>
  <si>
    <t>BONI IAK NECTAR FRUTAS (12)</t>
  </si>
  <si>
    <t>GT0072K</t>
  </si>
  <si>
    <t>BONI IAK KETCHUP 375 GR</t>
  </si>
  <si>
    <t>GT0012K</t>
  </si>
  <si>
    <t>BONI IAK KERNS NECTAR MELOCOTON 330ML</t>
  </si>
  <si>
    <t>GT0060K</t>
  </si>
  <si>
    <t>BONI IAK KERNS NECTAR MELOCOTON 1000ML (12)</t>
  </si>
  <si>
    <t>GT0071K</t>
  </si>
  <si>
    <t>BONI IAK KERNS NECTAR MANZANA 330 ML</t>
  </si>
  <si>
    <t>GT002K</t>
  </si>
  <si>
    <t>BONI IAK KERNS NECTAR MANZANA 1000ML (12)</t>
  </si>
  <si>
    <t>GT0070K</t>
  </si>
  <si>
    <t>BONI IAK KERNS JUNIOR UVA 200ML</t>
  </si>
  <si>
    <t>GT0059K</t>
  </si>
  <si>
    <t>BONI IAK KERNS JUNIOR PERA 200ML</t>
  </si>
  <si>
    <t>GT0058K</t>
  </si>
  <si>
    <t>BONI IAK KERNS JUNIOR MELOCOTON 200ML</t>
  </si>
  <si>
    <t>GT0057K</t>
  </si>
  <si>
    <t>BONI IAK KERNS JUNIOR MANZANA 200ML</t>
  </si>
  <si>
    <t>GT0027K</t>
  </si>
  <si>
    <t>BONI IAK KERNS COCTEL VEGETALES 1LT (12)</t>
  </si>
  <si>
    <t>GT0069K</t>
  </si>
  <si>
    <t>BONI IAK KERNS COCTEL VEGETALES 157ML</t>
  </si>
  <si>
    <t>GT005K</t>
  </si>
  <si>
    <t>BONI IAK KERNS COCTEL VEGET ALMEJA 1LT (12)</t>
  </si>
  <si>
    <t>GT0073K</t>
  </si>
  <si>
    <t>BONI IAK KERNS COCTEL VEGET 330ML</t>
  </si>
  <si>
    <t>GT004K</t>
  </si>
  <si>
    <t>BONI IAK KERNS COCTEL VEG ALMEJA 330ML</t>
  </si>
  <si>
    <t>GT0056K</t>
  </si>
  <si>
    <t>BONI IAK DUCAL VEGETALES 157ML (48)</t>
  </si>
  <si>
    <t>GT0075K</t>
  </si>
  <si>
    <t>BONI IAK DUCAL NECTAR MANZANA 330 ML</t>
  </si>
  <si>
    <t>GT0030K</t>
  </si>
  <si>
    <t>BONI IAK DUCAL FRIJOL NEGRO DYP 28OZ</t>
  </si>
  <si>
    <t>GT0026K</t>
  </si>
  <si>
    <t>BONI IAK DUCAL FRIJOL NEGRO DYP 14.1 ONZ</t>
  </si>
  <si>
    <t>GT0017K</t>
  </si>
  <si>
    <t>BONI IAK DUCAL FRIJOL LATA 5.5 ONZ</t>
  </si>
  <si>
    <t>GT0015K</t>
  </si>
  <si>
    <t>BONI IAK DUCAL FRIJOL LATA 15 ONZ</t>
  </si>
  <si>
    <t>GT0023K</t>
  </si>
  <si>
    <t>BONI IAK DUCAL FRIJOL DYP ROJO PICANTE 8OZ</t>
  </si>
  <si>
    <t>GT0032K</t>
  </si>
  <si>
    <t>BONI IAK DUCAL FRIJOL DYP ROJO PICANTE 14 OZ</t>
  </si>
  <si>
    <t>GT0033K</t>
  </si>
  <si>
    <t>BONI IAK DUCAL BEBIDA PIÑA 157ml (48)</t>
  </si>
  <si>
    <t>GT0051K</t>
  </si>
  <si>
    <t>BONI IAK DUCAL BEBIDA MELOCOTON 157ML (48)</t>
  </si>
  <si>
    <t>GT0050K</t>
  </si>
  <si>
    <t>BONI IAK DUCAL BEBIDA MANZANA 157 ML (48)</t>
  </si>
  <si>
    <t>GT0035K</t>
  </si>
  <si>
    <t>BONI EGO CONTROL CAIDA SACHET</t>
  </si>
  <si>
    <t>GTUL0015</t>
  </si>
  <si>
    <t>BONI EGO ALFA TARRITO (UNIDAD) 110ML</t>
  </si>
  <si>
    <t>GTQ0013</t>
  </si>
  <si>
    <t>BONI EGO ALFA SACHET 12ML</t>
  </si>
  <si>
    <t>GTQ0011</t>
  </si>
  <si>
    <t>BONI DUCAL FRIJOL 5.5 OZ</t>
  </si>
  <si>
    <t>GT001K</t>
  </si>
  <si>
    <t>BONI DESINFECTANTE CTL LAVANDA 6X12X120ML</t>
  </si>
  <si>
    <t>GTALM005</t>
  </si>
  <si>
    <t>BONI BIC 1 PAR DE DE CONFORT 2</t>
  </si>
  <si>
    <t>GTBIC004</t>
  </si>
  <si>
    <t>BONI AMSA TOALLAS HUMEDAS STAR 24X1X40</t>
  </si>
  <si>
    <t>GTALM004</t>
  </si>
  <si>
    <t>BONI AMSA ROLLO PAPEL LUCA MEJOR 24X1X1000</t>
  </si>
  <si>
    <t>AMSA</t>
  </si>
  <si>
    <t>GTALM012</t>
  </si>
  <si>
    <t>BONI AMSA LUCA NARANJA ROLLO</t>
  </si>
  <si>
    <t>GTALM010</t>
  </si>
  <si>
    <t>BONI AMSA GEL CABELLO STYLO 5X30X20ML</t>
  </si>
  <si>
    <t>GTALM003</t>
  </si>
  <si>
    <t>BONI AMSA CLORO CASA LIMPIA 6X6X360ML</t>
  </si>
  <si>
    <t>GTALM009</t>
  </si>
  <si>
    <t>BONI 1 BOLSA KIT CEPILLO</t>
  </si>
  <si>
    <t>GT003N</t>
  </si>
  <si>
    <t>BIOKLAR SPRAY DESIN SIN FRAG 60ML</t>
  </si>
  <si>
    <t>BIOKLAR SPRAY DESIN SIN FRAG 250ML</t>
  </si>
  <si>
    <t>BIOKLAR GEL ANTIBAC SIN FRAG 60ML</t>
  </si>
  <si>
    <t>BIC BOLIGRAF DIAMANT MED AZUL 36X12</t>
  </si>
  <si>
    <t>BIC901797</t>
  </si>
  <si>
    <t>BEST MENTA GLACIAL 30 BOLSAS DE 100 UNIDADES</t>
  </si>
  <si>
    <t>BEST</t>
  </si>
  <si>
    <t>BST006589</t>
  </si>
  <si>
    <t>BEST GOLOSINAS BOTE 70U (12)</t>
  </si>
  <si>
    <t>BA014605</t>
  </si>
  <si>
    <t>BEST GOLOSINAS BOLSA 25U (24)</t>
  </si>
  <si>
    <t>BA014606</t>
  </si>
  <si>
    <t>BEST GALLETA MICHOKO 24X12X22G (24)</t>
  </si>
  <si>
    <t>BA014565</t>
  </si>
  <si>
    <t>BEST GALLETA MANI 24X12X22G (24)</t>
  </si>
  <si>
    <t>PT01247</t>
  </si>
  <si>
    <t>BEST FRUTIBOTONETAS TROPICAL 20Ctx24U 25G</t>
  </si>
  <si>
    <t>BST014624</t>
  </si>
  <si>
    <t>BEST FRUTI BOTONETAS TROPICAL 20X24X25G (20)</t>
  </si>
  <si>
    <t>PT09365</t>
  </si>
  <si>
    <t>BEST FRUTI BOTONETAS ACIDITAS 20X24X25G (20)</t>
  </si>
  <si>
    <t>PT09366</t>
  </si>
  <si>
    <t>BEST DAPI GALLETA VAINILLA 48X12X14.5G (48)</t>
  </si>
  <si>
    <t>PT01017</t>
  </si>
  <si>
    <t>BEST CHOCOPANDA CHOCOLATE 25X12X14G</t>
  </si>
  <si>
    <t>PT09713</t>
  </si>
  <si>
    <t>BEST CHOCOPANDA CAJA CHOCOLATE 285G (36)</t>
  </si>
  <si>
    <t>PT010847</t>
  </si>
  <si>
    <t>BEST CHOCOFRUTA TABLETA 410 GRS 1X24</t>
  </si>
  <si>
    <t>BA014634</t>
  </si>
  <si>
    <t>BEST CHOCOFRUTA TABLETA  24X400G</t>
  </si>
  <si>
    <t>BST016114</t>
  </si>
  <si>
    <t>BEST CHOCOFRUTA 50X400G (50)</t>
  </si>
  <si>
    <t>PT09502</t>
  </si>
  <si>
    <t>BEST CHOCOFRUTA 10X 1600G (10)</t>
  </si>
  <si>
    <t>PT09509</t>
  </si>
  <si>
    <t>BEST CHOCO PANDA COCOA 6X50X20G (6)</t>
  </si>
  <si>
    <t>BST016376</t>
  </si>
  <si>
    <t>BEST CARAMELO DURO SURTIDO 30 X 100 UND</t>
  </si>
  <si>
    <t>BST012574</t>
  </si>
  <si>
    <t>BEST CARAMELO DURO LECHE Y MIEL 24 X 100 UND</t>
  </si>
  <si>
    <t>BST012576</t>
  </si>
  <si>
    <t>BEST CARAMELO BLANDO ZUMO SURTIDO 16 X 100 UND</t>
  </si>
  <si>
    <t>BST008119</t>
  </si>
  <si>
    <t>BEST CARAMELO BLANDO DE LECHE 16 X 100 UND</t>
  </si>
  <si>
    <t>BST008121</t>
  </si>
  <si>
    <t>BEST CACIQUE CHONGO 1X50X400GRS</t>
  </si>
  <si>
    <t>BA010751</t>
  </si>
  <si>
    <t>BEST BOTONETAS MANI 20X24X13G (20)</t>
  </si>
  <si>
    <t>PT08507</t>
  </si>
  <si>
    <t>BEST BOTONETAS CHOCOLATE 20X24X11.5G (20)</t>
  </si>
  <si>
    <t>PT09317</t>
  </si>
  <si>
    <t>BEST BOTE CONITO RELL SUR 70u (12)</t>
  </si>
  <si>
    <t>PT014604</t>
  </si>
  <si>
    <t>BEST BOTE CONITO CHOCOLATE 70u (12)</t>
  </si>
  <si>
    <t>PT010759</t>
  </si>
  <si>
    <t>BEST BOTE CHOCOGOL 150u (12)</t>
  </si>
  <si>
    <t>PT010836</t>
  </si>
  <si>
    <t>AXE STICK TRANS DARK TEMP 12X54G</t>
  </si>
  <si>
    <t>AXE STICK TRANS COLLISION 12X54G</t>
  </si>
  <si>
    <t>AXE STICK BS ICE CHILL 12X50G</t>
  </si>
  <si>
    <t>AXE STICK AP URBAN48H 12X50G</t>
  </si>
  <si>
    <t>AXE STICK AP ICE CHILL 12X50G</t>
  </si>
  <si>
    <t>AXE STICK ADRENALINE 48H 12X50G</t>
  </si>
  <si>
    <t>AXE DEO STICK AP EXCITE 12X50G</t>
  </si>
  <si>
    <t>AXE DEO STICK AP COLLISION 12X50G</t>
  </si>
  <si>
    <t>AXE AERO BS ICE CHILL 12X90G/150ML</t>
  </si>
  <si>
    <t>AXE AERO BS GOLD TEMPTATION 12X90G</t>
  </si>
  <si>
    <t>AXE AERO BS EXCITE 12X90G</t>
  </si>
  <si>
    <t>AXE AERO BS DARK TEMPT 12X90G</t>
  </si>
  <si>
    <t>AXE AERO BS COLLISION 12X90G</t>
  </si>
  <si>
    <t>AXE AERO BS BLACK NIGHT12X90G</t>
  </si>
  <si>
    <t>AXE AERO BS BLACK 12X90G</t>
  </si>
  <si>
    <t>AXE AERO BS APOLLO 12X90G</t>
  </si>
  <si>
    <t>AXE AERO BS ANARCHY FW 12X90G</t>
  </si>
  <si>
    <t>AXE AERO AP URBAN 48H ABP 12X90G</t>
  </si>
  <si>
    <t>AXE AERO AP ICE CHILL 12X90G/152ML</t>
  </si>
  <si>
    <t>AXE AERO AP GOLD TEMPT 12X90G</t>
  </si>
  <si>
    <t>AXE AERO AP EXCITE 12X90G</t>
  </si>
  <si>
    <t>AXE AERO AP DARK TEMP SEC 12X90G</t>
  </si>
  <si>
    <t>AXE AERO AP COLLISION 12X90G</t>
  </si>
  <si>
    <t>AXE AERO AP BLACK 12X90G</t>
  </si>
  <si>
    <t>AXE AERO AP ADREN 48H CUP 12X90G</t>
  </si>
  <si>
    <t>AMS TOALLAS HUMEDAS LUCCA SUPERO SEC 12X80</t>
  </si>
  <si>
    <t>ALM000566</t>
  </si>
  <si>
    <t>AMS TOALLAS HUMEDAS BABY STAR12X80</t>
  </si>
  <si>
    <t>ALM00722</t>
  </si>
  <si>
    <t>AMS TOALLAS HUMEDAS BABY STAR 12X80</t>
  </si>
  <si>
    <t>ALM000722</t>
  </si>
  <si>
    <t>AMS TOALLAS HUMEDAS BABY STAR 10X1X80</t>
  </si>
  <si>
    <t>ALM000606</t>
  </si>
  <si>
    <t>AMS TOALLA FEM FEELING MAXI NORMAL 12X8</t>
  </si>
  <si>
    <t>ALM000559</t>
  </si>
  <si>
    <t>AMS TOALLA FEM FEELING MAXI NOCTURNA 12X8</t>
  </si>
  <si>
    <t>ALM000558</t>
  </si>
  <si>
    <t>AMS TOALLA DE COCINA MAX PAPEL ROLLO 24X1X200 HD</t>
  </si>
  <si>
    <t>ALM000725</t>
  </si>
  <si>
    <t>AMS TOALLA DE COCINA MAX PAPEL 8X3X120</t>
  </si>
  <si>
    <t>ALM000698</t>
  </si>
  <si>
    <t>AMS TOALLA DE COCINA MAX PAPEL 12X2X240HD BAJA</t>
  </si>
  <si>
    <t>ALM000567</t>
  </si>
  <si>
    <t>AMS SUAVIZANTE DE ROPA CASA LIMPIA TOTAL FRESCA PRIMAVERA 12X1X9</t>
  </si>
  <si>
    <t>ALM000644</t>
  </si>
  <si>
    <t>AMS SUAV ROPA CLT FRESCA PRIMAV SCH 6X12X120ML</t>
  </si>
  <si>
    <t>ALM000645</t>
  </si>
  <si>
    <t>AMS SHAMPOO BABY STAR 5X30X10ML SIN LAGRIMAS</t>
  </si>
  <si>
    <t>ALM000526</t>
  </si>
  <si>
    <t>AMS SERVILLETA LUCCA 10X1X100</t>
  </si>
  <si>
    <t>ALM000066</t>
  </si>
  <si>
    <t>AMS SERVILLETA JAPPYKLUB 10X1X100</t>
  </si>
  <si>
    <t>ALM000065</t>
  </si>
  <si>
    <t>AMS PERFUME SCH STYLO WOMAN SWEET PINK 12X30X1ML</t>
  </si>
  <si>
    <t>ALM000505</t>
  </si>
  <si>
    <t>AMS PERFUME SCH STYLO MEN SUPREMO 12X30X1ML</t>
  </si>
  <si>
    <t>ALM000503</t>
  </si>
  <si>
    <t>AMS PERFUME SCH STYLO MEN DRILE WHITE 12X30X1ML</t>
  </si>
  <si>
    <t>ALM000500</t>
  </si>
  <si>
    <t>AMS PAPEL HIGIENICO MAX PAPPEL 24X1 NARANJA BASICO HD</t>
  </si>
  <si>
    <t>ALM000030</t>
  </si>
  <si>
    <t>AMS PAPEL HIGIENICO MAX PAPPEL 24X1 MORAD0 MED HD</t>
  </si>
  <si>
    <t>ALM000029</t>
  </si>
  <si>
    <t>AMS PAPEL HIGIENICO MAX PAPPEL 24X1 MEJOR QUE 1000 HD</t>
  </si>
  <si>
    <t>ALM000028</t>
  </si>
  <si>
    <t>AMS PAPEL HIGIENICO MAX PAPPEL 24X1 DORADO NEGRO HT</t>
  </si>
  <si>
    <t>ALM000026</t>
  </si>
  <si>
    <t>AMS PAPEL HIGIENICO MAX PAPEL 4X6 FUCSIA XGDE HD</t>
  </si>
  <si>
    <t>ALM000037</t>
  </si>
  <si>
    <t>AMS PAPEL HIGIENICO LUCCA ROJO 6X4X200HD</t>
  </si>
  <si>
    <t>ALM000024</t>
  </si>
  <si>
    <t>AMS PAPEL HIGENICO LUCCA NARANJA 6X4X168</t>
  </si>
  <si>
    <t>ALM000022</t>
  </si>
  <si>
    <t>AMS PAPEL HIGENICO LUCCA 6X4X1000 MEJOR HD</t>
  </si>
  <si>
    <t>ALM000021</t>
  </si>
  <si>
    <t>AMS PAPEL HIGENICO LUCCA 24X1X1000 MEJOR HD</t>
  </si>
  <si>
    <t>ALM000016</t>
  </si>
  <si>
    <t>AMS PAPEL HIG MAX PAPPEL VERDE GR HD 24X1X320</t>
  </si>
  <si>
    <t>ALM000032</t>
  </si>
  <si>
    <t>AMS PAPEL HIG MAX PAPPEL MAX ROLLO HD 12X4X400</t>
  </si>
  <si>
    <t>ALM000678</t>
  </si>
  <si>
    <t>AMS PAPEL HIG MAX PAPPEL MAX ROL 2PACK HD 12X2X350</t>
  </si>
  <si>
    <t>ALM000691</t>
  </si>
  <si>
    <t>AMS PAPEL HIG MAX PAPPEL ECO HD 4X12X120</t>
  </si>
  <si>
    <t>ALM000119</t>
  </si>
  <si>
    <t>AMS PAPEL HIG MAX PAPPEL DORADO NEGRO HT 12X4</t>
  </si>
  <si>
    <t>ALM000039</t>
  </si>
  <si>
    <t>AMS PAPEL HIG MAX PAPEL ROJO DOR 6X4</t>
  </si>
  <si>
    <t>ALM000044</t>
  </si>
  <si>
    <t>AMS PAPEL HIG MAX PAPEL HS SUPER ECON (4)</t>
  </si>
  <si>
    <t>ALM000053</t>
  </si>
  <si>
    <t>AMS PAPEL HIG LUCCA 24X1X168 NARANJA HD</t>
  </si>
  <si>
    <t>ALM000017</t>
  </si>
  <si>
    <t>AMS MUESTRA DE 24</t>
  </si>
  <si>
    <t>AMS000191</t>
  </si>
  <si>
    <t>AMS MUEBLE CASA LIMPIA</t>
  </si>
  <si>
    <t>ALM000163</t>
  </si>
  <si>
    <t>AMS Materiales Imagen Mueble Casa Limpia</t>
  </si>
  <si>
    <t>ALM000170</t>
  </si>
  <si>
    <t>AMS KIT PRECIADORES CASA LIMPIA 24 UNIDADES</t>
  </si>
  <si>
    <t>AMS000187</t>
  </si>
  <si>
    <t>AMS KIT CASA LIMPIA MUEBLE+MATERIAL+ENVASES</t>
  </si>
  <si>
    <t>CB0016</t>
  </si>
  <si>
    <t>AMS JAB ANTIBAC CLT PINK LIMONADE 12X500</t>
  </si>
  <si>
    <t>ALM000580</t>
  </si>
  <si>
    <t>AMS JAB ANTIBAC CLT NARANJA JUGOSA 12X440</t>
  </si>
  <si>
    <t>ALM000687</t>
  </si>
  <si>
    <t>AMS ENVASE DE PLASTICO ALMSA</t>
  </si>
  <si>
    <t>ALM000637</t>
  </si>
  <si>
    <t>AMS ENVASE DE 1 LITRO CASA LIMPIA + TAPA</t>
  </si>
  <si>
    <t>AMS000637</t>
  </si>
  <si>
    <t>AMS ECO SUAV CASA LIMPIA LIBRE DE ENJUAGUE 1x20 LT</t>
  </si>
  <si>
    <t>ALM000196</t>
  </si>
  <si>
    <t>AMS ECO SUAV CASA LIMPIA FRUTOS DEL BOSQUE 1x20 LT</t>
  </si>
  <si>
    <t>ALM000195</t>
  </si>
  <si>
    <t>AMS ECO JAB LIQ LAVAPLATOS CASA LIMPIA LIMON 1x20 LT</t>
  </si>
  <si>
    <t>ALM000189</t>
  </si>
  <si>
    <t>AMS ECO JAB LIQ LAVAPLATOS CASA LIMPIA AVENA 1x20 LT</t>
  </si>
  <si>
    <t>ALM000184</t>
  </si>
  <si>
    <t>AMS ECO JAB ANTIBAC CASA LIMPIA NARANJA JUGOSA 1x20 LT</t>
  </si>
  <si>
    <t>ALM000183</t>
  </si>
  <si>
    <t>AMS ECO DETER LIQ MULTIUSOS ANTIBAC CASA LIMPIA 1x20 LT</t>
  </si>
  <si>
    <t>ALM000178</t>
  </si>
  <si>
    <t>AMS ECO DETER LIQ CASA LIMPIA ROPA DELICADA 1x20 LT</t>
  </si>
  <si>
    <t>ALM000179</t>
  </si>
  <si>
    <t>AMS ECO DETER LIQ CASA LIMPIA LIMPIEZA PROFUNDA 1x20 LT</t>
  </si>
  <si>
    <t>ALM000174</t>
  </si>
  <si>
    <t>AMS ECO DESIN CASA LIMPIA MUNDO MAGICO 1x20 LT</t>
  </si>
  <si>
    <t>ALM000173</t>
  </si>
  <si>
    <t>AMS ECO DESIN CASA LIMPIA LAVANDA 1x20 LT</t>
  </si>
  <si>
    <t>ALM000169</t>
  </si>
  <si>
    <t>AMS ECO DESIN CASA LIMPIA CITRONELA Y PINO 1x20 LT</t>
  </si>
  <si>
    <t>ALM000168</t>
  </si>
  <si>
    <t>AMS ECO DESEN MULTI CASA LIMPIA PODER LIMON 1x20 LT</t>
  </si>
  <si>
    <t>ALM000200</t>
  </si>
  <si>
    <t>AMS ECO Cloro Casa Limpia 1x20 LT</t>
  </si>
  <si>
    <t>ALM000084</t>
  </si>
  <si>
    <t>AMS DESINFECTANTE CASA LIMPIA TOTAL MUNDO MAGICO  12X1X900ML</t>
  </si>
  <si>
    <t>ALM000681</t>
  </si>
  <si>
    <t>AMS DESINFECTANTE CASA LIMPIA TOTAL LAVANDA 12X1X900ML</t>
  </si>
  <si>
    <t>ALM000576</t>
  </si>
  <si>
    <t>AMS DESIN CLT MUNDO MAGICO SCH 6X12X110ML</t>
  </si>
  <si>
    <t>ALM000683</t>
  </si>
  <si>
    <t>AMS DESIN CLT LAVANDA SCH 6X12X120ML</t>
  </si>
  <si>
    <t>ALM000626</t>
  </si>
  <si>
    <t>AMS CLORO MAX BLANKO 12X6X240ML POPULINO</t>
  </si>
  <si>
    <t>ALM000082</t>
  </si>
  <si>
    <t>AMS CLORO CLT NEUTRO DUO PACK POPULINO</t>
  </si>
  <si>
    <t>ALM000685</t>
  </si>
  <si>
    <t>AMS ALCOHOL LIQUIDO ANTIBACTERIAL CASA LIMPIA TOTAL 12X1X850ML</t>
  </si>
  <si>
    <t>ALM000639</t>
  </si>
  <si>
    <t>AMS ALCOHOL GEL ANTIBACTERIAL CASA LIMPIA TOTAL 12X440ML</t>
  </si>
  <si>
    <t>ALM000573</t>
  </si>
  <si>
    <t>ALD YOGUETA SURTIDA 1x24u (16)</t>
  </si>
  <si>
    <t>ALDOR</t>
  </si>
  <si>
    <t>ALD3011009</t>
  </si>
  <si>
    <t>ALD YOGUETA MILK 16X24u (16)</t>
  </si>
  <si>
    <t>ALD05668</t>
  </si>
  <si>
    <t>ALD YOGUETA CHOCOCARAMEL 1x24u (16)</t>
  </si>
  <si>
    <t>ALD3011010</t>
  </si>
  <si>
    <t>ALD SONETTO SURTIDO 16X110u (16)</t>
  </si>
  <si>
    <t xml:space="preserve">ALDOR </t>
  </si>
  <si>
    <t>ALD05696</t>
  </si>
  <si>
    <t>ALD PIN POP THE MOST WANTED 16X24u (16)</t>
  </si>
  <si>
    <t>ALD05667</t>
  </si>
  <si>
    <t>ALD PIN POP SENSAT CHICLE SABOR SURTI 1x24u (16)</t>
  </si>
  <si>
    <t>ALD3015020</t>
  </si>
  <si>
    <t>ALD PIN POP SANDIA 16X24 (16)</t>
  </si>
  <si>
    <t>ALD05665</t>
  </si>
  <si>
    <t>ALD PIN POP MIX ASSORTED 16X24u (16)</t>
  </si>
  <si>
    <t>ALD05767</t>
  </si>
  <si>
    <t>ALD PIN POP MANGO 16X24u (16)</t>
  </si>
  <si>
    <t>ALD05664</t>
  </si>
  <si>
    <t>ALD PIN POP FRESA 16X24u (16)</t>
  </si>
  <si>
    <t>ALD05768</t>
  </si>
  <si>
    <t>ALD PIN POP BLACK CHERRY CON CHICLE 16x24u (16)</t>
  </si>
  <si>
    <t>ALD3015004</t>
  </si>
  <si>
    <t>ALD FRUNAS DUO COLOR 16X100u (16)</t>
  </si>
  <si>
    <t>ALD05666</t>
  </si>
  <si>
    <t>ALD FRUNAS COLOR TUBO 1x50u (18)</t>
  </si>
  <si>
    <t>ALD3014003</t>
  </si>
  <si>
    <t>ALD BIAGI CARAMELO 16X100</t>
  </si>
  <si>
    <t>ALD05669</t>
  </si>
  <si>
    <t>ALD BIAGI CAFE 16X100</t>
  </si>
  <si>
    <t>ALD05670</t>
  </si>
  <si>
    <t>ALD BIAGI ARTESANO SURTIDO 1x50u (20)</t>
  </si>
  <si>
    <t>ALD3015019</t>
  </si>
  <si>
    <t>ALD BIAGI ARTESANO CHOCO Y MANI 1x50u (20)</t>
  </si>
  <si>
    <t>ALD3015001</t>
  </si>
  <si>
    <t>ALC ORO MAYA HARIN MAIZ BLANC 50LBS (1)</t>
  </si>
  <si>
    <t>ALCSA</t>
  </si>
  <si>
    <t>ALC ORO MAY HARIN MAIZ BLANC 800G (6)</t>
  </si>
  <si>
    <t>ALC ORO MAY HARIN MAIZ BLANC 50LBS (1)</t>
  </si>
  <si>
    <t>ALC ORO MAY  HARIN MAIZ BLANC 800 (9)</t>
  </si>
  <si>
    <t>ALC CR AVEN MOLIDA 12U 350G</t>
  </si>
  <si>
    <t>ALC CR AVEN MOLIDA 12U 300g</t>
  </si>
  <si>
    <t>ALC CR AVEN HOJUELA 12U 350G</t>
  </si>
  <si>
    <t>ALC CR AVEN HOJUELA 12U 300g</t>
  </si>
  <si>
    <t>UNIDAD</t>
  </si>
  <si>
    <t>FARDO</t>
  </si>
  <si>
    <t>UXFARDO</t>
  </si>
  <si>
    <t>DESCRIPCION</t>
  </si>
  <si>
    <t>Categorio</t>
  </si>
  <si>
    <t>ARTICULO</t>
  </si>
  <si>
    <t>PESO ARTICULOS DISMO  CUILAPA</t>
  </si>
  <si>
    <t>KDM</t>
  </si>
  <si>
    <t>QUA</t>
  </si>
  <si>
    <t>BIC</t>
  </si>
  <si>
    <t>PEDIALYTE</t>
  </si>
  <si>
    <t>GTAMSA</t>
  </si>
  <si>
    <t>GTBIC</t>
  </si>
  <si>
    <t>GTQUALA</t>
  </si>
  <si>
    <t>GTUNILEVER</t>
  </si>
  <si>
    <t xml:space="preserve">GTKERNS </t>
  </si>
  <si>
    <t>GTIQUIMSA</t>
  </si>
  <si>
    <t>GTNSK</t>
  </si>
  <si>
    <t xml:space="preserve">PC </t>
  </si>
  <si>
    <t>SACHET</t>
  </si>
  <si>
    <t xml:space="preserve">PORFINSA </t>
  </si>
  <si>
    <t>PC-JAB</t>
  </si>
  <si>
    <t>KELL ZUCARITAS MINI SCH 5X12X20G</t>
  </si>
  <si>
    <t>XHC CENTELLA CHIBOLONA BLANCO 4X3X400G</t>
  </si>
  <si>
    <t>NSK SUAVITEL COMPL PRIMAV 1X6X12 U</t>
  </si>
  <si>
    <t>N7512</t>
  </si>
  <si>
    <t>XHC MAX BLANC/VERDE DUOX 6X3X400G</t>
  </si>
  <si>
    <t>XHC CENTELLA CAMPEON BLANCO 6X4X330G</t>
  </si>
  <si>
    <t>Columna2</t>
  </si>
  <si>
    <t>Columna1</t>
  </si>
  <si>
    <t>Suma de Columna4</t>
  </si>
  <si>
    <t>Suma de Columna3</t>
  </si>
  <si>
    <t>Suma de Columna5</t>
  </si>
  <si>
    <t>QUINTALES</t>
  </si>
  <si>
    <t>LB</t>
  </si>
  <si>
    <t>LIBRA</t>
  </si>
  <si>
    <t>LIBRAS</t>
  </si>
  <si>
    <t>columna1</t>
  </si>
  <si>
    <t>DB477</t>
  </si>
  <si>
    <t>PLACA</t>
  </si>
  <si>
    <t>PESO MAX</t>
  </si>
  <si>
    <t>C-914</t>
  </si>
  <si>
    <t>C-916</t>
  </si>
  <si>
    <t>C-917</t>
  </si>
  <si>
    <t>C-918</t>
  </si>
  <si>
    <t>C-920</t>
  </si>
  <si>
    <t>C-921</t>
  </si>
  <si>
    <t>C-250</t>
  </si>
  <si>
    <t>C-240</t>
  </si>
  <si>
    <t>C445</t>
  </si>
  <si>
    <t>PORCENTAJE</t>
  </si>
  <si>
    <t>E471</t>
  </si>
  <si>
    <t>E472</t>
  </si>
  <si>
    <t>E473</t>
  </si>
  <si>
    <t>E474</t>
  </si>
  <si>
    <t>E475</t>
  </si>
  <si>
    <t>E476</t>
  </si>
  <si>
    <t>E477</t>
  </si>
  <si>
    <t>PESO LB</t>
  </si>
  <si>
    <t>PESO QUINTALES</t>
  </si>
  <si>
    <t>Suma de PESO QUINTALES</t>
  </si>
  <si>
    <t>BEST CHOCO PANDA COCOA 9+1 10X30X20G (30)</t>
  </si>
  <si>
    <t>BST0163762</t>
  </si>
  <si>
    <t>BONI QUA HARINA MASECA 400G</t>
  </si>
  <si>
    <t>GTQ0016</t>
  </si>
  <si>
    <t>SCH SAVILE SH ANTICASPA 24X28X15ML (24)</t>
  </si>
  <si>
    <t>BONI BAÑO 10 LITROS</t>
  </si>
  <si>
    <t>GTUL0019</t>
  </si>
  <si>
    <t>BEST DULCES MENTA 50X12X13G (50)</t>
  </si>
  <si>
    <t>BST006591</t>
  </si>
  <si>
    <t>BEST DULCES MENTA 100X6X13G (100)</t>
  </si>
  <si>
    <t>BST006590</t>
  </si>
  <si>
    <t>NSK BANDIDO VAINILLA DOCENA (24)</t>
  </si>
  <si>
    <t>NSK0055</t>
  </si>
  <si>
    <t>NSK BANDIDO CHOCOLATE DOCENA (24)</t>
  </si>
  <si>
    <t>NSK0058</t>
  </si>
  <si>
    <t>IAK DUCAL BEB TETR  PIÑA 200ML (24)</t>
  </si>
  <si>
    <t>K101011</t>
  </si>
  <si>
    <t>XHC CENTELLA CHIBOLONA VERDE 4X3X400G</t>
  </si>
  <si>
    <t>NSK BIC BOLIGRAFO NEGRO 12 (100)</t>
  </si>
  <si>
    <t>N9005</t>
  </si>
  <si>
    <t>SEDAL CR 300 ML PEIN KERATINA Y ANTIOX (12)</t>
  </si>
  <si>
    <t>XHC CENTELLA CHIBOLONA ROSADO 4X3X400G</t>
  </si>
  <si>
    <t>DCASA HEINZ CIRUELA/PASAS FLEX 24X113G</t>
  </si>
  <si>
    <t>DCAS0541</t>
  </si>
  <si>
    <t>BONI NSK BANDIDO UNIDAD</t>
  </si>
  <si>
    <t>GTNSK021</t>
  </si>
  <si>
    <t>GTQ0017</t>
  </si>
  <si>
    <t>SCH DOVE SH HIDRA Y SUAVI (ANTICASPA) 24X28X10ML</t>
  </si>
  <si>
    <t>REXONA AERO ANTIBAC INVISIBLE MEN ADVANCE 12/90G</t>
  </si>
  <si>
    <t>FOOD MAIZENA FECULA MAIZ BANANA 16X12X47G</t>
  </si>
  <si>
    <t>IAK KERNS 330ml COCTEL VEGETALES  (24)</t>
  </si>
  <si>
    <t>YAESSC00028</t>
  </si>
  <si>
    <t>YAES ROSTIZADOR 18/453G</t>
  </si>
  <si>
    <t>YAESEP00038</t>
  </si>
  <si>
    <t>YAES ROSTIZADOR 100/100G</t>
  </si>
  <si>
    <t>YAESEP00006</t>
  </si>
  <si>
    <t>KELL CHOCO KRISPI SCH 8X6X150G (8)</t>
  </si>
  <si>
    <t>SCH SEDAL SH NEGR LUM 12X24X10ML+4</t>
  </si>
  <si>
    <t>NSK CHIBOLON SURTIDO BOLSA (18)</t>
  </si>
  <si>
    <t>NSK3672</t>
  </si>
  <si>
    <t>EGO GEL POWER 4x6x200 ML+5 SCH</t>
  </si>
  <si>
    <t>BA014860</t>
  </si>
  <si>
    <t>UNILEVER</t>
  </si>
  <si>
    <t>BONI  SAVILOW 12X500ML</t>
  </si>
  <si>
    <t>BONI GALLETA BEST MANI</t>
  </si>
  <si>
    <t>BEST CHOCOFRUTA TABLETA 24X375G</t>
  </si>
  <si>
    <t>BST010835</t>
  </si>
  <si>
    <t>BONI SH SAVILE BIOTINA DISPLAY</t>
  </si>
  <si>
    <t>GTUL0013</t>
  </si>
  <si>
    <t>QUA YUS JAMAICA 9X15X28g</t>
  </si>
  <si>
    <t>GT0013</t>
  </si>
  <si>
    <t>K194629</t>
  </si>
  <si>
    <t>XHC REXONA JAB ANTIBAC LIMP PROF 48X125G</t>
  </si>
  <si>
    <t>PONDS CR 50G REJUVENESS (24)</t>
  </si>
  <si>
    <t>PONDS CR 50G CLARANT B3 SECA (24)</t>
  </si>
  <si>
    <t>PONDS CR 50G CLARANT B3 GRASA (24)</t>
  </si>
  <si>
    <t>NSK LYSOL DESINFECTANTE MULTIUSOS DP 500 ML</t>
  </si>
  <si>
    <t>NSK9617</t>
  </si>
  <si>
    <t>EGO GEL URBAN 4X6X200ML</t>
  </si>
  <si>
    <t>HERMETICO</t>
  </si>
  <si>
    <t>Q1007</t>
  </si>
  <si>
    <t>ALM ECO BOX SUAVIZANTE LIBRE DE ENJUAGUE 9.5 LTS</t>
  </si>
  <si>
    <t>ALM000225</t>
  </si>
  <si>
    <t>Q1008</t>
  </si>
  <si>
    <t>EGO GEL ATTRAC 4/6/200ML+5 SCH</t>
  </si>
  <si>
    <t>BONI CUBETA PLASTICA</t>
  </si>
  <si>
    <t>GTDIN009</t>
  </si>
  <si>
    <t>YAES EMPANIZADOR DE POLLO 180/50G</t>
  </si>
  <si>
    <t>YAESEP00035</t>
  </si>
  <si>
    <t>Q5460400</t>
  </si>
  <si>
    <t>Q19166005</t>
  </si>
  <si>
    <t>QUA YUS FRUTAS TROPICALES 9x15x28g</t>
  </si>
  <si>
    <t>Q19166007</t>
  </si>
  <si>
    <t>Q19790106</t>
  </si>
  <si>
    <t>Q205</t>
  </si>
  <si>
    <t>BONI QUA AVENA ESTRELLA 360G</t>
  </si>
  <si>
    <t>GTQ0018</t>
  </si>
  <si>
    <t>BEST RODAJAS JAL EN ESCAB 24/170G</t>
  </si>
  <si>
    <t>BST016124</t>
  </si>
  <si>
    <t>BEST RODAJAS JAL 24/215G</t>
  </si>
  <si>
    <t>BST016110</t>
  </si>
  <si>
    <t>Q1009</t>
  </si>
  <si>
    <t>Q1003</t>
  </si>
  <si>
    <t>Q202</t>
  </si>
  <si>
    <t>SEDAL SH 340 ML KERATINA C ANTIOX (12)</t>
  </si>
  <si>
    <t>EGO GEL ATTRAC 4X6X110ML</t>
  </si>
  <si>
    <t>BONI UL PALANGA</t>
  </si>
  <si>
    <t>GTUL0025</t>
  </si>
  <si>
    <t>SCH SAVILE CR ARGAN 24X28X15ML</t>
  </si>
  <si>
    <t>AMS PAPEL HIGIENICO MAX PAPPEL 8X6X DORADO NEGRO HT</t>
  </si>
  <si>
    <t>ALM000036</t>
  </si>
  <si>
    <t>REXONA STICK CLIN MEN EXPERT 12/46G</t>
  </si>
  <si>
    <t>Q1002</t>
  </si>
  <si>
    <t>Q1006</t>
  </si>
  <si>
    <t>Q1001</t>
  </si>
  <si>
    <t>Q1000</t>
  </si>
  <si>
    <t>Q1021</t>
  </si>
  <si>
    <t>Q250042</t>
  </si>
  <si>
    <t>Q201</t>
  </si>
  <si>
    <t>Q19790102</t>
  </si>
  <si>
    <t>Q204</t>
  </si>
  <si>
    <t>Q203</t>
  </si>
  <si>
    <t>Q79790105</t>
  </si>
  <si>
    <t>Q207</t>
  </si>
  <si>
    <t>Q1019</t>
  </si>
  <si>
    <t>Q1005</t>
  </si>
  <si>
    <t>Q1004</t>
  </si>
  <si>
    <t>DOVE STICK GO FRESH PEPINO</t>
  </si>
  <si>
    <t>Q206</t>
  </si>
  <si>
    <t>ALM ECO BOX DETER MULT ANTIBACTERIAL 9.5 LTS</t>
  </si>
  <si>
    <t>ALM000211</t>
  </si>
  <si>
    <t>BEST CHIPOTLES ADOBADOS 24/160G</t>
  </si>
  <si>
    <t>BST016125</t>
  </si>
  <si>
    <t>BONI IAK VASO PLASTICO KERNS</t>
  </si>
  <si>
    <t>GT0038K</t>
  </si>
  <si>
    <t>BONI IAK CHUCHARON PLASTICO</t>
  </si>
  <si>
    <t>GT0078K</t>
  </si>
  <si>
    <t>YAES CHILE JALAPEÑO EN RAJAS 105 GR (40)</t>
  </si>
  <si>
    <t>CV00066</t>
  </si>
  <si>
    <t>REXONA AERO CLINICAL EXTRA DRY 12X91G</t>
  </si>
  <si>
    <t>IAK KERNS 330ml NECT MANZANA  (24)</t>
  </si>
  <si>
    <t>SCH SEDAL SH KERATINA 12X24X10ML+4</t>
  </si>
  <si>
    <t>SCH SEDAL CR PEIN KERAT 24X28X10ML</t>
  </si>
  <si>
    <t>REXONA AERO AO ACTIVE 12X89G</t>
  </si>
  <si>
    <t>DOVE AERO AP COCO 12X87G</t>
  </si>
  <si>
    <t>DOVE AERO AP CALENDULA 12X87G</t>
  </si>
  <si>
    <t>NSK SUAVITEL ROSADO 6X12X80ML</t>
  </si>
  <si>
    <t>N9656</t>
  </si>
  <si>
    <t>SCH SEDAL SH SOS CASPA 12X24X10ML</t>
  </si>
  <si>
    <t>XHC MAX SB LILA 6X3X400G</t>
  </si>
  <si>
    <t>DIN SOPA ISSIMA CAMARON/CHILE (12)</t>
  </si>
  <si>
    <t>ALM000070</t>
  </si>
  <si>
    <t>AMS ERVILLETA MAX FAMILIAR 4 PAQUETES</t>
  </si>
  <si>
    <t>DIN SOPA ISSIMA CAMARON (12)</t>
  </si>
  <si>
    <t>DIN SOPA ISSIMA POLLO (12)</t>
  </si>
  <si>
    <t>ALM000072</t>
  </si>
  <si>
    <t>AMS SERVILLETA MAX PAPPEL 10X1X100 CUADRADA</t>
  </si>
  <si>
    <t>GTQ003</t>
  </si>
  <si>
    <t>BONI QUA BONTEA DURAZNO</t>
  </si>
  <si>
    <t>SCH DOVE SH OLEO NUTRI 12X24X10ML</t>
  </si>
  <si>
    <t>XHC CENTELLA CHIBOLONA AZUL 4X3X400G</t>
  </si>
  <si>
    <t>BYB MERMELADA DE FRESA DOY PACK 24/200g</t>
  </si>
  <si>
    <t>BYB00080707</t>
  </si>
  <si>
    <t>BYB CHILE JALAPEÑO SEMIPICANTE 96/5.8oz</t>
  </si>
  <si>
    <t>BYB00020500</t>
  </si>
  <si>
    <t>BYB VINAGRE CLARO BOTE LARGO 12/750ml</t>
  </si>
  <si>
    <t>BYB00232538</t>
  </si>
  <si>
    <t>BYB SALSA PICAMAS VERDE PLASTICO 48/100g</t>
  </si>
  <si>
    <t>BYB00170440</t>
  </si>
  <si>
    <t>BYB MAYONESA BOLSA 48/200g</t>
  </si>
  <si>
    <t>BYB00100801</t>
  </si>
  <si>
    <t>BYB MAYONESA BOLSA 48/100g</t>
  </si>
  <si>
    <t>BYB00100401</t>
  </si>
  <si>
    <t>BYB MAYONESA BOLSA 32/380g</t>
  </si>
  <si>
    <t>BYB00101601</t>
  </si>
  <si>
    <t>BYB VINAGRE CLARO 24/360ml</t>
  </si>
  <si>
    <t>BYB00231238</t>
  </si>
  <si>
    <t>BYB SALSA PICAMAS VERDE BOLSA 48/110g</t>
  </si>
  <si>
    <t>BYB00170340</t>
  </si>
  <si>
    <t>BYB VINAGRE CLARO 48/100ml</t>
  </si>
  <si>
    <t>BYB00230438</t>
  </si>
  <si>
    <t>BYB SALSA BARBACOA SQUEZZE PLASTICO 24/14oz</t>
  </si>
  <si>
    <t>BYB00441400</t>
  </si>
  <si>
    <t>BYB MIEL DE MAPLE GARRAFA 24/330 ml</t>
  </si>
  <si>
    <t>BYB00121600</t>
  </si>
  <si>
    <t>BYB MERMELADA DE PIÑA VASO 12/260g</t>
  </si>
  <si>
    <t>BYB00084425</t>
  </si>
  <si>
    <t>BYB MERMELADA DE MORA VASO 12/260g</t>
  </si>
  <si>
    <t>BYB00084424</t>
  </si>
  <si>
    <t>BYB MERMELADA DE FRESA VASO 12/260g</t>
  </si>
  <si>
    <t>BYB00084423</t>
  </si>
  <si>
    <t>BYB CHILE JALAPEÑO PICANTE 96/5.8oz</t>
  </si>
  <si>
    <t>BYB00020502</t>
  </si>
  <si>
    <t>BYB MOSTAZA BOLSA 48/100g</t>
  </si>
  <si>
    <t>BYB00140401</t>
  </si>
  <si>
    <t>BYB SALSA SOYA PLASTICA 48/3.5oz</t>
  </si>
  <si>
    <t>BYB00220400</t>
  </si>
  <si>
    <t>BYB SALSA INGLESA PLASTICA 48/3.5onz</t>
  </si>
  <si>
    <t>BYB00200400</t>
  </si>
  <si>
    <t>BYB MERMELADA DE PIÑA TARRO 12/300g</t>
  </si>
  <si>
    <t>BYB00080820</t>
  </si>
  <si>
    <t>BYB MERMELADA DE FRESA TARRO 12/300g</t>
  </si>
  <si>
    <t>BYB00084421</t>
  </si>
  <si>
    <t>BYB SALSA PICAMAS ROJA PLASTICO 48/100g</t>
  </si>
  <si>
    <t>BYB00170441</t>
  </si>
  <si>
    <t>BYB SALSA BARBACOA DOY PACK 24/95g</t>
  </si>
  <si>
    <t>BYB00441404</t>
  </si>
  <si>
    <t>BYB MAYONESA ALMOHADITA 48/100g</t>
  </si>
  <si>
    <t>BYB00100507</t>
  </si>
  <si>
    <t>BYB CONCENTRADO DE TAMARINDO 12/678 ml</t>
  </si>
  <si>
    <t>BYB00053223</t>
  </si>
  <si>
    <t>BYB CONCENTRADO DE HORCHATA 12/678 ml</t>
  </si>
  <si>
    <t>BYB00053209</t>
  </si>
  <si>
    <t>MA AVENA PERLADA 50X165G</t>
  </si>
  <si>
    <t>MA7404007580222</t>
  </si>
  <si>
    <t>MA AVENA FORTIFICADA 100X40G</t>
  </si>
  <si>
    <t>MA7404007580658</t>
  </si>
  <si>
    <t>BYB PICAMAS CHILTEPE 24/155g</t>
  </si>
  <si>
    <t>BYB00174452</t>
  </si>
  <si>
    <t>BYB CHEEZ DIP DOY PACK 12/200g</t>
  </si>
  <si>
    <t>BYB00430000</t>
  </si>
  <si>
    <t>ALD PIN POP BLACK CHERRY 16X24 (15G)</t>
  </si>
  <si>
    <t>ALD06525</t>
  </si>
  <si>
    <t>SCH SEDAL SH HIALURONICO Y VIT C 24X28X15ML</t>
  </si>
  <si>
    <t>BONI UL MAYO HELLMANS 70G</t>
  </si>
  <si>
    <t>GTUL0027</t>
  </si>
  <si>
    <t>BONI UL AZUCAR MORENA 230G</t>
  </si>
  <si>
    <t>GTUL0026</t>
  </si>
  <si>
    <t>TERMO GABACHA MINI/PIWI</t>
  </si>
  <si>
    <t>TRM1001</t>
  </si>
  <si>
    <t>TERMO GABACHA #2</t>
  </si>
  <si>
    <t>TRM1003</t>
  </si>
  <si>
    <t>TERMO GABACHA #1</t>
  </si>
  <si>
    <t>TRM1002</t>
  </si>
  <si>
    <t>TERMO BOLSA COLOR 5 Lbs</t>
  </si>
  <si>
    <t>TRM1004</t>
  </si>
  <si>
    <t>GRECO INTEGRAL AVENA UVA Y CIRUELA 156gr (24)</t>
  </si>
  <si>
    <t>GR100003</t>
  </si>
  <si>
    <t>GRECO INTEGRAL AVENA FRUTOS ROJOS 156gr (24)</t>
  </si>
  <si>
    <t>GR100004</t>
  </si>
  <si>
    <t>GRECO CHOCOCHIPS GALLETA 240gr (24)</t>
  </si>
  <si>
    <t>GR100002</t>
  </si>
  <si>
    <t>GRECO CANASTICAS GALLETA MORA ROJA 270gr (24)</t>
  </si>
  <si>
    <t>GR100001</t>
  </si>
  <si>
    <t>BYB CONCENTRADO DE HORCHATA 24/225 ml</t>
  </si>
  <si>
    <t>BYB00051109</t>
  </si>
  <si>
    <t>XHC LIMPIOX CILINDRO LIMON 18X320G</t>
  </si>
  <si>
    <t>ALD PIN POP WATERMELON 16X24 (15G)</t>
  </si>
  <si>
    <t>ALD06518</t>
  </si>
  <si>
    <t>ALD PIN POP MANGO 16X24 (15G)</t>
  </si>
  <si>
    <t>ALD06517</t>
  </si>
  <si>
    <t>ALD PIN POP FRESA 16x24 (15G)</t>
  </si>
  <si>
    <t>ALD06526</t>
  </si>
  <si>
    <t>TERMO BOLSA TRANSPARENTE 3 Lbs</t>
  </si>
  <si>
    <t>TRM1006</t>
  </si>
  <si>
    <t>BYB VINAGRE CLARO 24/500ml</t>
  </si>
  <si>
    <t>BYB00231838</t>
  </si>
  <si>
    <t>ALD YOGUETA SURTIDA RELLENA 16X24  (15G)</t>
  </si>
  <si>
    <t>ALD06514</t>
  </si>
  <si>
    <t>BYB CHILE JALAPEÑO LA CONTENTA 48/180g</t>
  </si>
  <si>
    <t>BYB00025006</t>
  </si>
  <si>
    <t>ALD PIN POP ASSORTED 16X24 (15G)</t>
  </si>
  <si>
    <t>ALD06520</t>
  </si>
  <si>
    <t>FOS PALITO CHOCOBANANO EL SOL 36X150u</t>
  </si>
  <si>
    <t>TERMO BOLSA TRANSPARENTE 2 Lbs</t>
  </si>
  <si>
    <t>TRM1005</t>
  </si>
  <si>
    <t>TERMO BOLSA DE BASURA NEGRA 24X35</t>
  </si>
  <si>
    <t>TRM1008</t>
  </si>
  <si>
    <t>MA AVENA INTEGRAL 25X300G</t>
  </si>
  <si>
    <t>MA7404007581415</t>
  </si>
  <si>
    <t>BYB DISPLAY DE CONCENTRADO DE TAMARINDO 6/12u</t>
  </si>
  <si>
    <t>BYB00050608</t>
  </si>
  <si>
    <t>BYB DISPLAY DE CONCENTRADO DE HORCHATA 6/12u</t>
  </si>
  <si>
    <t>BYB00050601</t>
  </si>
  <si>
    <t>XHC LIMPIOX CILINDRO ALOE 18X320G</t>
  </si>
  <si>
    <t>BYB SALSA SOYA PLASTICA 24/152 ml</t>
  </si>
  <si>
    <t>BYB00220500</t>
  </si>
  <si>
    <t>BYB SALSA PICAMAS VERDE PLASTICO 24/200g</t>
  </si>
  <si>
    <t>BYB00170940</t>
  </si>
  <si>
    <t>BYB SALSA INGLESA PLASTICA 24/152 ml</t>
  </si>
  <si>
    <t>BYB00200500</t>
  </si>
  <si>
    <t>FOOD HELLMANNS  MAY DYP 12X190G</t>
  </si>
  <si>
    <t>MA AVENA MOSH ESTRELLA 25X360G</t>
  </si>
  <si>
    <t>MA7404007581686</t>
  </si>
  <si>
    <t>BYB CONCENTRADO DE TAMARINDO 24/225 ml</t>
  </si>
  <si>
    <t>BYB00051123</t>
  </si>
  <si>
    <t>BYB SALSA PICAMAS VERDE BOLSA 32/454g</t>
  </si>
  <si>
    <t>BYB00171640</t>
  </si>
  <si>
    <t>BYB PICAMAS COBANERO 24/155g</t>
  </si>
  <si>
    <t>BYB00174453</t>
  </si>
  <si>
    <t>ALC ORO MAY  HARIN MAIZ BLANC 800 (9)</t>
  </si>
  <si>
    <t>10080100732</t>
  </si>
  <si>
    <t>BYB DISPLAY DE CONCENTRADO DE CARAMBOLA EXHIBI 6/12u</t>
  </si>
  <si>
    <t>BYB00050607</t>
  </si>
  <si>
    <t>IAK DUCAL FRIJ NEGR LAT 5.5oz PROMO (48)</t>
  </si>
  <si>
    <t>K198264</t>
  </si>
  <si>
    <t>TERMO BOLSA TRANSPARENTE 5 Lbs</t>
  </si>
  <si>
    <t>TRM1007</t>
  </si>
  <si>
    <t>IAK KERNS SALSITA HONGOS 106GR DP (24)</t>
  </si>
  <si>
    <t>K185151</t>
  </si>
  <si>
    <t>XHC DIN SUAVISSIMO TOQ DE CUID 80ml  (6)</t>
  </si>
  <si>
    <t>FOOD HELLMANNS MAY DP 12X380G</t>
  </si>
  <si>
    <t>ALD SONETTO SURTIDO 16X100 (4G)</t>
  </si>
  <si>
    <t>ALD05671</t>
  </si>
  <si>
    <t>BYB VINAGRE CLARO GALÓN PLASTICO 4/3785ml</t>
  </si>
  <si>
    <t>BYB00234138</t>
  </si>
  <si>
    <t>BONI DIN JABONERA VENZA</t>
  </si>
  <si>
    <t>GTDIN010</t>
  </si>
  <si>
    <t>BONI QUA GALLETA BEST MANI MINI 24X12</t>
  </si>
  <si>
    <t>GTQ0019</t>
  </si>
  <si>
    <t>MA AVENA STEEL CUT 96X40G</t>
  </si>
  <si>
    <t>MA7404007580514</t>
  </si>
  <si>
    <t xml:space="preserve"> </t>
  </si>
  <si>
    <t>AXE AERO BS ICE CHILL 12X90G</t>
  </si>
  <si>
    <t>SCH SEDAL SH 2EN1 KERAT C/ANTIOX 24X28X10ML</t>
  </si>
  <si>
    <t>BYB MAYONESA SACHET 500/8g</t>
  </si>
  <si>
    <t>BYB00100101</t>
  </si>
  <si>
    <t>QUA FRUTY FRESCO 14+4 (8)</t>
  </si>
  <si>
    <t>Q2709126</t>
  </si>
  <si>
    <t>IAK BAMB MARGARITA 350ml LATA (24)</t>
  </si>
  <si>
    <t>K201380</t>
  </si>
  <si>
    <t>BYB CHILE JALAPEÑO SEMIPICANTE BOLSA 12/320g</t>
  </si>
  <si>
    <t>BYB00025002</t>
  </si>
  <si>
    <t>SEDAL SH 2EN1 SOS CERAM 12X24X10ML+4 SCH</t>
  </si>
  <si>
    <t>IAK BAMB PIÑA COLADA 350ml LATA (24)</t>
  </si>
  <si>
    <t>K201381</t>
  </si>
  <si>
    <t>BONI PLAST PALANGANA XEDEX</t>
  </si>
  <si>
    <t>GT0005</t>
  </si>
  <si>
    <t>MA AVENA FORTIFICADA 25X454G</t>
  </si>
  <si>
    <t>MA7404007580642</t>
  </si>
  <si>
    <t>BYB VINAGRE CLARO 24/200ml</t>
  </si>
  <si>
    <t>BYB00230939</t>
  </si>
  <si>
    <t>BYB SALSA BARBACOA 4/4,400g</t>
  </si>
  <si>
    <t>BYB00444100</t>
  </si>
  <si>
    <t>BYB CHILE JALAPEÑO PICANTE LATA 96/5.8oz</t>
  </si>
  <si>
    <t>BYB SALSA PICAMAS VERDE BOLSA 48/223g</t>
  </si>
  <si>
    <t>BYB00170840</t>
  </si>
  <si>
    <t>BYB MAYONESA EXTRAMAYO 48/200g</t>
  </si>
  <si>
    <t>BYB470801</t>
  </si>
  <si>
    <t>BYB SALSA SOYA PLASTICO 4/3850 ml</t>
  </si>
  <si>
    <t>BYB00224100</t>
  </si>
  <si>
    <t>BYB MAYONESA CLASICA BOLSA 4/3000g</t>
  </si>
  <si>
    <t>BYB00104200</t>
  </si>
  <si>
    <t>BYB MANTEQUILLA DE MANI VASO 24/245g</t>
  </si>
  <si>
    <t>BYB00091035</t>
  </si>
  <si>
    <t>BYB MAYONESA CLASICA BOLSA 8/1500g</t>
  </si>
  <si>
    <t>BYB00104400</t>
  </si>
  <si>
    <t>BYB SALSA T/KETCHUP FRONTERA 8/1/2 GALON BOLSA</t>
  </si>
  <si>
    <t>BYB00531002</t>
  </si>
  <si>
    <t>TERMO BOLSA TRANSPARENTE 1 Lbs</t>
  </si>
  <si>
    <t>TRM1015</t>
  </si>
  <si>
    <t>BYB SALSA PICAMAS VERDE JUMBO PLASTICO 24/19oz</t>
  </si>
  <si>
    <t>BYB00171940</t>
  </si>
  <si>
    <t>BYB SALSA T/KETCHUP FRONTERA 32/375g</t>
  </si>
  <si>
    <t>BYB00531007</t>
  </si>
  <si>
    <t>BYB SALSA PICAMAS ALMOHADITA 48/110 g</t>
  </si>
  <si>
    <t>BYB00174456</t>
  </si>
  <si>
    <t>BYB SALSA PICANTE FRONTERA 4/1 GALON BOLSA</t>
  </si>
  <si>
    <t>BYB00521001</t>
  </si>
  <si>
    <t>BYB MAYONESA EXTRAMAYO BOLSA 4/3000g</t>
  </si>
  <si>
    <t>BYB00474200</t>
  </si>
  <si>
    <t>BYB CONCENTRADO DE JAMAICA 12/678 ml</t>
  </si>
  <si>
    <t>BYB00053211</t>
  </si>
  <si>
    <t>BYB SALSA PICAMAS VERDE BOLSA 4/3000g</t>
  </si>
  <si>
    <t>BYB00174240</t>
  </si>
  <si>
    <t>BYB SALSA INGLESA PLASTICO 4/3850 ml</t>
  </si>
  <si>
    <t>BYB00204100</t>
  </si>
  <si>
    <t>BYB MOSTAZA BOLSA 32/390g</t>
  </si>
  <si>
    <t>BYB00141601</t>
  </si>
  <si>
    <t>BYB MOSTAZA BOLSA 48/200g</t>
  </si>
  <si>
    <t>BYB00140801</t>
  </si>
  <si>
    <t>BYB MAYONESA PRIMA BOLSA 4/3000g</t>
  </si>
  <si>
    <t>BYB00710002</t>
  </si>
  <si>
    <t>ALD YOGUETA MILKY CARAMEL 16X24 (15G)</t>
  </si>
  <si>
    <t>ALD06524</t>
  </si>
  <si>
    <t>ALD PIN POP THE MOST WANTED 16X24 (15G)</t>
  </si>
  <si>
    <t>ALD06519</t>
  </si>
  <si>
    <t>ALD PIN POP PINTALENGUA 16X24 (15G)</t>
  </si>
  <si>
    <t>ALD06522</t>
  </si>
  <si>
    <t>ALD PIN POP KOLA 16X24 (15G)</t>
  </si>
  <si>
    <t>ALD06521</t>
  </si>
  <si>
    <t>DIN MAZOLA ACEITE DYP 400ml (24)</t>
  </si>
  <si>
    <t>ALD SONETTO CHOCOLATE BLANCO 16X100 (4G)</t>
  </si>
  <si>
    <t>ALD05672</t>
  </si>
  <si>
    <t>BYB CHOCONELA 12/273g</t>
  </si>
  <si>
    <t>BYB00511001</t>
  </si>
  <si>
    <t>BYB MAYONESA EXTRAMAYO BOLSA 16/880g</t>
  </si>
  <si>
    <t>BYB00473201</t>
  </si>
  <si>
    <t>ALD YOGUETA CHOCOCARAMEL 16X24 (16)</t>
  </si>
  <si>
    <t>ALD05231</t>
  </si>
  <si>
    <t>EGO GEL CONTROL CAIDA 24X230ML (24)</t>
  </si>
  <si>
    <t>SCH DOVE SH HIDRA Y SUAVI (ANTICASPA) 12X24X10ML</t>
  </si>
  <si>
    <t>BYB VINAGRE PRIMA 24/500</t>
  </si>
  <si>
    <t>BYB234141</t>
  </si>
  <si>
    <t>BYB SALSA PICAMAS VERDE BOLSA 8/1750g</t>
  </si>
  <si>
    <t>BYB00174440</t>
  </si>
  <si>
    <t>BYB SALSA PICANTE FRONTERA 32/16onz</t>
  </si>
  <si>
    <t>BYB00521003</t>
  </si>
  <si>
    <t>BYB MAYONESA PRIMA BOLSA 8/1500g</t>
  </si>
  <si>
    <t>BYB00710001</t>
  </si>
  <si>
    <t>BYB CHILE JALAPEÑO PICANTE BOLSA 12/320g</t>
  </si>
  <si>
    <t>BYB00025001</t>
  </si>
  <si>
    <t>XHC UNOX INTEL P PERF RESULTS 12X12X35G</t>
  </si>
  <si>
    <t>QUA JUGOS YA FRUTAS TROPICALES 10X15</t>
  </si>
  <si>
    <t>Q0232</t>
  </si>
  <si>
    <t>BONI QUA JUGOS YA FRUTAS TROPICALES</t>
  </si>
  <si>
    <t>GTQ0020</t>
  </si>
  <si>
    <t>EGO GEL CONTROL CAIDA 2X6X200ML</t>
  </si>
  <si>
    <t>AMS TOALLA HUMEDA LUCCA FRESH 12X350G</t>
  </si>
  <si>
    <t>ALM000730</t>
  </si>
  <si>
    <t>YAES ROSTIZADOR MARISCO 100G</t>
  </si>
  <si>
    <t>YAESEP00010</t>
  </si>
  <si>
    <t>BONI ALC ORO MAYA 400GR</t>
  </si>
  <si>
    <t>GTDCAS0001</t>
  </si>
  <si>
    <t>SCH DOVE SH RECON COMPL SUP 24X28X10ML</t>
  </si>
  <si>
    <t>YAES SAL DE MESA REFINADA 25/400G</t>
  </si>
  <si>
    <t>BYB CHILE JALAPEÑO SEMIPICANTE LATA 96/5.8oz</t>
  </si>
  <si>
    <t>DOVE STICK COCO 12X50G</t>
  </si>
  <si>
    <t>DOVE STICK CALENDULA 12X50G</t>
  </si>
  <si>
    <t>KMD EL ARTESANO SALSA COBANERO 95g</t>
  </si>
  <si>
    <t>KMD10080010002</t>
  </si>
  <si>
    <t>BYB MOSTAZA ALMOHADITA 48/110 g</t>
  </si>
  <si>
    <t>BYB00144402</t>
  </si>
  <si>
    <t>BONI DINANT PLATO PLASTICO</t>
  </si>
  <si>
    <t>GTDIN012</t>
  </si>
  <si>
    <t>BYB MAYONESA EXTRAMAYO 32/375g</t>
  </si>
  <si>
    <t>BYB471601</t>
  </si>
  <si>
    <t>ALD YOGUETA CHOCOCARAMEL 16X24 (15G)</t>
  </si>
  <si>
    <t>ALD06515</t>
  </si>
  <si>
    <t>BYB MAYONESA EXTRAMAYO 48/100g</t>
  </si>
  <si>
    <t>BYB470401</t>
  </si>
  <si>
    <t>BYB CONCENTRADO DE MORA 12/678 ml</t>
  </si>
  <si>
    <t>BYB00053215</t>
  </si>
  <si>
    <t>BYB MAYONESA EXTRAMAYO BOLSA 8/1500g</t>
  </si>
  <si>
    <t>BYB00474400</t>
  </si>
  <si>
    <t>BONI QUA YUS FRUTAS TROPICALES 9x15x28g</t>
  </si>
  <si>
    <t>GTQ0021</t>
  </si>
  <si>
    <t>IAK DUCAL BEB ALUMIN PERA 330ml (24)</t>
  </si>
  <si>
    <t>K186804</t>
  </si>
  <si>
    <t>BONI SOPA ISSIMA</t>
  </si>
  <si>
    <t>GTDIN011</t>
  </si>
  <si>
    <t>AMS TOALLA HUMEDA LUCCA FAMILIAR 12X80</t>
  </si>
  <si>
    <t>ALM000728</t>
  </si>
  <si>
    <t>BEST CHOCOFRUTA 50x400G</t>
  </si>
  <si>
    <t>BST010829</t>
  </si>
  <si>
    <t>BYB MAYONESA CLASICA BOLSA 16/880g</t>
  </si>
  <si>
    <t>BYB00103201</t>
  </si>
  <si>
    <t>BONI ARROZ GALLO DORADO 400G</t>
  </si>
  <si>
    <t>GTA0001</t>
  </si>
  <si>
    <t>BONI ARROZ MOLINERO BLANCO 400G</t>
  </si>
  <si>
    <t>GTA0008</t>
  </si>
  <si>
    <t>AMS TOALLAS HUMEDAS BABY STAR 24X40</t>
  </si>
  <si>
    <t>ALM000562</t>
  </si>
  <si>
    <t>FOOD MAIZENA FECULA MAIZ VAINILLA 16X12X45G</t>
  </si>
  <si>
    <t>BONI PLAST PALANGANA PEQ</t>
  </si>
  <si>
    <t>GT0001</t>
  </si>
  <si>
    <t>FOOD MAIZENA ALMIDON MAIZ NATURAL 80X185G</t>
  </si>
  <si>
    <t>BONI PROMOV</t>
  </si>
  <si>
    <t>GTDIN013</t>
  </si>
  <si>
    <t>BONI ALC HARINA ORO MAYA 800g (9)</t>
  </si>
  <si>
    <t>GTA0016</t>
  </si>
  <si>
    <t>BONI ALC ARROZ ESTRELLA BLANCO 350g (25)</t>
  </si>
  <si>
    <t>GTA0005</t>
  </si>
  <si>
    <t>BONI ALC ARROZ MACARENA BLANCO 400g (25)</t>
  </si>
  <si>
    <t>GTA0010</t>
  </si>
  <si>
    <t>YAES EMPANIZADOR CEREAL 90G</t>
  </si>
  <si>
    <t>YAESEP00043</t>
  </si>
  <si>
    <t>BONI ALC ARROZ MACARENA PRECOCIDO 400g (25)</t>
  </si>
  <si>
    <t>GTA0009</t>
  </si>
  <si>
    <t>BONI UL SAVILE ANTICASPA UNIDAD</t>
  </si>
  <si>
    <t>GTUL0024</t>
  </si>
  <si>
    <t>EGO GEL URBAN 12/500ML</t>
  </si>
  <si>
    <t>EGO GEL URBAN 24/200 ML</t>
  </si>
  <si>
    <t>BONI ALC ARROZ ESTRELLA PRECOCIDO 350g (25)</t>
  </si>
  <si>
    <t>GTA0006</t>
  </si>
  <si>
    <t>BYB MAYONESA PRIMA 32/375g</t>
  </si>
  <si>
    <t>BYB00710000</t>
  </si>
  <si>
    <t>EGO GEL POWER 8X30X15ML+GEL 200ML</t>
  </si>
  <si>
    <t>ALC ORO MAY HARIN MAIZ BLANC @ (1)</t>
  </si>
  <si>
    <t>BYB PICAMAS HABANERO 24/155G</t>
  </si>
  <si>
    <t>BYB00174454</t>
  </si>
  <si>
    <t xml:space="preserve">  ,-</t>
  </si>
  <si>
    <t>BONI PFS CLORO MAGICLOR UND</t>
  </si>
  <si>
    <t>GTPFS005</t>
  </si>
  <si>
    <t>REXONA STICK ACTR BAMBOO 12X50G</t>
  </si>
  <si>
    <t>K194620</t>
  </si>
  <si>
    <t>REXONA AERO CLIN ANTIBAC W 12X90G</t>
  </si>
  <si>
    <t>XHC PFS MAX BLANC/VERDE DUOX 6X3X400G</t>
  </si>
  <si>
    <t>AMS ECO BOX DESIN MUNDO MAGICO 9.5 LTS</t>
  </si>
  <si>
    <t>ALM000206</t>
  </si>
  <si>
    <t>AMS PAPEL HIG MAX PAP. 6X4 MEJOR QUE 1000HD</t>
  </si>
  <si>
    <t>ALM000041</t>
  </si>
  <si>
    <t>XHC PFS COLOSO MARQUETA 40X225G</t>
  </si>
  <si>
    <t>BYB CONCENTRADO DE TAMARINDO 4/3785 ml</t>
  </si>
  <si>
    <t>BYB00054123</t>
  </si>
  <si>
    <t xml:space="preserve">  V</t>
  </si>
  <si>
    <t>FOOD MAIZENA FECULA MAIZ  FRESA 16X12X45G</t>
  </si>
  <si>
    <t>XHC XEDEX DESIN FRUTOS CITRICOS SCH 5X12X100ML</t>
  </si>
  <si>
    <t>XHC XEDEX DESIN LAVANDA SCH 5X12X100ML</t>
  </si>
  <si>
    <t>NSK HOT CAKE CAJA 12x500G</t>
  </si>
  <si>
    <t>N10558</t>
  </si>
  <si>
    <t>NSK LA MODERNA GALL MALVADISCO 10x624G</t>
  </si>
  <si>
    <t>N10554</t>
  </si>
  <si>
    <t>NSK LA MODERNA GALL MARIANITA NUEZ 20x185G</t>
  </si>
  <si>
    <t>N10552</t>
  </si>
  <si>
    <t>NSK LA MODERNA PASTA SPAGHETTI 60x200G</t>
  </si>
  <si>
    <t>N10543</t>
  </si>
  <si>
    <t>NSK LA MODERNA CODO 3 42x200G</t>
  </si>
  <si>
    <t>N10537</t>
  </si>
  <si>
    <t>BONI NSK SPAGHETTI 60x200G</t>
  </si>
  <si>
    <t>GTNSK022</t>
  </si>
  <si>
    <t>NSK LA MODERNA GALL MARIA VAINILLA 20x170G</t>
  </si>
  <si>
    <t>N10553</t>
  </si>
  <si>
    <t>NSK LA MODERNA MOÑO 42x180G</t>
  </si>
  <si>
    <t>N10549</t>
  </si>
  <si>
    <t>NSK LA MODERNA MACARRON LARGO 20x200G</t>
  </si>
  <si>
    <t>N10544</t>
  </si>
  <si>
    <t>NSK LA MODERNA PASTA TORNILLO 42x200G</t>
  </si>
  <si>
    <t>N10541</t>
  </si>
  <si>
    <t>NSK LA MODERNA CARACOL 3 42x200G</t>
  </si>
  <si>
    <t>N10538</t>
  </si>
  <si>
    <t>NSK LA MODERNA PLUMA 42x200G</t>
  </si>
  <si>
    <t>N10561</t>
  </si>
  <si>
    <t>NSK LA MODERNA CODO 2 50x200G</t>
  </si>
  <si>
    <t>N10560</t>
  </si>
  <si>
    <t>NSK LA MODERNA SPAGHETTI QUESO 20x200G</t>
  </si>
  <si>
    <t>N10551</t>
  </si>
  <si>
    <t>NSK LA MODERNA CODITOS QUESO 20x200G</t>
  </si>
  <si>
    <t>N10550</t>
  </si>
  <si>
    <t>FOOD NATURAS FRIJOL NEGRO VOLTEADO 24X380G</t>
  </si>
  <si>
    <t>DIN MAZOLA ACEITE DYP 700ml (18)</t>
  </si>
  <si>
    <t>XHC MAX PODER AZUL 6X4X330G</t>
  </si>
  <si>
    <t>XHC MAX PODER VERDE 6X4X330G</t>
  </si>
  <si>
    <t>XHC MAX BLANC/NARAN DUOX 6X4X330G</t>
  </si>
  <si>
    <t>XHC XEDEX P SUAVIZ YLANG 30X115G</t>
  </si>
  <si>
    <t>XHC XEDEX DESIN FRUTOS CITRICOS DOY PACK 12X750ML</t>
  </si>
  <si>
    <t>XHC XEDEX DESIN LAVANDA DOY PACK 12X750ML</t>
  </si>
  <si>
    <t>E470</t>
  </si>
  <si>
    <t>E478</t>
  </si>
  <si>
    <t>BYB SALSA PICAMAS VERDE 8g SACH 500u</t>
  </si>
  <si>
    <t>BYB00170140</t>
  </si>
  <si>
    <t>GOMITAS 4 OSOS GRANDES 14GR 12X2X20X4</t>
  </si>
  <si>
    <t>LCD03</t>
  </si>
  <si>
    <t>GOMITAS 4 TAPA Y CORAZONES FRUTA 20GR 12X2X10X4</t>
  </si>
  <si>
    <t>LCD0302</t>
  </si>
  <si>
    <t>BYB MAYONESA CLASICA BOLSA 32/380g</t>
  </si>
  <si>
    <t>GOMITAS 5 OSOS PEQUEÑOS 12.5GR 12X2X20X5</t>
  </si>
  <si>
    <t>LCD0301</t>
  </si>
  <si>
    <t>GOMITAS 4 TAPA MENTA 20GR 12X2X10X4</t>
  </si>
  <si>
    <t>LCD0303</t>
  </si>
  <si>
    <t>BYB MAYONESA CLASICA BOLSA 48/100g</t>
  </si>
  <si>
    <t>NSK SUAVITEL COMPL PRIMAV 1X2X36UNDS+6UNDS</t>
  </si>
  <si>
    <t>N8571</t>
  </si>
  <si>
    <t>NSK LA MODERNA SUR GALLETAS 1143KG</t>
  </si>
  <si>
    <t>N10555</t>
  </si>
  <si>
    <t>MA CREMA AVENA 50X100G</t>
  </si>
  <si>
    <t>MA7404007580505</t>
  </si>
  <si>
    <t>IPR MERMELADA MANZANA 12OZ</t>
  </si>
  <si>
    <t>IPR33306140</t>
  </si>
  <si>
    <t>IPR LOZANO UVA 500ML</t>
  </si>
  <si>
    <t>IPR338991352U</t>
  </si>
  <si>
    <t>IPR LOZANO MANZANA 500ML</t>
  </si>
  <si>
    <t>IPR338991352M</t>
  </si>
  <si>
    <t>IPR CHIIPR CHILE JALAPEÑO 5.5OZLE JALAPEÑO 5.5OZ</t>
  </si>
  <si>
    <t>IPR33293115</t>
  </si>
  <si>
    <t>BYB MAYONESA CLASICA BOLSA 48/200g</t>
  </si>
  <si>
    <t>IPR MERMELADA PINA 12OZ</t>
  </si>
  <si>
    <t>IPR33309141</t>
  </si>
  <si>
    <t>REXONA DEO STICK AP BAMBOO 12X50G</t>
  </si>
  <si>
    <t>IPR MIEL MAPLE 360ML</t>
  </si>
  <si>
    <t>IPR309187110</t>
  </si>
  <si>
    <t>XHC COLOSO CILINDRO 20X495G</t>
  </si>
  <si>
    <t>FOOD MAIZENA FECULA MAIZ NATURAL 20X20X45G</t>
  </si>
  <si>
    <t>ALD YOGUETA MILK 16X24 (15G)</t>
  </si>
  <si>
    <t>ALD06516</t>
  </si>
  <si>
    <t>EGO GEL ATTRACTION 8X30X12ML+GEL200ML</t>
  </si>
  <si>
    <t>ALD PIN POP X2 16X24 (15G)</t>
  </si>
  <si>
    <t>ALD06523</t>
  </si>
  <si>
    <t>FOOD KNORR SOPA TORTILLA 12X12X58G</t>
  </si>
  <si>
    <t>MA AVENA MOSH 100X400G</t>
  </si>
  <si>
    <t>MA7404007581055</t>
  </si>
  <si>
    <t>NSK COLGATE DOBLE FRESCURA 150ML</t>
  </si>
  <si>
    <t>N7546</t>
  </si>
  <si>
    <t>XHC XEDEX DESIN CITRICOS DYP 24X425ML</t>
  </si>
  <si>
    <t>XHC XEDEX DESIN LAVANDA DYP 24X425ML</t>
  </si>
  <si>
    <t>MA AVENA INTEGRAL 100X40G</t>
  </si>
  <si>
    <t>MA74040075810416</t>
  </si>
  <si>
    <t>NSK BIC RASURADORA TWIN LADY 12+2 KIT CEP (24)</t>
  </si>
  <si>
    <t>N10387</t>
  </si>
  <si>
    <t xml:space="preserve">   </t>
  </si>
  <si>
    <t>BYB CONCENTRADO DE HORCHATA 4/3786 ml</t>
  </si>
  <si>
    <t>BYB00054109</t>
  </si>
  <si>
    <t>ARE SABUESO ADULTO 40X454G</t>
  </si>
  <si>
    <t>ARE15059</t>
  </si>
  <si>
    <t>ARE SABUESO CACHORRO 40X420G</t>
  </si>
  <si>
    <t>ARE15052</t>
  </si>
  <si>
    <t>QUA JUGOS YA FRESA 10X15X18 FIT</t>
  </si>
  <si>
    <t>Q000246</t>
  </si>
  <si>
    <t>QUA JUGOS YA GUANABA 10X15X18 FIT</t>
  </si>
  <si>
    <t>Q000250</t>
  </si>
  <si>
    <t>NSK BIC MAXI J6 CARTÓN 15+3 (20)</t>
  </si>
  <si>
    <t>N7530</t>
  </si>
  <si>
    <t>BEST MENTAS 50X12X13g (50)</t>
  </si>
  <si>
    <t>BST018223</t>
  </si>
  <si>
    <t>BEST GALLETA CHAPETIN 24X12 (24)</t>
  </si>
  <si>
    <t>BST016744</t>
  </si>
  <si>
    <t>BEST CHOCOGOL DYP 50X15X5g (50)</t>
  </si>
  <si>
    <t>BST014589</t>
  </si>
  <si>
    <t>QUA JUGOS YA NARANJA 10X15X18 FIT</t>
  </si>
  <si>
    <t>Q000256</t>
  </si>
  <si>
    <t>QUA JUGOS YA MANGO 10X15X18 FIT</t>
  </si>
  <si>
    <t>Q000255</t>
  </si>
  <si>
    <t>QUA JUGOS YA MORA 10X15X18 FIT</t>
  </si>
  <si>
    <t>Q000252</t>
  </si>
  <si>
    <t>QUA JUGOS YA LIMON 10X15X18 FIT</t>
  </si>
  <si>
    <t>Q000251</t>
  </si>
  <si>
    <t>IAK FRIJOLES CARNICOS 5OZ HL (48)</t>
  </si>
  <si>
    <t>K209579</t>
  </si>
  <si>
    <t>IAK DUCAL FRIJ NEGR DyP 4oz (24)</t>
  </si>
  <si>
    <t>K209481</t>
  </si>
  <si>
    <t>QUA JUGOS YA PINA 10X15X18 FIT</t>
  </si>
  <si>
    <t>Q000249</t>
  </si>
  <si>
    <t>IAK FRIJOLES CARNICOS 14OZ HL (24)</t>
  </si>
  <si>
    <t>K209575</t>
  </si>
  <si>
    <t>QUA JUGOS YA DURAZNO 10X15X18 FIT</t>
  </si>
  <si>
    <t>Q000253</t>
  </si>
  <si>
    <t>IAK FRIJOLES CARNICOS 28OZ HL (12)</t>
  </si>
  <si>
    <t>K209657</t>
  </si>
  <si>
    <t>BEST BOTONETA CHOCOLATE 80X6X20G (80)</t>
  </si>
  <si>
    <t>BST018240</t>
  </si>
  <si>
    <t>BEST BOTONETA MANÍ 80X6X20G (80)</t>
  </si>
  <si>
    <t>BST018239</t>
  </si>
  <si>
    <t>BEST CONITO DYP 90X10X5G (90)</t>
  </si>
  <si>
    <t>BST010013</t>
  </si>
  <si>
    <t>XHC XEDEX P SUAVIZ B PRIMAV 30X115G</t>
  </si>
  <si>
    <t>+</t>
  </si>
  <si>
    <t xml:space="preserve">       </t>
  </si>
  <si>
    <t>BONI ALC HARINA ORO MAYA 400gr (20)</t>
  </si>
  <si>
    <t>GTA0015</t>
  </si>
  <si>
    <t>TERMO BOLSA DE BASURA NEGRA 24X35 (100)</t>
  </si>
  <si>
    <t>QUA JUGOS YA JAMAICA 10X15X18 FIT</t>
  </si>
  <si>
    <t>Q000247</t>
  </si>
  <si>
    <t>QUA JUGOS YA HORCHATA 10X15X18 FIT</t>
  </si>
  <si>
    <t>Q000254</t>
  </si>
  <si>
    <t>PONDS CR REJUVENESS DIA 12X400G</t>
  </si>
  <si>
    <t>XEDEX MULTIACCION PVO 30x115G</t>
  </si>
  <si>
    <t>BONI AMSA ROLLO MAX PAPPEL MORADO MED 24X1</t>
  </si>
  <si>
    <t>GTALM023</t>
  </si>
  <si>
    <t>BONI NSK  KIT DE CEPILLADO COLGATE UND</t>
  </si>
  <si>
    <t>GTNSK013</t>
  </si>
  <si>
    <t>XHC PFS MAX PODER ALOE 6X3X400G</t>
  </si>
  <si>
    <t>QUA NUTRIBELA TRAT CAP 24X12X27ML</t>
  </si>
  <si>
    <t>QUA79240105</t>
  </si>
  <si>
    <t>BONI EGO POWER 110ML TARRO (24)</t>
  </si>
  <si>
    <t>GTUL0028</t>
  </si>
  <si>
    <t>BONI QUA NUTRIBELA 10 24X12X27ML</t>
  </si>
  <si>
    <t>GTQ0022</t>
  </si>
  <si>
    <t>IPR LOZANO UVA 3.2L (6)</t>
  </si>
  <si>
    <t>IPR338992100</t>
  </si>
  <si>
    <t>IPR LOZANO MANZANA 3.2L (6)</t>
  </si>
  <si>
    <t>IPR338124210</t>
  </si>
  <si>
    <t>XHC PFS MAX MB BLANC/VERD DUOX 6X3X500G</t>
  </si>
  <si>
    <t>XHC PFS MAX MB BLANCA 6X3X500G</t>
  </si>
  <si>
    <t>FOOD NATURAS SALSA SABOR POLLO 96X100G</t>
  </si>
  <si>
    <t>XHC PFS MAX MB BLANC/NARAN DUOX 6X3X500G</t>
  </si>
  <si>
    <t>XHC PFS MAX MB NARANJA 6X3X500G</t>
  </si>
  <si>
    <t>DCASA GELATINA POLVO PIÑA 28X400g</t>
  </si>
  <si>
    <t>DCAS4292133</t>
  </si>
  <si>
    <t>DCASA GELATINA POLVO FRESA 28X400g</t>
  </si>
  <si>
    <t>DCAS4292132</t>
  </si>
  <si>
    <t>XHC XEDEX P PROTECCION COLOR 15X900G</t>
  </si>
  <si>
    <t>YAES ROSTIZADOR 100/90G</t>
  </si>
  <si>
    <t>YAESEP00048</t>
  </si>
  <si>
    <t>YAES MUCHO NACHO ROSTIZADO 390G (12)</t>
  </si>
  <si>
    <t>YAES00222</t>
  </si>
  <si>
    <t>YAES00028</t>
  </si>
  <si>
    <t>YAES MUCHO NACHO SALSA DE QUESO 105 G (30)</t>
  </si>
  <si>
    <t>YAES00007</t>
  </si>
  <si>
    <t>GRECO GALL CHOCOCHIPS MINI 16X</t>
  </si>
  <si>
    <t>GR100005</t>
  </si>
  <si>
    <t>XHC XEDEX P SUAV B PRIMAV 15X900G</t>
  </si>
  <si>
    <t>PORFIN MARGARINA ORISOL 400gr (24)</t>
  </si>
  <si>
    <t>XHC XEDEX P MAXIMO PODER 30X400G</t>
  </si>
  <si>
    <t>SAVILE SH BIOTINA SCH 24X28X15ML</t>
  </si>
  <si>
    <t>DCASA GELATINA POLVO FRAMB.25X450g</t>
  </si>
  <si>
    <t>DCAS4292127</t>
  </si>
  <si>
    <t>DCASA GELATINA POLVO MELOC.25X450g</t>
  </si>
  <si>
    <t>DCAS4292124</t>
  </si>
  <si>
    <t>DCASA MIRASOL MARG 2X24X90G</t>
  </si>
  <si>
    <t>DCAS2214</t>
  </si>
  <si>
    <t>DOVE DEO ROLL AP CALENDULA 12X50ML</t>
  </si>
  <si>
    <t>XHC DIN ZIXX JAB AQUA 400G (6)</t>
  </si>
  <si>
    <t>E479</t>
  </si>
  <si>
    <t>E480</t>
  </si>
  <si>
    <t>E481</t>
  </si>
  <si>
    <t>BONI PORFIN LIMPIOX AZUL 85g (72)</t>
  </si>
  <si>
    <t>GTPFS006</t>
  </si>
  <si>
    <t>NSK BIC ENCENDEDOR J6 MAXI (75)</t>
  </si>
  <si>
    <t>N3639009</t>
  </si>
  <si>
    <t>BONI NSK BIC ENCENDEDOR J6 MAXI (75)</t>
  </si>
  <si>
    <t>GTNSK024</t>
  </si>
  <si>
    <t>GOMITAS 10 OSOS 12X2X20X10</t>
  </si>
  <si>
    <t>LCD0304</t>
  </si>
  <si>
    <t>AMS PAPEL HIG MAX PAP. 12X4 MEJOR QUE 1000 HD</t>
  </si>
  <si>
    <t>ALM000254</t>
  </si>
  <si>
    <t>BONI QUA JUGO YA HORCHATA</t>
  </si>
  <si>
    <t>GTQ001</t>
  </si>
  <si>
    <t>AXE AERO BS APOLLO 12X97G</t>
  </si>
  <si>
    <t>AXE AERO AP EPIC FRESH 12X88G</t>
  </si>
  <si>
    <t>AXE AERO BS EPIC FRESH 12X97G</t>
  </si>
  <si>
    <t>DCASA PAPEL ENCANTO MIL HOJAS ROLLO (24)</t>
  </si>
  <si>
    <t>DCAS5260610</t>
  </si>
  <si>
    <t>DCASA PAPEL ENCANTO MIL HOJAS ECO 12X4</t>
  </si>
  <si>
    <t>DCAS5260670</t>
  </si>
  <si>
    <t>XHC XEDEX P SUAVIZ YLANG 15X900G</t>
  </si>
  <si>
    <t>DCASA PAPEL ENCANTO MIL HOJAS 12X4</t>
  </si>
  <si>
    <t>DCAS5260625</t>
  </si>
  <si>
    <t>AMS TOALLA HUMEDA LUCCA PREMIUM 12X72</t>
  </si>
  <si>
    <t>ALM000729</t>
  </si>
  <si>
    <t>BONI QUA JUGO YA NARANJA</t>
  </si>
  <si>
    <t>GTQ006</t>
  </si>
  <si>
    <t>DCASA GELATINA POLVO UVA 28X400g</t>
  </si>
  <si>
    <t>DCAS4292131</t>
  </si>
  <si>
    <t>ENV AGUA PURIFICADA SCANDIA 12X600ML</t>
  </si>
  <si>
    <t>ENV0013</t>
  </si>
  <si>
    <t>DCASA GELATINA POLVO CHICLE 28X400g</t>
  </si>
  <si>
    <t>DCAS4292136</t>
  </si>
  <si>
    <t>IAK DUCAL FRIJ NEGR DyP 96oz (6)</t>
  </si>
  <si>
    <t>K190261</t>
  </si>
  <si>
    <t>RUTAS</t>
  </si>
  <si>
    <t>ALD COMODATO EXHIBIDOR PIN POP</t>
  </si>
  <si>
    <t>GTALD0001</t>
  </si>
  <si>
    <t>ALC ARROZ GALLO DORADO PRE COCIDO 200GR (20)</t>
  </si>
  <si>
    <t>BONI PLAST BANCO</t>
  </si>
  <si>
    <t>GT0006</t>
  </si>
  <si>
    <t>ALC ARROZ MOLINERO BLANCO 200GR (20)</t>
  </si>
  <si>
    <t>DOVE STICK ROSAS 12X45G</t>
  </si>
  <si>
    <t>FOOD MAIZENA FECULA BAN/FRESA/VAIN 16X12X45G</t>
  </si>
  <si>
    <t>BONI BAÑO 9 LITROS</t>
  </si>
  <si>
    <t>GTUL0017</t>
  </si>
  <si>
    <t>A</t>
  </si>
  <si>
    <t>DCASA GELATINA POLVO LIMON 28X400g</t>
  </si>
  <si>
    <t>DCAS4292135</t>
  </si>
  <si>
    <t>DCASA GELATINA POLVO NARANJA 28X400g</t>
  </si>
  <si>
    <t>DCAS4292134</t>
  </si>
  <si>
    <t>QUA NUTRIBELA 10 18+6 (12)</t>
  </si>
  <si>
    <t>P280003</t>
  </si>
  <si>
    <t>DCASA MIRASOL 12X4X90G (12)</t>
  </si>
  <si>
    <t>DCAS4002214</t>
  </si>
  <si>
    <t>XHC PFS CENTELLA CHIBOLONA VERDE 6X3X400G</t>
  </si>
  <si>
    <t>XHC PFS CENTELLA CHIBOLONA BLANCA 6X3X400G</t>
  </si>
  <si>
    <t>C638</t>
  </si>
  <si>
    <t>BONI AMSA PAQ TOALLA HUMEDA BEBIN 40 UND</t>
  </si>
  <si>
    <t>GTALM014</t>
  </si>
  <si>
    <t>AMS Pañal Bebin SuperFlexi Pequeño 4x40</t>
  </si>
  <si>
    <t>AMS000714</t>
  </si>
  <si>
    <t>AMS Pañal Bebin SuperFlexi Grande 4x40</t>
  </si>
  <si>
    <t>AMS000679</t>
  </si>
  <si>
    <t>AMS Pañal Super Lucca Pequeño 4X56</t>
  </si>
  <si>
    <t>AMS000549</t>
  </si>
  <si>
    <t>AMS Pañal Super Lucca Grande 4X50</t>
  </si>
  <si>
    <t>AMS000545</t>
  </si>
  <si>
    <t>AXE AERO AP ICE CHILL 12X88G</t>
  </si>
  <si>
    <t>BONI GORRA ALDOR</t>
  </si>
  <si>
    <t>GTALD006</t>
  </si>
  <si>
    <t>DCASA GELATINA POLVO MELOC.28X400g</t>
  </si>
  <si>
    <t>DCAS4292130</t>
  </si>
  <si>
    <t>BEST COCOA CHOCOPANDA 24X12X20G</t>
  </si>
  <si>
    <t>BA018612</t>
  </si>
  <si>
    <t>FOOD NATURAS SSA TOMATE QUESO 24X200G</t>
  </si>
  <si>
    <t>BONI TOPPER RECTANGULAR #2 1000ML</t>
  </si>
  <si>
    <t>GT0033</t>
  </si>
  <si>
    <t>BONI PALANGANA #3</t>
  </si>
  <si>
    <t>GT0032</t>
  </si>
  <si>
    <t>BONI PLAST PACHON 1.2 CON CLIP</t>
  </si>
  <si>
    <t>GT0022</t>
  </si>
  <si>
    <t>BONI PLAST VASO 16 ONZ</t>
  </si>
  <si>
    <t>GT0021</t>
  </si>
  <si>
    <t>BONI PLAST CUBETA 1.5 LT</t>
  </si>
  <si>
    <t>GT0002</t>
  </si>
  <si>
    <t>BONI NSK LAPICERO BIC</t>
  </si>
  <si>
    <t>GTBIC01</t>
  </si>
  <si>
    <t>BONI IAK PALETA DE MADERA</t>
  </si>
  <si>
    <t>GT0077K</t>
  </si>
  <si>
    <t>AMS Pañal Bebin SuperFlexi XXG 4x40</t>
  </si>
  <si>
    <t>AMS000642</t>
  </si>
  <si>
    <t>AMS TOALLA DE COCINA MAX PAPEL 24X1 HD</t>
  </si>
  <si>
    <t>ALM000697</t>
  </si>
  <si>
    <t>BONI DIN SALSA ISSIMA RANCHERA 106g (96)</t>
  </si>
  <si>
    <t>GTDIN016</t>
  </si>
  <si>
    <t>AMS TOALLA DE COCINA MAX PAPEL 12X2HD</t>
  </si>
  <si>
    <t>ALM00692</t>
  </si>
  <si>
    <t>SEDAL CR CERAMIDAS 12X300ML</t>
  </si>
  <si>
    <t>DOVE AEROSOL AP ROSAS 12X87G</t>
  </si>
  <si>
    <t>ALD PIN POP SENSATIONS 16X24 (17G)</t>
  </si>
  <si>
    <t>ALD05235</t>
  </si>
  <si>
    <t>BONI DIN MARGARINA MAZOLA 400G (24)</t>
  </si>
  <si>
    <t>GTDIN015</t>
  </si>
  <si>
    <t>REXONA STICK AP SPORFAN 12X50G</t>
  </si>
  <si>
    <t>XHC XEDEX P MULTI LIMP ACTIVA 15X900G</t>
  </si>
  <si>
    <t>XHC PFS MAX BLANC/NARAN DUOX 6X3X400G</t>
  </si>
  <si>
    <t>XHC PFS MAX PODER BLANCO 6X3X400G</t>
  </si>
  <si>
    <t>XHC PFS MAX PODER VERDE 6X3X400G</t>
  </si>
  <si>
    <t>XHC MAX PODER VERDE LIMON 6X3X425G</t>
  </si>
  <si>
    <t>NSK LA MODERNA CABELLO DE ANGEL 20x200G</t>
  </si>
  <si>
    <t>N10546</t>
  </si>
  <si>
    <t>BYB SALSA BARBACOA PLAST 12/32oz</t>
  </si>
  <si>
    <t>BYB00441402</t>
  </si>
  <si>
    <t>AMS Pañal Bebin SuperFlexi Mediano 4x40</t>
  </si>
  <si>
    <t>AMS000696</t>
  </si>
  <si>
    <t>BYB SALSA MILTOMATE SEMI SQUEZZE 24/370g</t>
  </si>
  <si>
    <t>BYB00281551</t>
  </si>
  <si>
    <t>REXONA STICK CLIN SPORT STRENGTH 12X46G</t>
  </si>
  <si>
    <t>REXONA AERO AP POWDER DRY 12X89G</t>
  </si>
  <si>
    <t>GT0008</t>
  </si>
  <si>
    <t>BONI PLAST BAÑO NO. 33</t>
  </si>
  <si>
    <t>GT0014K</t>
  </si>
  <si>
    <t>BONI IAK PICHEL KERNS</t>
  </si>
  <si>
    <t>GT0024</t>
  </si>
  <si>
    <t>BONI PLAST CUBETA 5 LTS</t>
  </si>
  <si>
    <t>GT0025</t>
  </si>
  <si>
    <t>BONI PLAST AUDIFONOS AXE</t>
  </si>
  <si>
    <t>GT0031</t>
  </si>
  <si>
    <t>BONI CUBETA PLASTICA 2.5 LT C/TAPA (MILKY)</t>
  </si>
  <si>
    <t>GT0034</t>
  </si>
  <si>
    <t>BONI TOPPER C/DIVISION 800ML</t>
  </si>
  <si>
    <t>GT004F</t>
  </si>
  <si>
    <t>BONI FOS BILLA 10 UND</t>
  </si>
  <si>
    <t>GTDIN002</t>
  </si>
  <si>
    <t>BONI VASO PLASTICO</t>
  </si>
  <si>
    <t>GTK0076K</t>
  </si>
  <si>
    <t>BONI IAK PANERA</t>
  </si>
  <si>
    <t>GTNSK023</t>
  </si>
  <si>
    <t>BONI NSK TAJIN CLASICO 24/45G</t>
  </si>
  <si>
    <t>GTUL001</t>
  </si>
  <si>
    <t>BONI EGO TARRO 200ML UND</t>
  </si>
  <si>
    <t>P370040</t>
  </si>
  <si>
    <t>QUA FRUTY FRESCO 9+9 (8)</t>
  </si>
  <si>
    <t>QUA5460800</t>
  </si>
  <si>
    <t>QUA SAVILOE FRUTOS ROJOS 12X500ML</t>
  </si>
  <si>
    <t>YAES00291</t>
  </si>
  <si>
    <t>YAES MUCHO NACHO ROSTIZADO 70GR (24)</t>
  </si>
  <si>
    <t>XHC PFS LIMPIOX AVENA DISCO 108G (72)</t>
  </si>
  <si>
    <t>NSK BIC RASURADORA CONFORT 2 12 (48)</t>
  </si>
  <si>
    <t>N51810413</t>
  </si>
  <si>
    <t>XHC XEDEX P MAXIMO PODER 31X115G</t>
  </si>
  <si>
    <t>NSK BIC RASURADORA SHAVER SENS 24 (48)</t>
  </si>
  <si>
    <t>N5189010</t>
  </si>
  <si>
    <t>REXONA STICK MEN INVISIBLE 12X50G</t>
  </si>
  <si>
    <t>IAK DE MI TIERRA FRIJ VOLT NEGRO 35OZ DP (12)</t>
  </si>
  <si>
    <t>K209684</t>
  </si>
  <si>
    <t>SCH QUA NUTRIBELA 10 10+2 (24)</t>
  </si>
  <si>
    <t>P280005</t>
  </si>
  <si>
    <t>XHC PFS MAX PODER AZUL  6X3X400G</t>
  </si>
  <si>
    <t>FOOD NATURAS JUMB SSA RANCH 24X90G</t>
  </si>
  <si>
    <t>TERMO BOLSA COLOR 2 Lbs (70)</t>
  </si>
  <si>
    <t>TRM1011</t>
  </si>
  <si>
    <t>BONI IAK DUCAL FRIJ DyP 4oz (24)</t>
  </si>
  <si>
    <t>GT0079K</t>
  </si>
  <si>
    <t>NSK BIC ENCENDEDOR MAXI J6 CARTON 15u (25)</t>
  </si>
  <si>
    <t>N9008</t>
  </si>
  <si>
    <t>BONI NSK JABON PROTEX FRESH 110GR (96)</t>
  </si>
  <si>
    <t>GTNSK025</t>
  </si>
  <si>
    <t>SCH QUA NUTRIBELA 10 6+6 (24)</t>
  </si>
  <si>
    <t>QUA0001</t>
  </si>
  <si>
    <t>CB CAFE BARISTA SOLUBLE 12X24X8g</t>
  </si>
  <si>
    <t>CB001</t>
  </si>
  <si>
    <t>LOT CONSOME CRIOLLO LOTY 225GR (50)</t>
  </si>
  <si>
    <t>LOT105</t>
  </si>
  <si>
    <t>BONI DCAS DETERGENTE 1 . 2 . 3 800g (10)</t>
  </si>
  <si>
    <t>GTDCAS0002</t>
  </si>
  <si>
    <t>XHC XEDEX P MAXIMO PODER FRUTOS DEL BOSQUE 13X800G</t>
  </si>
  <si>
    <t>XHC XEDEX P MAXIMO PODER 13X800G</t>
  </si>
  <si>
    <t>BONI QUA GALLETA BEST MANI 24X12 (JUGOS YA)</t>
  </si>
  <si>
    <t>GTQQ0023</t>
  </si>
  <si>
    <t>FOOD NATURAS SALSA TOMATE C/CARNE 96X90G</t>
  </si>
  <si>
    <t>BEST BOTONETAS CHOCOLATE 20X24X9G (20)</t>
  </si>
  <si>
    <t>BA018244</t>
  </si>
  <si>
    <t>BEST BOTONETAS MANI 20X24X9G (20)</t>
  </si>
  <si>
    <t>BA018243</t>
  </si>
  <si>
    <t>UNS BOMBILLO LED 9 Watt</t>
  </si>
  <si>
    <t>PRC002135</t>
  </si>
  <si>
    <t>UNS OSITO MIEL QUEENBEE 340gr (24)</t>
  </si>
  <si>
    <t>PRC00019</t>
  </si>
  <si>
    <t>XHC UNS DETERGENTE PURO SOL 250gr (40)</t>
  </si>
  <si>
    <t>PRC000026</t>
  </si>
  <si>
    <t>UNS DULCE KOPIKO CAFE BOTE 200und (6)</t>
  </si>
  <si>
    <t>PRC000007</t>
  </si>
  <si>
    <t>UNS CAR MENTOLADO JAAZZ CLOROFILA 100und (30)</t>
  </si>
  <si>
    <t>PRC000030</t>
  </si>
  <si>
    <t>FOOD NATURAS SALSA TOMATE C/QUESO 96X90G</t>
  </si>
  <si>
    <t>UNS BOMBILLO LED 12 Watt</t>
  </si>
  <si>
    <t>PRC002136</t>
  </si>
  <si>
    <t>UNS DULCE KOPIKO CAPUCCINO BOTE 200und (6)</t>
  </si>
  <si>
    <t>PRC000010</t>
  </si>
  <si>
    <t>REXONA AERO V8 12X58G</t>
  </si>
  <si>
    <t>REXONA AERO POWER DRY 12X58G</t>
  </si>
  <si>
    <t>SCH SEDAL CR PEIN KERAT 12X24X10ML+SH</t>
  </si>
  <si>
    <t>UNS GOMA DE MASCAR TUMIX SURTIDO 30x110x1.4g</t>
  </si>
  <si>
    <t>PRC000022</t>
  </si>
  <si>
    <t>UNS GOMA DE MASCAR TUMIX MENTA 30x110x1.4g</t>
  </si>
  <si>
    <t>PRC000019</t>
  </si>
  <si>
    <t>UNS GALLE CAFE COFFEE JOY 6x18x45gr</t>
  </si>
  <si>
    <t>PRC000002</t>
  </si>
  <si>
    <t>UNS GOMA DE MASC. AGOGO CENT. LIQ.SURT. 16x44x8.3gr</t>
  </si>
  <si>
    <t>PRC000025</t>
  </si>
  <si>
    <t>DOVE AERO ORQUIDEA 12X87G</t>
  </si>
  <si>
    <t>DOVE AERO EXTRA FRESH 12X89G</t>
  </si>
  <si>
    <t>XHC PFS CENTELLA AVENA 4X3X375G</t>
  </si>
  <si>
    <t>UNS CHOC. TUBITO CHOKI CHOKI CHOCMAR 6x20</t>
  </si>
  <si>
    <t>PRC000004</t>
  </si>
  <si>
    <t>SCH QUA NUTRIBELA TRAT CAP 24X12X27ML</t>
  </si>
  <si>
    <t>REXONA AERO CLEAN CLASSIC WOMAN 12X91G</t>
  </si>
  <si>
    <t>XHC PFS MAX BLANC/AZUL DUOX 6X3X400G</t>
  </si>
  <si>
    <t>DIN ISSIMA MARGARINA 400gr (24)</t>
  </si>
  <si>
    <t>BONI PD EXHIBIDOR PEDIALYTE</t>
  </si>
  <si>
    <t>GTPDL004</t>
  </si>
  <si>
    <t>NSK LAVAPLATOS AXION 235G UNIDAD (48)</t>
  </si>
  <si>
    <t>N5458237</t>
  </si>
  <si>
    <t>UNS EXTENSION DOMESTICA SPT  8MTS</t>
  </si>
  <si>
    <t>PRC001739</t>
  </si>
  <si>
    <t>XHC XEDEX P ANTIBAC 15X900G</t>
  </si>
  <si>
    <t>REXONA STICK FM ANTIBAC  INVISIBLE 12X50G</t>
  </si>
  <si>
    <t>UNS EXTENSION DOMESTICA SPT  6MTS</t>
  </si>
  <si>
    <t>PRC001738</t>
  </si>
  <si>
    <t>DCASA GELATINA POLVO FRAMB.28X400g</t>
  </si>
  <si>
    <t>DCAS4292137</t>
  </si>
  <si>
    <t>FOOD NATURAS SALSA TOMATE RANCHERA 96X90G</t>
  </si>
  <si>
    <t>BONI UL NATURAS POLLO 36G (36)</t>
  </si>
  <si>
    <t>GTUL0029</t>
  </si>
  <si>
    <t>DOVE MINIROLLON PROTECCION TOTAL 6X30ML</t>
  </si>
  <si>
    <t>BONI COCA COLA 355 ML</t>
  </si>
  <si>
    <t>GTDIN001</t>
  </si>
  <si>
    <t>ALD PIN POP ICE 16X24 (15G)</t>
  </si>
  <si>
    <t>ALD07240</t>
  </si>
  <si>
    <t>ALD PLAY GUSANOS AZUCARADOS JARRA 6X200 (3G)</t>
  </si>
  <si>
    <t>ALD07239</t>
  </si>
  <si>
    <t>QUA FRUTY FRESCO 6+6</t>
  </si>
  <si>
    <t>P370046</t>
  </si>
  <si>
    <t>XHC XEDEX P MAXIMO PODER LIMON 13X800G</t>
  </si>
  <si>
    <t>LC GOMITAS 10X12X5</t>
  </si>
  <si>
    <t>LCD0305</t>
  </si>
  <si>
    <t>ALD PLAY TIBURONES 55g (24)</t>
  </si>
  <si>
    <t>ALD07313</t>
  </si>
  <si>
    <t>ALD PLAY BANANAS 55g (24)</t>
  </si>
  <si>
    <t>ALD07275</t>
  </si>
  <si>
    <t>ALD PLAY OSOS RELLENOS 55g (24)</t>
  </si>
  <si>
    <t>ALD07274</t>
  </si>
  <si>
    <t>ALD PLAY CORAZONES 55g (24)</t>
  </si>
  <si>
    <t>ALD07273</t>
  </si>
  <si>
    <t>ALD PLAY TORTU SPLASH 55g (24)</t>
  </si>
  <si>
    <t>ALD07272</t>
  </si>
  <si>
    <t>ALD PLAY GUSANOS 55g (24)</t>
  </si>
  <si>
    <t>ALD07266</t>
  </si>
  <si>
    <t>DIN MAZOLA MARGARINA BARRA 6X5X400gr (24)</t>
  </si>
  <si>
    <t>XHC PFS CENTELLA CHIBOLONA AZUL 4X3X375G</t>
  </si>
  <si>
    <t>XHC PFS CENTELLA CHIBOLONA AMARILLA 4X3X375G</t>
  </si>
  <si>
    <t>XHC PFS CENTELLA CHIBOLONA BLANCA 4X3X375G</t>
  </si>
  <si>
    <t>XHC PFS CENTELLA CHIBOLONA VERDE 4X3X375G</t>
  </si>
  <si>
    <t>YAES MUCHO NACHO BARBACOA 16X12X17gr</t>
  </si>
  <si>
    <t>YAES00305</t>
  </si>
  <si>
    <t>YAES GUENOS LIMON 4X12X20gr</t>
  </si>
  <si>
    <t>YAES00311</t>
  </si>
  <si>
    <t>YAES VINAGRE MANZANA CLEMEN 500ml (24)</t>
  </si>
  <si>
    <t>YAES00060</t>
  </si>
  <si>
    <t>YAES GUENOS BARBACOA 4X12X20gr</t>
  </si>
  <si>
    <t>YAES00310</t>
  </si>
  <si>
    <t>YAES LECHE DE COCO 400ml (24)</t>
  </si>
  <si>
    <t>YAES00001</t>
  </si>
  <si>
    <t>QUA SAVILOE 12X500ML (UNIDAD)</t>
  </si>
  <si>
    <t>BONI QUA SAVILOE FRUTOS ROJOS UND 500ML (12)</t>
  </si>
  <si>
    <t>GTQ0023</t>
  </si>
  <si>
    <t>QUA NUTRIBELA TARRO 12X300ml</t>
  </si>
  <si>
    <t>QUA79240103</t>
  </si>
  <si>
    <t>FOOD NATURAS SALSA TOMATE JALAPENO 96X90G</t>
  </si>
  <si>
    <t>QUA SAVILOE 12X320ML (und)</t>
  </si>
  <si>
    <t>YAES MUCHO NACHO QUESO 16X12X17gr</t>
  </si>
  <si>
    <t>YAES00306</t>
  </si>
  <si>
    <t>NSK DOÑA BLANCA CILINDRO 400G (20)</t>
  </si>
  <si>
    <t>N13510211</t>
  </si>
  <si>
    <t>BONI DCAS SOPA LAKY JUMBO (12)</t>
  </si>
  <si>
    <t>GTDCAS0003</t>
  </si>
  <si>
    <t>BONI AMSA MAX PAPEL NARANJA BASICO HD 24X1</t>
  </si>
  <si>
    <t>GTALM019</t>
  </si>
  <si>
    <t>BONI AMSA SERVILLETA MAX PAPEL 10X1X100</t>
  </si>
  <si>
    <t>GTALM001</t>
  </si>
  <si>
    <t>FOOD KNORR SOPA COST CRIOL C/FID 12X12X55G (144)</t>
  </si>
  <si>
    <t>FOOD KNORR SOPA POLLO C/FIDEO 12X12X55G (144)</t>
  </si>
  <si>
    <t>FOOD MAIZENA ALMIDON MAIZ NATURAL 40X375G</t>
  </si>
  <si>
    <t>XHC DIN ROKU JAB AQUA 375G (4)</t>
  </si>
  <si>
    <t>DIN642304</t>
  </si>
  <si>
    <t>SCH SEDAL CR PEIN RIZ OBED 24X28X9ML</t>
  </si>
  <si>
    <t>ARE SABUESO ADULTO 100 LBS</t>
  </si>
  <si>
    <t>ARE15041</t>
  </si>
  <si>
    <t>ARE SABUESO CACHORRO 44 LBS</t>
  </si>
  <si>
    <t>ARE15060</t>
  </si>
  <si>
    <t>ARE SABUESO ADULTO 50 LBS</t>
  </si>
  <si>
    <t>ARE15014</t>
  </si>
  <si>
    <t>BONI SAVILOE UND 12X320ML (NUTRIBELA)</t>
  </si>
  <si>
    <t>GTQ0024</t>
  </si>
  <si>
    <t>XHC PFS LIMPIOX CILINDRO AVENA 18X320G</t>
  </si>
  <si>
    <t>ARE07023</t>
  </si>
  <si>
    <t>ARE ARECANA ADULTO 50 LBS</t>
  </si>
  <si>
    <t>ARE15042</t>
  </si>
  <si>
    <t>ARE SABUESO ADULTO 44 LBS</t>
  </si>
  <si>
    <t>ARE15050</t>
  </si>
  <si>
    <t>ARE SABUESO CACHORRO 22 LBS</t>
  </si>
  <si>
    <t>ALC ARROZ GALLO DORADO PRECO @ (1)</t>
  </si>
  <si>
    <t>DOVE DEO ROLLON AP RENOVADOR 12X50ML</t>
  </si>
  <si>
    <t>REXONA ROLLON BAMBOO 12X50ML</t>
  </si>
  <si>
    <t>DOVE DEO ROL DERMO ACLARANT 12X50ML</t>
  </si>
  <si>
    <t>DIN SALSA ISSIMA RANCHERA 106g (96)</t>
  </si>
  <si>
    <t>REXONA DEO ROL TONO PERF+ANTIBAC 12X50ML</t>
  </si>
  <si>
    <t>REXONA AERO ANTIBAC FRESH WOMAN 12X90G</t>
  </si>
  <si>
    <t>BONI IQUI UNIDAD CLORO MAGICLOR 1/2 DOCENA</t>
  </si>
  <si>
    <t>P370052</t>
  </si>
  <si>
    <t>QUA FRUTY FRESCO 15+3 (8)</t>
  </si>
  <si>
    <t>ALM000260</t>
  </si>
  <si>
    <t>AMS SCH DESINF CL M MAGICO 6X12X80ML</t>
  </si>
  <si>
    <t>AMS DESINF CLT MUNDO MAGICO SCH 6X12X110ML</t>
  </si>
  <si>
    <t>ALM000726</t>
  </si>
  <si>
    <t>AMS T. COCINA MAX PAPEL R. 24X1X120 HD</t>
  </si>
  <si>
    <t>GTALM002</t>
  </si>
  <si>
    <t>BONI AMSA CLORO MAX BLANKO 6X12X240ML</t>
  </si>
  <si>
    <t>GTALM008</t>
  </si>
  <si>
    <t>BONI AMSA TOALLA HUMEDA BABY STAR 12x80</t>
  </si>
  <si>
    <t>GTALM013</t>
  </si>
  <si>
    <t>BONI AMSA TOALLA HUMEDA LUCCA SUPER SEC 12X80</t>
  </si>
  <si>
    <t>GTALM020</t>
  </si>
  <si>
    <t>BONI AMSA TOALLA HUMEDA LUCCA FRESH 12X350G</t>
  </si>
  <si>
    <t>GTALM024</t>
  </si>
  <si>
    <t>BONI AMSA ROLLO MAX PAPEL VERDE 24X1</t>
  </si>
  <si>
    <t>GTALM025</t>
  </si>
  <si>
    <t>BONI AMS MAX PAPEL HIG HUMEDO</t>
  </si>
  <si>
    <t>GTNSK018</t>
  </si>
  <si>
    <t>BONI NSK BOLIGRAFO DURA MAS SURTIDO</t>
  </si>
  <si>
    <t>QUA SAVILOE 12X320ML(UNIDAD)</t>
  </si>
  <si>
    <t>FOOD NATURAS SALSA TOMATE ITALIANA 96X90G</t>
  </si>
  <si>
    <t>XHC DIN ROKU JAB AMARILLO 375G (4)</t>
  </si>
  <si>
    <t>DIN641628</t>
  </si>
  <si>
    <t>ALD YOGUETA COOKIES &amp; CREAM 16X24 (15G)</t>
  </si>
  <si>
    <t>ALD06330</t>
  </si>
  <si>
    <t>ALD FRUNAS BARRA 18X50 (8,3)</t>
  </si>
  <si>
    <t>ALD07280</t>
  </si>
  <si>
    <t>ALD MASTI MINT 16X100 (4G)</t>
  </si>
  <si>
    <t>ALD07279</t>
  </si>
  <si>
    <t>XHC DIN ROKU JAB SALMON 375G (4)</t>
  </si>
  <si>
    <t>DIN642205</t>
  </si>
  <si>
    <t>BYB SALSA T/KETCHUP ALMOHADITA 48/110g</t>
  </si>
  <si>
    <t>BYB00190454</t>
  </si>
  <si>
    <t>BYB SALSA T/KETCHUP BOLSA 48/100g</t>
  </si>
  <si>
    <t>BYB00190450</t>
  </si>
  <si>
    <t>BONI ALD EXHIBIDOR RISTRA DE 5 GANCHERAS</t>
  </si>
  <si>
    <t>GTALD008</t>
  </si>
  <si>
    <t>BYB SALSA T/KETCHUP BOLSA 48/215g</t>
  </si>
  <si>
    <t>BYB00190850</t>
  </si>
  <si>
    <t>BYB SALSA T/KETCHUP BOLSA 32/435g</t>
  </si>
  <si>
    <t>BYB00191650</t>
  </si>
  <si>
    <t>BYB SALSA T/KETCHUP ALMOHADITA 48/215g</t>
  </si>
  <si>
    <t>BYB00190854</t>
  </si>
  <si>
    <t>BYB SALSA T/KETCHUP PLASTICO 24/400g</t>
  </si>
  <si>
    <t>BYB00194473</t>
  </si>
  <si>
    <t>BYB SALSA T/KETCHUP BOLSA 4/3000g</t>
  </si>
  <si>
    <t>BYB00194250</t>
  </si>
  <si>
    <t>BYB SALSA T/KETCHUP BOLSA 16/950g</t>
  </si>
  <si>
    <t>BYB00193250</t>
  </si>
  <si>
    <t>BONI SOMBRILLAS PEDIALYTE</t>
  </si>
  <si>
    <t>GTPDL002</t>
  </si>
  <si>
    <t>BYB MAYONESA CLASICA ALMOHADITA 48/100g</t>
  </si>
  <si>
    <t>FOOD MAIZENA F MAIZ NATURAL 20X20X45G (400)</t>
  </si>
  <si>
    <t>IPR LOZANO UVA 500ML (12)</t>
  </si>
  <si>
    <t>BEST CHOCOFRUTA 10X1400G (10)</t>
  </si>
  <si>
    <t>BA019776</t>
  </si>
  <si>
    <t>NSK COLGATE KIT DE CEPILL 1X24TXTIRA 6UNDS</t>
  </si>
  <si>
    <t>DCASA PAPEL ENCANTO GDE. 1X12X4 (12)</t>
  </si>
  <si>
    <t>XHC XEDEX MAX POD FRUTOS DEL BOSQUE 30X400G</t>
  </si>
  <si>
    <t>XHC XEDEX MAX POD LIMON 30X400G</t>
  </si>
  <si>
    <t>XHC XEDEX MAX POD LIMON 13X800G</t>
  </si>
  <si>
    <t>XHC XEDEX MAX POD FRUTOS BOSQUE 13X800G</t>
  </si>
  <si>
    <t>BONI YAES MUCHO NACHO ARTESANAL 150gr</t>
  </si>
  <si>
    <t>GTYAES001</t>
  </si>
  <si>
    <t>BEST CAFE BARISTA SOLUBLE 12X24X8g</t>
  </si>
  <si>
    <t>CB003461</t>
  </si>
  <si>
    <t>BONI YAES MUCHO NACHO NATURAL 75gr</t>
  </si>
  <si>
    <t>GTYAES002</t>
  </si>
  <si>
    <t>BONI BARRA MARGARINA MAZOLA 80g</t>
  </si>
  <si>
    <t>GTDIN007</t>
  </si>
  <si>
    <t>IPR LOZANO MANZANA 500ML (12)</t>
  </si>
  <si>
    <t>BEST GALLETA CHOCOLATE 24X12X20G (24)</t>
  </si>
  <si>
    <t>BA016785</t>
  </si>
  <si>
    <t>BEST GALLETA MANI 24X12X20G (24)</t>
  </si>
  <si>
    <t>BA016439</t>
  </si>
  <si>
    <t>FOOD NATURAS PASTA TRADICIONAL 96X90G</t>
  </si>
  <si>
    <t>BEST GALLETA FRESA 24X12X20G (24)</t>
  </si>
  <si>
    <t>BA016784</t>
  </si>
  <si>
    <t>PESOS LB</t>
  </si>
  <si>
    <t>BEST CHOCOFRUTA TABLETA 32X300G</t>
  </si>
  <si>
    <t>BA017851</t>
  </si>
  <si>
    <t>DM ESCOBA FLASH FIBER (UNIDAD)</t>
  </si>
  <si>
    <t>DM1001</t>
  </si>
  <si>
    <t>DM ESPONJAS (5XBOLSA)</t>
  </si>
  <si>
    <t>DM1002</t>
  </si>
  <si>
    <t>BEST CHOCOGOL DYP 50X15X4g (50)</t>
  </si>
  <si>
    <t>BA018615</t>
  </si>
  <si>
    <t>NSK COLGATE DOBLE FRESCURA 150ML (72)</t>
  </si>
  <si>
    <t>FOOD MAIZENA F MAIZ VAINILLA 16X12X45G (192)</t>
  </si>
  <si>
    <t>BONI QUA NUTRIBELA 10 HIALURONICO (24)</t>
  </si>
  <si>
    <t>GTQ0025</t>
  </si>
  <si>
    <t>QUA YUS TE FRIO DURAZNO 9X15X28g</t>
  </si>
  <si>
    <t>QUA19160151</t>
  </si>
  <si>
    <t>QUA YUS TE FRIO FRAMBUESA 9X15X28g</t>
  </si>
  <si>
    <t>QUA19160149</t>
  </si>
  <si>
    <t>BYB CONCENTRADO DE NARANJA 12/678 ml</t>
  </si>
  <si>
    <t>BYB00053225</t>
  </si>
  <si>
    <t>FOOD KNORR SOPA GAL CRIOL C/FIDEOS 12X12X54G (144)</t>
  </si>
  <si>
    <t>BEST CHOCOFRUTA 50x350G</t>
  </si>
  <si>
    <t>BA019820</t>
  </si>
  <si>
    <t>AXE AERO BS GOLD TEMPTATION 12X97G</t>
  </si>
  <si>
    <t>SCH QUA NUTRIBELA HIALURONICO 48X6X27ML</t>
  </si>
  <si>
    <t>QUA21240003</t>
  </si>
  <si>
    <t>BEST BOTE CONITO CHOCOLATE 80u (12)</t>
  </si>
  <si>
    <t>BA017850</t>
  </si>
  <si>
    <t>SCH SEDAL SH NEGRO LUMINOSO 24X28X9ML</t>
  </si>
  <si>
    <t>SCH SEDAL CR LISO PERFECTO 24X28X9ML</t>
  </si>
  <si>
    <t>TERMO GABACHA #1 (26)</t>
  </si>
  <si>
    <t>REXONA STICK ACTIVE DRY 12X50G</t>
  </si>
  <si>
    <t>TERMO PAJILLA TRANSPARENTE (50)</t>
  </si>
  <si>
    <t>TRM1019</t>
  </si>
  <si>
    <t>BONI ARE PALITA SABUESO</t>
  </si>
  <si>
    <t>GTARE001</t>
  </si>
  <si>
    <t>IAK KERNS 154mL COCTEL VEGETALES (48)</t>
  </si>
  <si>
    <t>K194082</t>
  </si>
  <si>
    <t>KELL CHOCO KRISPIS 54X115G (54)</t>
  </si>
  <si>
    <t>PONDS CR  50G S HUMECTANTE NUTRITIVA (24)</t>
  </si>
  <si>
    <t>BONI YAES CHARROS SALSA VERDE</t>
  </si>
  <si>
    <t>GTYAES003</t>
  </si>
  <si>
    <t>PONDS CR  50G C PEPINO (24)</t>
  </si>
  <si>
    <t>BONI YAES CHARROS SALSA ROJA</t>
  </si>
  <si>
    <t>GTYAES004</t>
  </si>
  <si>
    <t>IAK KERNS 330ml COCTEL VEGETALES ALMEJA  (24)</t>
  </si>
  <si>
    <t>NSK LAV POTENSOL MARQUETA 215g (42)</t>
  </si>
  <si>
    <t>YAES FLAMAS CHILE LIMON 16X12X17gr</t>
  </si>
  <si>
    <t>YAES00308</t>
  </si>
  <si>
    <t>SCH SEDAL CR PEIN KERAT 24X28X9ML</t>
  </si>
  <si>
    <t>YAES MUCHO NACHO VERDE 16X12X17gr</t>
  </si>
  <si>
    <t>YAES00307</t>
  </si>
  <si>
    <t>BONI ARE PLATO SABUESO</t>
  </si>
  <si>
    <t>GTARE002</t>
  </si>
  <si>
    <t>BONI ARE MOCHILA SABUESO</t>
  </si>
  <si>
    <t>GTARE004</t>
  </si>
  <si>
    <t>NSK LAV DOÑA BLANCA CIL 400g (20)</t>
  </si>
  <si>
    <t>XHC DIN ZIXX JAB COCO 400G (6)</t>
  </si>
  <si>
    <t>DIN642885</t>
  </si>
  <si>
    <t>NSK LAV AXION TARRO 235g (48)</t>
  </si>
  <si>
    <t>FOS FOSFOROS GALLO ECO 12X10</t>
  </si>
  <si>
    <t>BONI NSK ROLLO PAPEL HIGIENICO</t>
  </si>
  <si>
    <t>FOOD MAIZENA F MAIZ  FRESA 16X12X45G (192)</t>
  </si>
  <si>
    <t>UL CR RIZOS 3 SACHET</t>
  </si>
  <si>
    <t>GTUL0032</t>
  </si>
  <si>
    <t>XHC PFS MAX PODER AMARILLO 6X3X400G</t>
  </si>
  <si>
    <t>AXE AERO VITTO DARK TEMPT 12X58G</t>
  </si>
  <si>
    <t>DIN MAZOLA MARGARINA  AJO/HIERBAS 400GR (24)</t>
  </si>
  <si>
    <t>AXE AERO BS FUSION 12X97G</t>
  </si>
  <si>
    <t>NSK LAV DOÑA BLANCA CIL TIRA 170g (6)</t>
  </si>
  <si>
    <t>DIN MAZOLA ACEITE  BOT 32onz (12)</t>
  </si>
  <si>
    <t>IAK DUCAL FRIJ CARNICOS LAT 14oz (24)</t>
  </si>
  <si>
    <t>BYB SALSA PICAMAS VERDE BOLSA 48/100g</t>
  </si>
  <si>
    <t>XHC PFS MAX PODER LILA 6X3X400G</t>
  </si>
  <si>
    <t>Columna3</t>
  </si>
  <si>
    <t>Columna4</t>
  </si>
  <si>
    <t>Columna5</t>
  </si>
  <si>
    <t>XHC PFS LIMPIOX CILINDRO LIMON 18X320G</t>
  </si>
  <si>
    <t>XHC PFS MAX PODER ROSADO 6X3X400G</t>
  </si>
  <si>
    <t>TERMO BOLSA COLOR 5 Lbs (46)</t>
  </si>
  <si>
    <t>NSK LAV POTENSOL CIL 400g (20)</t>
  </si>
  <si>
    <t>XHC PFS CENTELLA CAMPEON VERDE 6X4X330G</t>
  </si>
  <si>
    <t>NSK LAV AXION LIMON TIRA 115g (6)</t>
  </si>
  <si>
    <t>FOOD HELLMANNS MAY DP 12X100G</t>
  </si>
  <si>
    <t>XHC DIN VENZA JABON SABILA 110g (72)</t>
  </si>
  <si>
    <t>IAK DUCAL FRIJ CARNICOS LAT 28oz (12)</t>
  </si>
  <si>
    <t>IAK KERNS KETCHUP 776gr PET (12)</t>
  </si>
  <si>
    <t>XHC PFS CENTELLA CHIBOLONA AVENA 4X3X375G</t>
  </si>
  <si>
    <t>SCH SEDAL SH LISO PERFECTO 24X28X9ML</t>
  </si>
  <si>
    <t>AXE AERO BS DARK TEMPT 12X97G</t>
  </si>
  <si>
    <t>PONDS CR  50G CLARANT B3 GRASA (24)</t>
  </si>
  <si>
    <t>PONDS CR  50G CLARANT B3 SECA (24)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</si>
</sst>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Q&quot;#,##0;[Red]\-&quot;Q&quot;#,##0"/>
    <numFmt numFmtId="165" formatCode="0.0"/>
    <numFmt numFmtId="166" formatCode="&quot;Q&quot;#,##0_);[Red]\(&quot;Q&quot;#,##0\)"/>
  </numFmts>
  <fonts count="1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00"/>
      <name val="Century Gothic"/>
      <family val="2"/>
    </font>
    <font>
      <b/>
      <sz val="12"/>
      <color rgb="FF000000"/>
      <name val="Century Schoolbook"/>
      <family val="1"/>
    </font>
    <font>
      <sz val="11"/>
      <name val="Calibri"/>
      <family val="2"/>
      <scheme val="minor"/>
    </font>
    <font>
      <sz val="10"/>
      <color theme="1"/>
      <name val="Arial Unicode MS"/>
    </font>
    <font>
      <b/>
      <sz val="16"/>
      <color rgb="FF000000"/>
      <name val="Bodoni MT Black"/>
      <family val="1"/>
    </font>
    <font>
      <u/>
      <sz val="11"/>
      <color theme="1"/>
      <name val="Calibri"/>
      <family val="2"/>
      <scheme val="minor"/>
    </font>
    <font>
      <sz val="14"/>
      <color rgb="FF000000"/>
      <name val="Bodoni MT Black"/>
      <family val="1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4"/>
        <bgColor theme="4"/>
      </patternFill>
    </fill>
    <fill>
      <patternFill patternType="solid">
        <fgColor rgb="FF91C6F7"/>
        <bgColor rgb="FF91C6F7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rgb="FFD9D9D9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</cellStyleXfs>
  <cellXfs count="83">
    <xf numFmtId="0" fontId="0" fillId="0" borderId="0" xfId="0"/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2" fillId="0" borderId="5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49" fontId="0" fillId="0" borderId="6" xfId="0" applyNumberFormat="1" applyBorder="1" applyAlignment="1">
      <alignment horizontal="left"/>
    </xf>
    <xf numFmtId="49" fontId="3" fillId="0" borderId="9" xfId="0" applyNumberFormat="1" applyFont="1" applyBorder="1" applyAlignment="1">
      <alignment horizontal="left"/>
    </xf>
    <xf numFmtId="49" fontId="0" fillId="0" borderId="3" xfId="0" applyNumberFormat="1" applyBorder="1" applyAlignment="1">
      <alignment horizontal="left"/>
    </xf>
    <xf numFmtId="0" fontId="2" fillId="0" borderId="0" xfId="1" applyFont="1" applyAlignment="1">
      <alignment horizontal="center"/>
    </xf>
    <xf numFmtId="49" fontId="2" fillId="0" borderId="0" xfId="1" applyNumberFormat="1" applyFont="1"/>
    <xf numFmtId="0" fontId="0" fillId="0" borderId="0" xfId="0" pivotButton="1"/>
    <xf numFmtId="2" fontId="0" fillId="0" borderId="0" xfId="0" applyNumberFormat="1"/>
    <xf numFmtId="165" fontId="0" fillId="0" borderId="0" xfId="0" applyNumberFormat="1"/>
    <xf numFmtId="0" fontId="6" fillId="2" borderId="10" xfId="0" applyFont="1" applyFill="1" applyBorder="1"/>
    <xf numFmtId="0" fontId="6" fillId="2" borderId="11" xfId="0" applyFont="1" applyFill="1" applyBorder="1"/>
    <xf numFmtId="2" fontId="0" fillId="3" borderId="12" xfId="0" applyNumberFormat="1" applyFill="1" applyBorder="1"/>
    <xf numFmtId="9" fontId="0" fillId="3" borderId="12" xfId="2" applyFont="1" applyFill="1" applyBorder="1"/>
    <xf numFmtId="0" fontId="6" fillId="0" borderId="0" xfId="0" applyFont="1"/>
    <xf numFmtId="2" fontId="0" fillId="3" borderId="13" xfId="0" applyNumberFormat="1" applyFill="1" applyBorder="1"/>
    <xf numFmtId="2" fontId="0" fillId="0" borderId="14" xfId="0" applyNumberFormat="1" applyBorder="1"/>
    <xf numFmtId="0" fontId="2" fillId="0" borderId="0" xfId="1" applyFont="1"/>
    <xf numFmtId="164" fontId="0" fillId="0" borderId="6" xfId="0" applyNumberFormat="1" applyBorder="1" applyAlignment="1">
      <alignment horizontal="left"/>
    </xf>
    <xf numFmtId="0" fontId="2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5" xfId="0" applyNumberFormat="1" applyBorder="1" applyAlignment="1">
      <alignment horizontal="left"/>
    </xf>
    <xf numFmtId="0" fontId="2" fillId="0" borderId="5" xfId="1" applyFont="1" applyBorder="1" applyAlignment="1">
      <alignment horizontal="left"/>
    </xf>
    <xf numFmtId="0" fontId="2" fillId="0" borderId="3" xfId="1" applyFont="1" applyBorder="1" applyAlignment="1">
      <alignment horizontal="left"/>
    </xf>
    <xf numFmtId="0" fontId="2" fillId="0" borderId="5" xfId="1" applyFont="1" applyBorder="1"/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1" fillId="5" borderId="2" xfId="0" applyFont="1" applyFill="1" applyBorder="1" applyAlignment="1">
      <alignment horizontal="center"/>
    </xf>
    <xf numFmtId="2" fontId="1" fillId="5" borderId="2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166" fontId="2" fillId="0" borderId="3" xfId="1" applyNumberFormat="1" applyFont="1" applyBorder="1" applyAlignment="1">
      <alignment horizontal="left"/>
    </xf>
    <xf numFmtId="166" fontId="2" fillId="0" borderId="6" xfId="1" applyNumberFormat="1" applyFont="1" applyBorder="1" applyAlignment="1">
      <alignment horizontal="left"/>
    </xf>
    <xf numFmtId="0" fontId="2" fillId="0" borderId="6" xfId="1" applyFont="1" applyBorder="1" applyAlignment="1">
      <alignment horizontal="left"/>
    </xf>
    <xf numFmtId="0" fontId="2" fillId="0" borderId="0" xfId="1" applyFont="1" applyAlignment="1">
      <alignment horizontal="left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9" fillId="0" borderId="3" xfId="0" applyFont="1" applyBorder="1" applyAlignment="1">
      <alignment horizontal="left"/>
    </xf>
    <xf numFmtId="0" fontId="9" fillId="0" borderId="2" xfId="0" applyFont="1" applyBorder="1" applyAlignment="1">
      <alignment horizontal="center"/>
    </xf>
    <xf numFmtId="164" fontId="2" fillId="0" borderId="6" xfId="1" applyNumberFormat="1" applyFont="1" applyBorder="1" applyAlignment="1">
      <alignment horizontal="left"/>
    </xf>
    <xf numFmtId="164" fontId="2" fillId="0" borderId="3" xfId="1" applyNumberFormat="1" applyFont="1" applyBorder="1" applyAlignment="1">
      <alignment horizontal="left"/>
    </xf>
    <xf numFmtId="2" fontId="0" fillId="8" borderId="14" xfId="0" applyNumberFormat="1" applyFill="1" applyBorder="1"/>
    <xf numFmtId="0" fontId="12" fillId="0" borderId="0" xfId="0" applyFont="1"/>
    <xf numFmtId="0" fontId="0" fillId="0" borderId="6" xfId="0" applyBorder="1" applyAlignment="1">
      <alignment horizontal="left"/>
    </xf>
    <xf numFmtId="2" fontId="12" fillId="0" borderId="2" xfId="0" applyNumberFormat="1" applyFont="1" applyBorder="1" applyAlignment="1">
      <alignment horizontal="center"/>
    </xf>
    <xf numFmtId="0" fontId="6" fillId="4" borderId="0" xfId="0" applyFont="1" applyFill="1"/>
    <xf numFmtId="0" fontId="9" fillId="6" borderId="14" xfId="0" applyFont="1" applyFill="1" applyBorder="1"/>
    <xf numFmtId="0" fontId="9" fillId="7" borderId="14" xfId="0" applyFont="1" applyFill="1" applyBorder="1"/>
    <xf numFmtId="0" fontId="0" fillId="0" borderId="14" xfId="0" applyBorder="1"/>
    <xf numFmtId="0" fontId="0" fillId="8" borderId="14" xfId="0" applyFill="1" applyBorder="1"/>
    <xf numFmtId="165" fontId="9" fillId="6" borderId="14" xfId="0" applyNumberFormat="1" applyFont="1" applyFill="1" applyBorder="1"/>
    <xf numFmtId="165" fontId="9" fillId="7" borderId="14" xfId="0" applyNumberFormat="1" applyFont="1" applyFill="1" applyBorder="1"/>
    <xf numFmtId="165" fontId="0" fillId="0" borderId="14" xfId="0" applyNumberFormat="1" applyBorder="1"/>
    <xf numFmtId="0" fontId="0" fillId="10" borderId="14" xfId="0" applyFill="1" applyBorder="1"/>
    <xf numFmtId="2" fontId="0" fillId="10" borderId="14" xfId="0" applyNumberFormat="1" applyFill="1" applyBorder="1"/>
    <xf numFmtId="0" fontId="2" fillId="0" borderId="2" xfId="1" applyFont="1" applyBorder="1" applyAlignment="1">
      <alignment horizontal="center" vertical="center"/>
    </xf>
    <xf numFmtId="0" fontId="9" fillId="11" borderId="3" xfId="0" applyFont="1" applyFill="1" applyBorder="1" applyAlignment="1">
      <alignment horizontal="left"/>
    </xf>
    <xf numFmtId="0" fontId="9" fillId="11" borderId="2" xfId="0" applyFont="1" applyFill="1" applyBorder="1" applyAlignment="1">
      <alignment horizontal="center"/>
    </xf>
    <xf numFmtId="0" fontId="5" fillId="0" borderId="15" xfId="4" applyBorder="1" applyAlignment="1">
      <alignment horizontal="right" vertical="center"/>
    </xf>
    <xf numFmtId="0" fontId="5" fillId="0" borderId="15" xfId="4" applyBorder="1" applyAlignment="1">
      <alignment horizontal="left" vertical="center"/>
    </xf>
    <xf numFmtId="0" fontId="5" fillId="0" borderId="16" xfId="4" applyBorder="1" applyAlignment="1">
      <alignment horizontal="right" vertical="center"/>
    </xf>
    <xf numFmtId="0" fontId="5" fillId="0" borderId="16" xfId="4" applyBorder="1" applyAlignment="1">
      <alignment horizontal="left" vertical="center"/>
    </xf>
    <xf numFmtId="0" fontId="5" fillId="0" borderId="16" xfId="3" applyBorder="1" applyAlignment="1">
      <alignment horizontal="right" vertical="center"/>
    </xf>
    <xf numFmtId="0" fontId="5" fillId="0" borderId="16" xfId="3" applyBorder="1" applyAlignment="1">
      <alignment horizontal="left" vertical="center"/>
    </xf>
    <xf numFmtId="0" fontId="16" fillId="9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B57FD1C7-E598-4638-95F4-24BF754FAACE}"/>
    <cellStyle name="Normal 3" xfId="3" xr:uid="{41D195A9-8270-4D32-968F-3E6003F4C53B}"/>
    <cellStyle name="Normal 4" xfId="5" xr:uid="{3FC1BE1F-0ADF-43C4-B4F7-9593EB6033F4}"/>
    <cellStyle name="Porcentaje" xfId="2" builtinId="5"/>
  </cellStyles>
  <dxfs count="104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auto="1"/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</dxfs>
  <tableStyles count="3" defaultTableStyle="TableStyleMedium2" defaultPivotStyle="PivotStyleLight16">
    <tableStyle name="Estilo de segmentación de datos 1" pivot="0" table="0" count="1" xr9:uid="{00000000-0011-0000-FFFF-FFFF00000000}">
      <tableStyleElement type="wholeTable" dxfId="103"/>
    </tableStyle>
    <tableStyle name="PESO" pivot="0" table="0" count="10" xr9:uid="{00000000-0011-0000-FFFF-FFFF01000000}">
      <tableStyleElement type="wholeTable" dxfId="102"/>
      <tableStyleElement type="headerRow" dxfId="101"/>
    </tableStyle>
    <tableStyle name="PESOSO" pivot="0" table="0" count="10" xr9:uid="{00000000-0011-0000-FFFF-FFFF02000000}">
      <tableStyleElement type="wholeTable" dxfId="100"/>
      <tableStyleElement type="headerRow" dxfId="99"/>
    </tableStyle>
  </tableStyles>
  <colors>
    <mruColors>
      <color rgb="FF003366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2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6" tint="0.39994506668294322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theme="6" tint="-0.24994659260841701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PES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PESOS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2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7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63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5.xml"/><Relationship Id="rId37" Type="http://schemas.openxmlformats.org/officeDocument/2006/relationships/pivotCacheDefinition" Target="pivotCache/pivotCacheDefinition10.xml"/><Relationship Id="rId40" Type="http://schemas.openxmlformats.org/officeDocument/2006/relationships/pivotCacheDefinition" Target="pivotCache/pivotCacheDefinition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pivotCacheDefinition" Target="pivotCache/pivotCacheDefinition9.xml"/><Relationship Id="rId61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pivotCacheDefinition" Target="pivotCache/pivotCacheDefinition8.xml"/><Relationship Id="rId43" Type="http://schemas.openxmlformats.org/officeDocument/2006/relationships/connections" Target="connection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6.xml"/><Relationship Id="rId38" Type="http://schemas.openxmlformats.org/officeDocument/2006/relationships/pivotCacheDefinition" Target="pivotCache/pivotCacheDefinition11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.xml"/><Relationship Id="rId62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 DE PESOS.xlsm]MASTER!TABLARUTAS</c:name>
    <c:fmtId val="14"/>
  </c:pivotSource>
  <c:chart>
    <c:title>
      <c:layout>
        <c:manualLayout>
          <c:xMode val="edge"/>
          <c:yMode val="edge"/>
          <c:x val="0.45441367832861279"/>
          <c:y val="9.56297097161416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581086820696069"/>
          <c:y val="0.29323986536415469"/>
          <c:w val="0.73482880368384884"/>
          <c:h val="0.206706712790725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MASTER!$D$43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3A1-4897-BC6E-5D82AF7A410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E72-4B1D-B604-E2E7D4E0D96F}"/>
              </c:ext>
            </c:extLst>
          </c:dPt>
          <c:cat>
            <c:strRef>
              <c:f>MASTER!$D$44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MASTER!$D$44</c:f>
              <c:numCache>
                <c:formatCode>General</c:formatCode>
                <c:ptCount val="1"/>
                <c:pt idx="0">
                  <c:v>27.533134377645492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2E-43A7-8A40-BC0A79AA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97744"/>
        <c:axId val="111198304"/>
      </c:barChart>
      <c:catAx>
        <c:axId val="111197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11198304"/>
        <c:crosses val="autoZero"/>
        <c:auto val="1"/>
        <c:lblAlgn val="ctr"/>
        <c:lblOffset val="100"/>
        <c:noMultiLvlLbl val="0"/>
      </c:catAx>
      <c:valAx>
        <c:axId val="1111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111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G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54429</xdr:colOff>
      <xdr:row>34</xdr:row>
      <xdr:rowOff>49202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0" y="0"/>
          <a:ext cx="8741229" cy="6341145"/>
          <a:chOff x="0" y="0"/>
          <a:chExt cx="8741229" cy="6341145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0" y="0"/>
            <a:ext cx="8741229" cy="6341145"/>
            <a:chOff x="0" y="0"/>
            <a:chExt cx="8741229" cy="6341145"/>
          </a:xfrm>
        </xdr:grpSpPr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0" y="0"/>
              <a:ext cx="8741229" cy="6341145"/>
              <a:chOff x="0" y="0"/>
              <a:chExt cx="8741229" cy="6341145"/>
            </a:xfrm>
          </xdr:grpSpPr>
          <xdr:pic>
            <xdr:nvPicPr>
              <xdr:cNvPr id="4" name="Imagen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0" y="0"/>
                <a:ext cx="8730343" cy="2256545"/>
              </a:xfrm>
              <a:prstGeom prst="rect">
                <a:avLst/>
              </a:prstGeom>
            </xdr:spPr>
          </xdr:pic>
          <xdr:pic>
            <xdr:nvPicPr>
              <xdr:cNvPr id="2" name="Imagen 1">
                <a:extLs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0" y="2208646"/>
                <a:ext cx="8741229" cy="4132499"/>
              </a:xfrm>
              <a:prstGeom prst="rect">
                <a:avLst/>
              </a:prstGeom>
              <a:solidFill>
                <a:srgbClr val="003366">
                  <a:alpha val="94902"/>
                </a:srgbClr>
              </a:solidFill>
            </xdr:spPr>
          </xdr:pic>
        </xdr:grpSp>
        <xdr:sp macro="" textlink="">
          <xdr:nvSpPr>
            <xdr:cNvPr id="3" name="Rectángulo: esquinas redondeadas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6664998" y="3191298"/>
              <a:ext cx="1873948" cy="3079564"/>
            </a:xfrm>
            <a:prstGeom prst="roundRect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  <a:p>
              <a:pPr algn="l"/>
              <a:endParaRPr lang="es-MX" sz="1100"/>
            </a:p>
          </xdr:txBody>
        </xdr:sp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>
              <a:graphicFrameLocks/>
            </xdr:cNvGraphicFramePr>
          </xdr:nvGraphicFramePr>
          <xdr:xfrm>
            <a:off x="3166514" y="3681362"/>
            <a:ext cx="3234286" cy="205540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5" name="RUTAS">
                  <a:extLst>
                    <a:ext uri="{FF2B5EF4-FFF2-40B4-BE49-F238E27FC236}">
                      <a16:creationId xmlns:a16="http://schemas.microsoft.com/office/drawing/2014/main" id="{00000000-0008-0000-0000-000005000000}"/>
                    </a:ext>
                  </a:extLst>
                </xdr:cNvPr>
                <xdr:cNvGraphicFramePr/>
              </xdr:nvGraphicFramePr>
              <xdr:xfrm>
                <a:off x="6830664" y="3275518"/>
                <a:ext cx="1587224" cy="2905922"/>
              </xdr:xfrm>
              <a:graphic>
                <a:graphicData uri="http://schemas.microsoft.com/office/drawing/2010/slicer">
                  <sle:slicer xmlns:sle="http://schemas.microsoft.com/office/drawing/2010/slicer" name="RUTAS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6830664" y="3275518"/>
                  <a:ext cx="1587224" cy="2905922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s-GT" sz="1100"/>
  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  </a:r>
                </a:p>
              </xdr:txBody>
            </xdr:sp>
          </mc:Fallback>
        </mc:AlternateContent>
      </xdr:grp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0" y="0"/>
            <a:ext cx="4800600" cy="3790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GT" sz="1400" b="1">
                <a:solidFill>
                  <a:schemeClr val="bg1"/>
                </a:solidFill>
              </a:rPr>
              <a:t>SELECCIONE</a:t>
            </a:r>
            <a:r>
              <a:rPr lang="es-GT" sz="1400" b="1" baseline="0">
                <a:solidFill>
                  <a:schemeClr val="bg1"/>
                </a:solidFill>
              </a:rPr>
              <a:t> SEGÚN DESEE CREAR LAS TABLAS DE LAS RUTAS</a:t>
            </a:r>
            <a:endParaRPr lang="es-GT" sz="14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30</xdr:row>
          <xdr:rowOff>175260</xdr:rowOff>
        </xdr:from>
        <xdr:to>
          <xdr:col>9</xdr:col>
          <xdr:colOff>114300</xdr:colOff>
          <xdr:row>33</xdr:row>
          <xdr:rowOff>83820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GT" sz="1400" b="1" i="0" u="none" strike="noStrike" baseline="0">
                  <a:solidFill>
                    <a:srgbClr val="000000"/>
                  </a:solidFill>
                  <a:latin typeface="Century Gothic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13</xdr:row>
          <xdr:rowOff>83820</xdr:rowOff>
        </xdr:from>
        <xdr:to>
          <xdr:col>13</xdr:col>
          <xdr:colOff>342900</xdr:colOff>
          <xdr:row>16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200" b="1" i="0" u="none" strike="noStrike" baseline="0">
                  <a:solidFill>
                    <a:srgbClr val="000000"/>
                  </a:solidFill>
                  <a:latin typeface="Century Schoolboo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17</xdr:row>
          <xdr:rowOff>106680</xdr:rowOff>
        </xdr:from>
        <xdr:to>
          <xdr:col>3</xdr:col>
          <xdr:colOff>243840</xdr:colOff>
          <xdr:row>22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GT" sz="1600" b="1" i="0" u="none" strike="noStrike" baseline="0">
                  <a:solidFill>
                    <a:srgbClr val="000000"/>
                  </a:solidFill>
                  <a:latin typeface="Bodoni MT Black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3</xdr:row>
          <xdr:rowOff>0</xdr:rowOff>
        </xdr:from>
        <xdr:to>
          <xdr:col>3</xdr:col>
          <xdr:colOff>609600</xdr:colOff>
          <xdr:row>5</xdr:row>
          <xdr:rowOff>160020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E470 a la E477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2</xdr:row>
          <xdr:rowOff>144780</xdr:rowOff>
        </xdr:from>
        <xdr:to>
          <xdr:col>8</xdr:col>
          <xdr:colOff>144780</xdr:colOff>
          <xdr:row>5</xdr:row>
          <xdr:rowOff>121920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E478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144780</xdr:rowOff>
        </xdr:from>
        <xdr:to>
          <xdr:col>13</xdr:col>
          <xdr:colOff>30480</xdr:colOff>
          <xdr:row>5</xdr:row>
          <xdr:rowOff>121920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E479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7</xdr:row>
          <xdr:rowOff>7620</xdr:rowOff>
        </xdr:from>
        <xdr:to>
          <xdr:col>5</xdr:col>
          <xdr:colOff>579120</xdr:colOff>
          <xdr:row>9</xdr:row>
          <xdr:rowOff>167640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E480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6</xdr:row>
          <xdr:rowOff>175260</xdr:rowOff>
        </xdr:from>
        <xdr:to>
          <xdr:col>10</xdr:col>
          <xdr:colOff>548640</xdr:colOff>
          <xdr:row>9</xdr:row>
          <xdr:rowOff>160020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E481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12</xdr:row>
          <xdr:rowOff>68580</xdr:rowOff>
        </xdr:from>
        <xdr:to>
          <xdr:col>8</xdr:col>
          <xdr:colOff>480060</xdr:colOff>
          <xdr:row>16</xdr:row>
          <xdr:rowOff>106680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GT" sz="1400" b="0" i="0" u="none" strike="noStrike" baseline="0">
                  <a:solidFill>
                    <a:srgbClr val="000000"/>
                  </a:solidFill>
                  <a:latin typeface="Bodoni MT Black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041665" createdVersion="8" refreshedVersion="8" minRefreshableVersion="3" recordCount="35" xr:uid="{DF1010C6-99FC-439D-B364-D88683704560}">
  <cacheSource type="worksheet">
    <worksheetSource name="RUTA481"/>
  </cacheSource>
  <cacheFields count="5">
    <cacheField name="Columna1" numFmtId="0">
      <sharedItems containsSemiMixedTypes="0" containsString="0" containsNumber="1" containsInteger="1" minValue="205" maxValue="7401192400143" count="227">
        <n v="68524852"/>
        <n v="68923657"/>
        <n v="69678222"/>
        <n v="69678220"/>
        <n v="68524859"/>
        <n v="68524861"/>
        <n v="68775732"/>
        <n v="69627014"/>
        <n v="68380364"/>
        <n v="68380352"/>
        <n v="579235"/>
        <n v="68444067"/>
        <n v="579407"/>
        <n v="579409"/>
        <n v="68637162"/>
        <n v="67611013"/>
        <n v="84171576"/>
        <n v="588831"/>
        <n v="84157033"/>
        <n v="69584500"/>
        <n v="69584487"/>
        <n v="69584483"/>
        <n v="69761868"/>
        <n v="69761861"/>
        <n v="69761865"/>
        <n v="69761870"/>
        <n v="68667235"/>
        <n v="68667239"/>
        <n v="69714154"/>
        <n v="69714162"/>
        <n v="69618163"/>
        <n v="586703" u="1"/>
        <n v="68798139" u="1"/>
        <n v="84157362" u="1"/>
        <n v="67767705" u="1"/>
        <n v="578086" u="1"/>
        <n v="69714199" u="1"/>
        <n v="69584482" u="1"/>
        <n v="67139177" u="1"/>
        <n v="68441507" u="1"/>
        <n v="69584479" u="1"/>
        <n v="69786713" u="1"/>
        <n v="50491102" u="1"/>
        <n v="50491106" u="1"/>
        <n v="50491100" u="1"/>
        <n v="50491134" u="1"/>
        <n v="50491133" u="1"/>
        <n v="52480086" u="1"/>
        <n v="50491107" u="1"/>
        <n v="50491109" u="1"/>
        <n v="5460400" u="1"/>
        <n v="620500" u="1"/>
        <n v="620678" u="1"/>
        <n v="620821" u="1"/>
        <n v="620845" u="1"/>
        <n v="621330" u="1"/>
        <n v="640676" u="1"/>
        <n v="640683" u="1"/>
        <n v="640690" u="1"/>
        <n v="640959" u="1"/>
        <n v="641833" u="1"/>
        <n v="642236" u="1"/>
        <n v="642557" u="1"/>
        <n v="642694" u="1"/>
        <n v="67611010" u="1"/>
        <n v="68170131" u="1"/>
        <n v="68437778" u="1"/>
        <n v="68524849" u="1"/>
        <n v="69678218" u="1"/>
        <n v="69717303" u="1"/>
        <n v="69761866" u="1"/>
        <n v="84163149" u="1"/>
        <n v="10010010010" u="1"/>
        <n v="10020040002" u="1"/>
        <n v="1008010073" u="1"/>
        <n v="1008013091" u="1"/>
        <n v="400000127" u="1"/>
        <n v="400000411" u="1"/>
        <n v="50470111" u="1"/>
        <n v="50470112" u="1"/>
        <n v="50491108" u="1"/>
        <n v="50491131" u="1"/>
        <n v="565119" u="1"/>
        <n v="574986" u="1"/>
        <n v="576003" u="1"/>
        <n v="583415" u="1"/>
        <n v="60000094" u="1"/>
        <n v="60000210" u="1"/>
        <n v="652532" u="1"/>
        <n v="67409831" u="1"/>
        <n v="68380353" u="1"/>
        <n v="68524850" u="1"/>
        <n v="68524857" u="1"/>
        <n v="68647716" u="1"/>
        <n v="84157012" u="1"/>
        <n v="68798140" u="1"/>
        <n v="5467000" u="1"/>
        <n v="68436586" u="1"/>
        <n v="68193096" u="1"/>
        <n v="571467" u="1"/>
        <n v="579412" u="1"/>
        <n v="84162865" u="1"/>
        <n v="19640305" u="1"/>
        <n v="68787808" u="1"/>
        <n v="19640304" u="1"/>
        <n v="69780941" u="1"/>
        <n v="68395025" u="1"/>
        <n v="19640306" u="1"/>
        <n v="621491" u="1"/>
        <n v="574983" u="1"/>
        <n v="69714198" u="1"/>
        <n v="576000" u="1"/>
        <n v="69629503" u="1"/>
        <n v="69620218" u="1"/>
        <n v="68611972" u="1"/>
        <n v="579319" u="1"/>
        <n v="588828" u="1"/>
        <n v="68441544" u="1"/>
        <n v="68444066" u="1"/>
        <n v="67611016" u="1"/>
        <n v="579264" u="1"/>
        <n v="579337" u="1"/>
        <n v="68688972" u="1"/>
        <n v="84160187" u="1"/>
        <n v="10010020002" u="1"/>
        <n v="1008011812" u="1"/>
        <n v="1008014100" u="1"/>
        <n v="1008071533" u="1"/>
        <n v="20110020" u="1"/>
        <n v="400000160" u="1"/>
        <n v="400000412" u="1"/>
        <n v="4040000841" u="1"/>
        <n v="50470107" u="1"/>
        <n v="50470108" u="1"/>
        <n v="50491101" u="1"/>
        <n v="50491103" u="1"/>
        <n v="50491104" u="1"/>
        <n v="52480094" u="1"/>
        <n v="60000209" u="1"/>
        <n v="621323" u="1"/>
        <n v="680078" u="1"/>
        <n v="68524848" u="1"/>
        <n v="67707590" u="1"/>
        <n v="68786560" u="1"/>
        <n v="10020010007" u="1"/>
        <n v="50470118" u="1"/>
        <n v="68876989" u="1"/>
        <n v="256" u="1"/>
        <n v="60000133" u="1"/>
        <n v="642205" u="1"/>
        <n v="67409941" u="1"/>
        <n v="68142902" u="1"/>
        <n v="1000" u="1"/>
        <n v="50470103" u="1"/>
        <n v="621439" u="1"/>
        <n v="68524854" u="1"/>
        <n v="400000048" u="1"/>
        <n v="1008012355" u="1"/>
        <n v="1019" u="1"/>
        <n v="1006" u="1"/>
        <n v="69584486" u="1"/>
        <n v="566701" u="1"/>
        <n v="246" u="1"/>
        <n v="576004" u="1"/>
        <n v="254" u="1"/>
        <n v="576006" u="1"/>
        <n v="67611014" u="1"/>
        <n v="1005" u="1"/>
        <n v="68524851" u="1"/>
        <n v="400000221" u="1"/>
        <n v="60000205" u="1"/>
        <n v="404000140" u="1"/>
        <n v="249" u="1"/>
        <n v="69629502" u="1"/>
        <n v="68524847" u="1"/>
        <n v="207" u="1"/>
        <n v="84158961" u="1"/>
        <n v="642359" u="1"/>
        <n v="68646674" u="1"/>
        <n v="84159040" u="1"/>
        <n v="67728485" u="1"/>
        <n v="68614031" u="1"/>
        <n v="589111" u="1"/>
        <n v="84158965" u="1"/>
        <n v="68193098" u="1"/>
        <n v="573812" u="1"/>
        <n v="50470104" u="1"/>
        <n v="1008011991" u="1"/>
        <n v="50470106" u="1"/>
        <n v="247" u="1"/>
        <n v="642366" u="1"/>
        <n v="547830" u="1"/>
        <n v="205" u="1"/>
        <n v="68875985" u="1"/>
        <n v="1008010115" u="1"/>
        <n v="1009" u="1"/>
        <n v="68646675" u="1"/>
        <n v="69629507" u="1"/>
        <n v="680214" u="1"/>
        <n v="68441503" u="1"/>
        <n v="68155562" u="1"/>
        <n v="403000261" u="1"/>
        <n v="1002" u="1"/>
        <n v="642373" u="1"/>
        <n v="7401192400143" u="1"/>
        <n v="641628" u="1"/>
        <n v="68647721" u="1"/>
        <n v="68809921" u="1"/>
        <n v="1008010113" u="1"/>
        <n v="68875982" u="1"/>
        <n v="69629500" u="1"/>
        <n v="1021" u="1"/>
        <n v="1008" u="1"/>
        <n v="642304" u="1"/>
        <n v="67519203" u="1"/>
        <n v="68524853" u="1"/>
        <n v="68882798" u="1"/>
        <n v="50491132" u="1"/>
        <n v="69629504" u="1"/>
        <n v="68455320" u="1"/>
        <n v="1001" u="1"/>
        <n v="68647714" u="1"/>
        <n v="68646586" u="1"/>
        <n v="400000158" u="1"/>
        <n v="642380" u="1"/>
        <n v="68780160" u="1"/>
        <n v="84171222" u="1"/>
      </sharedItems>
    </cacheField>
    <cacheField name="Columna2" numFmtId="0">
      <sharedItems containsBlank="1" count="568">
        <s v="SCH SEDAL SH CERAMIDAS 24X28X10ML"/>
        <s v="SCH SEDAL SH HIALURONICO Y VIT C 24X28X15ML"/>
        <s v="SCH SEDAL CR PEIN RIZ OBED 24X28X9ML"/>
        <s v="SCH SEDAL CR LISO PERFECTO 24X28X9ML"/>
        <s v="SCH DOVE SH OLEO NUTRI 24X28X10ML"/>
        <s v="SCH DOVE SH HIDRA Y SUAVI (ANTICASPA) 24X28X10ML"/>
        <s v="SCH DOVE SUPER AC 60 20X12X12ML (20)"/>
        <s v="DOVE AERO ORQUIDEA 12X87G"/>
        <s v="DOVE AERO AP COCO 12X87G"/>
        <s v="DOVE AERO AP CALENDULA 12X87G"/>
        <s v="REXONA AERO BAMBOO 12X90G"/>
        <s v="AXE AERO AP COLLISION 12X90G"/>
        <s v="PONDS CR  50G S HUMECTANTE NUTRITIVA (24)"/>
        <s v="PONDS CR  50G C PEPINO (24)"/>
        <s v="EGO GEL ATTRAC 4X6X110ML"/>
        <s v="EGO GEL POWER 4x6x200 ML+5 SCH"/>
        <s v="REXONA STICK WOMAN ANTIBAC INVISIBLE 12X50G"/>
        <s v="AXE AERO BS GOLD TEMPTATION 12X97G"/>
        <s v="FOOD KNORR SOPA COST CRIOL C/FID 12X12X55G (144)"/>
        <s v="FOOD MAIZENA F MAIZ NATURAL 20X20X45G (400)"/>
        <s v="FOOD MAIZENA F MAIZ VAINILLA 16X12X45G (192)"/>
        <s v="FOOD MAIZENA ALMIDON MAIZ NATURAL 80X185G"/>
        <s v="FOOD NATURAS SALSA TOMATE RANCHERA 96X90G"/>
        <s v="FOOD NATURAS SALSA TOMATE C/QUESO 96X90G"/>
        <s v="FOOD NATURAS SALSA TOMATE ITALIANA 96X90G"/>
        <s v="FOOD NATURAS SALSA TOMATE C/CARNE 96X90G"/>
        <s v="FOOD HELLMANNS  MAY DYP 12X190G"/>
        <s v="FOOD HELLMANNS MAY DP 12X380G"/>
        <s v="XHC XEDEX MAX POD LIMON 13X800G"/>
        <s v="XHC XEDEX MAX POD FRUTOS BOSQUE 13X800G"/>
        <s v="FOOD NATURAS SALSA SABOR POLLO 96X100G"/>
        <s v="IAK KERNS 154mL COCTEL VEGETALES (48)" u="1"/>
        <s v="AXE AERO VITTO DARK TEMPT 12X58G" u="1"/>
        <s v="REXONA AERO POWER DRY 12X58G" u="1"/>
        <s v="REXONA ROLLON V8 6X30ML" u="1"/>
        <s v="REXONA ROLLON BAMBOO 6X30ML" u="1"/>
        <s v="DOVE MINIROLLON ORIGINAL 6X30ML" u="1"/>
        <s v="IAK KERNS KETCHUP 24X375gr PET" u="1"/>
        <s v="IAK KERNS KETCHUP 776gr PET (12)" u="1"/>
        <s v="XHC XEDEX MAX POD FRUTOS BOSQUE 30X400G" u="1"/>
        <s v="IAK DUCAL FRIJ NEGR LAT 5.5oz (48)" u="1"/>
        <s v="IAK DUCAL FRIJ NEGR LAT 10.5oz (48)" u="1"/>
        <s v="IAK DUCAL FRIJ NEGR LAT 15oz (24)" u="1"/>
        <s v="IAK DUCAL FRIJ NEGR LAT 29oz (12)" u="1"/>
        <s v="IAK DUCAL FRIJ NEGR DyP 8oz (24)" u="1"/>
        <s v="IAK DUCAL FRIJ NEGR DyP 14.1oz (18)" u="1"/>
        <s v="IAK DUCAL FRIJ NEGR DyP 28oz (12)" u="1"/>
        <s v="IAK DUCAL FRIJ NEGR DyP 40oz (12)" u="1"/>
        <s v="IAK DUCAL FRIJ NEGR DyP 96oz (6)" u="1"/>
        <s v="IAK KERNS 330ml NECT MANZANA  (24)" u="1"/>
        <s v="IAK KERNS 330ml NECT MELOCOTON (24)" u="1"/>
        <s v="IAK KERNS 330ml NECT PERA (24)" u="1"/>
        <s v="IAK KERNS 330ml NECT PIÑA (24)" u="1"/>
        <s v="IAK KERNS 330ml COCTEL VEGETALES  (24)" u="1"/>
        <s v="IAK KERNS 330ml COCTEL VEGETALES ALMEJA  (24)" u="1"/>
        <s v="FOOD MAIZENA F MAIZ  FRESA 16X12X45G (192)" u="1"/>
        <s v="IAK DUCAL FRIJ ROJO DyP 8oz (24)" u="1"/>
        <s v="AXE AERO BS COLLISION 12X97G" u="1"/>
        <s v="AXE AERO BS EXCITE 12X97G" u="1"/>
        <s v="FOOD MAIZENA ALMIDON MAIZ NATURAL 40X375G" u="1"/>
        <s v="IAK FUN C REFR MANZ 200ML TETR (24)" u="1"/>
        <s v="IAK FUN C REFR MELOC 200ML TETR (24)" u="1"/>
        <s v="NSK BIC ENCENDEDOR HANDY P/ESTUFA (90)" u="1"/>
        <s v="FOOD NATURAS SALSA TOMATE JALAPENO 96X90G" u="1"/>
        <s v="IAK KERNS PASTA TOMATE LATA 48X6oz" u="1"/>
        <s v="IAK KERNS COCT VEGET 1 LT TETR (12)" u="1"/>
        <s v="IAK KERNS COCT VEGET ALMEJA 1LT (12)" u="1"/>
        <s v="IAK KERNS TETRA NECT MANZ 1000ml (12)" u="1"/>
        <s v="IAK KERNS TETRA NECT MELOC 1000ml (12)" u="1"/>
        <s v="IAK KERNS NECT MANZ TETR 24X250ml" u="1"/>
        <s v="IAK KERNS NECT MELOC TETR 24X250ml" u="1"/>
        <s v="IAK DUCAL FRIJ CHUB ROJO ENT 1.82kgs (6)" u="1"/>
        <s v="IAK DUCAL FRIJ CHUB NEGR ENT 1.82kgs (6)" u="1"/>
        <s v="XHC PFS MAX PODER BLANCO 6X3X400G" u="1"/>
        <s v="XHC PFS MAX PODER AMARILLO 6X3X400G" u="1"/>
        <s v="XHC PFS MAX PODER VERDE 6X3X400G" u="1"/>
        <s v="XHC PFS MAX MB BLANC/VERD DUOX 6X3X500G" u="1"/>
        <s v="XHC PFS MAX MB BLANC/NARAN DUOX 6X3X500G" u="1"/>
        <s v="XHC PFS LIMPIOX AVENA DISCO 108G (72)" u="1"/>
        <s v="XHC PFS MAX BLANC/NARAN DUOX 6X3X400G" u="1"/>
        <s v="XHC PFS MAX BLANC/VERDE DUOX 6X3X400G" u="1"/>
        <s v="DCASA MIRASOL MARG 24X5X80G" u="1"/>
        <s v="QUA SAVILOE 12X320ML(UNIDAD)" u="1"/>
        <s v="DIN MAZOLA ACEITE  BOT 32onz (12)" u="1"/>
        <s v="DIN MAZOLA MANTECA 1LB (50)" u="1"/>
        <s v="DIN MAZOLA ACEITE DYP 400ml (24)" u="1"/>
        <s v="DIN MAZOLA ACEITE DYP 700ml (18)" u="1"/>
        <s v="DIN MAZOLA MARGARINA BARRA 400gr (24)" u="1"/>
        <s v="XHC DIN ZIXX JAB BLANCO 400G (6)" u="1"/>
        <s v="XHC DIN ZIXX JAB VERDE 400G (6)" u="1"/>
        <s v="XHC DIN ZIXX JAB AZUL 400G (6)" u="1"/>
        <s v="XHC DIN ZIXX JAB ROSADO 400G (6)" u="1"/>
        <s v="XHC DIN ZIXX JAB LILA 400G (6)" u="1"/>
        <s v="XHC DIN ZIXX JAB AMARILLO 400G (6)" u="1"/>
        <s v="XHC DIN ZIXX JAB AVENA 400G (6)" u="1"/>
        <s v="XHC DIN ZIXX JAB AQUA 400G (6)" u="1"/>
        <s v="EGO GEL ATTRAC 4/6/200ML+5 SCH" u="1"/>
        <s v="EGO GEL CONTROL CAIDA 24X230ML (24)" u="1"/>
        <s v="REXONA AERO WOMAN TONO PERFECTO 12X90G" u="1"/>
        <s v="SCH SEDAL CR PEIN KERAT 24X28X10ML" u="1"/>
        <s v="SCH SEDAL SH NEGRO LUMINOSO 24X28X9ML" u="1"/>
        <s v="XHC XEDEX P MAXIMO PODER 31X115G" u="1"/>
        <s v="FOOD NATURAS PASTA TRADICIONAL 96X90G" u="1"/>
        <s v="PONDS CR 50G CLARANT B3 SECA (24)" u="1"/>
        <s v="ALD PIN POP SENSATIONS 16X24 (17G)" u="1"/>
        <s v="ALD PIN POP SANDIA 16X24 (16)" u="1"/>
        <s v="ALD YOGUETA SURTIDA RELLENA 16X24  (15G)" u="1"/>
        <s v="ALD YOGUETA CHOCOCARAMEL 16X24 (15G)" u="1"/>
        <s v="ALD YOGUETA MILK 16X24 (15G)" u="1"/>
        <s v="ALD PIN POP MANGO 16X24 (15G)" u="1"/>
        <s v="ALD PIN POP THE MOST WANTED 16X24 (15G)" u="1"/>
        <s v="ALD PIN POP KOLA 16X24 (15G)" u="1"/>
        <s v="ALD YOGUETA MILKY CARAMEL 16X24 (15G)" u="1"/>
        <s v="ALD PIN POP BLACK CHERRY 16X24 (15G)" u="1"/>
        <s v="ALD PIN POP ICE 16X24 (15G)" u="1"/>
        <s v="ALD PLAY GUSANOS 55g (24)" u="1"/>
        <s v="ALD PLAY TORTU SPLASH 55g (24)" u="1"/>
        <s v="ALD PLAY CORAZONES 55g (24)" u="1"/>
        <s v="BYB CHILE JALAPEÑO SEMIPICANTE LATA 96/5.8oz" u="1"/>
        <s v="BYB CHILE JALAPEÑO PICANTE LATA 96/5.8oz" u="1"/>
        <s v="BYB CONCENTRADO DE HORCHATA 24/225 ml" u="1"/>
        <s v="BYB CONCENTRADO DE TAMARINDO 24/225 ml" u="1"/>
        <s v="BYB CONCENTRADO DE HORCHATA 12/678 ml" u="1"/>
        <s v="BYB CONCENTRADO DE JAMAICA 12/678 ml" u="1"/>
        <s v="BYB CONCENTRADO DE MORA 12/678 ml" u="1"/>
        <s v="BYB CONCENTRADO DE NARANJA 12/678 ml" u="1"/>
        <s v="BYB MAYONESA CLASICA BOLSA 48/100g" u="1"/>
        <s v="BYB MAYONESA CLASICA ALMOHADITA 48/100g" u="1"/>
        <s v="BYB MAYONESA CLASICA BOLSA 48/200g" u="1"/>
        <s v="BYB MAYONESA CLASICA BOLSA 32/380g" u="1"/>
        <s v="BYB MAYONESA CLASICA BOLSA 16/880g" u="1"/>
        <s v="BYB MOSTAZA BOLSA 48/100g" u="1"/>
        <s v="BYB SALSA PICAMAS VERDE PLASTICO 48/100g" u="1"/>
        <s v="BYB SALSA PICAMAS ROJA PLASTICO 48/100g" u="1"/>
        <s v="BYB SALSA PICAMAS ALMOHADITA 48/110 g" u="1"/>
        <s v="BYB SALSA T/KETCHUP BOLSA 48/100g" u="1"/>
        <s v="BYB SALSA T/KETCHUP ALMOHADITA 48/110g" u="1"/>
        <s v="BYB SALSA T/KETCHUP ALMOHADITA 48/215g" u="1"/>
        <s v="BYB SALSA T/KETCHUP BOLSA 16/950g" u="1"/>
        <s v="BYB SALSA SOYA PLASTICA 24/152 ml" u="1"/>
        <s v="BYB VINAGRE CLARO 48/100ml" u="1"/>
        <s v="BYB VINAGRE CLARO 24/200ml" u="1"/>
        <s v="BYB VINAGRE CLARO BOTE LARGO 12/750ml" u="1"/>
        <s v="BYB CHEEZ DIP DOY PACK 12/200g" u="1"/>
        <s v="BYB SALSA BARBACOA SQUEZZE PLASTICO 24/14oz" u="1"/>
        <s v="XHC DIN ROKU JAB AMARILLO 375G (4)" u="1"/>
        <s v="XHC DIN ROKU JAB SALMON 375G (4)" u="1"/>
        <s v="XHC DIN ROKU JAB AQUA 375G (4)" u="1"/>
        <s v="DM ESPONJAS (5XBOLSA)" u="1"/>
        <s v="ENV AGUA PURIFICADA SCANDIA 12X600ML" u="1"/>
        <s v="BONI NSK ROLLO PAPEL HIGIENICO" u="1"/>
        <s v="BONI SAVILOE UND 320ML (12)" u="1"/>
        <s v="BONI SAVILOE UND 12X320ML" u="1"/>
        <s v="IPR LOZANO MANZANA 500ML (12)" u="1"/>
        <s v="IQUI CLORO MAGICLOR POPULINO 1X12X6 235ML" u="1"/>
        <s v="NSK LAV AXION TARRO 235g (48)" u="1"/>
        <s v="NSK VANISH WHITE 6X12 U" u="1"/>
        <s v="NSK FABULOSO CITRIC Y FRU 1X6X12U/80ML" u="1"/>
        <s v="NSK FABULOSO LAVANDA 1X6X12U/80ML" u="1"/>
        <s v="NSK AZISTIN LAVANDA 1X6X12U/80ML" u="1"/>
        <s v="NSK SUAVITEL AROM D SOL 1X6X12U/80ML" u="1"/>
        <s v="NSK SUAVITEL COMPL PRIMAV 1X6X12 U" u="1"/>
        <s v="NSK JABON PROTEX BALANCE 110GR (96)" u="1"/>
        <s v="NSK JABON PROTEX ALOE 110GR (96)" u="1"/>
        <s v="NSK JABON PROTEX FRESH 110GR (96)" u="1"/>
        <s v="NSK JABON PROTEX AVENA 110GR (96)" u="1"/>
        <s v="NSK AZISTIN MANZANA 1X6X12U/80ML" u="1"/>
        <s v="NSK COLGATE DOBLE FRESC 75ML+CEPIL (72)" u="1"/>
        <s v="NSK COLGATE KIT DE CEPILL 1X24TXTIRA 6UNDS" u="1"/>
        <s v="NSK COLGATE DOBLE FRESCURA 150ML (72)" u="1"/>
        <s v="NSK COLGATE TRIP ACCION 75 ML+CEPIL (72)" u="1"/>
        <s v="NSK AZISTIN ALTERNATIVO CLORO 1X6X12U/80ML" u="1"/>
        <s v="NSK TAJIN CLASICO TIRA  DE 12 SCH (44T)" u="1"/>
        <s v="NSK BIC ENCENDEDOR MAXI J6 CARTON 15+3 (20)" u="1"/>
        <s v="QUA FRUTY FRESCO 6+6 (12)" u="1"/>
        <s v="PD PEDIALYTE CLASICO 30 MEQ 500ML (12)" u="1"/>
        <s v="PD PEDIALYTE UVA 60 MEQ 500ML (12)" u="1"/>
        <s v="PD PEDIALYTE CEREZA 30 MEQ 500ML (12)" u="1"/>
        <s v="PD PEDIALYTE COCO 30 MEQ 500ML (12)" u="1"/>
        <s v="PD PEDIALYTE FRESA 60 MEQ 500ML (12)" u="1"/>
        <s v="QUA JUGOS YA FRESA 10X15X18 FIT" u="1"/>
        <s v="QUA JUGOS YA LIMON 10X15X18 FIT" u="1"/>
        <s v="QUA JUGOS YA MORA 10X15X18 FIT" u="1"/>
        <s v="QUA JUGOS YA DURAZNO 10X15X18 FIT" u="1"/>
        <s v="QUA JUGOS YA NARANJA 10X15X18 FIT" u="1"/>
        <s v="QUA YUS TAMARINDO 9X15X28g" u="1"/>
        <s v="QUA YUS JAMAICA 9X15X28g" u="1"/>
        <s v="QUA TOKI SURTIDO 25X24X8G" u="1"/>
        <s v="SCH QUA NUTRIBELA 10 48X6X27ML" u="1"/>
        <s v="SCH QUA NUTRIBELA TRAT CAP 24X12X27ML" u="1"/>
        <s v="YAES VINAGRE MANZANA CLEMEN 500ml (24)" u="1"/>
        <s v="YAES MUCHO NACHO BARBACOA 16X12X17gr" u="1"/>
        <s v="YAES GUENOS LIMON 4X12X20gr" u="1"/>
        <s v="YAES ROSTIZADOR EMPAN POLLO 90G (100)" u="1"/>
        <s v="ALC ARROZ GALL DORA PREC 400G (25)" u="1"/>
        <s v="ALC ARROZ MACARE BLANC 400G (25)" u="1"/>
        <s v="KELL CORN FLAKES 28X150G (28)" u="1"/>
        <s v="KELL CHOCO KRISPIS MINI SCH 5X12X22G (5)" u="1"/>
        <s v="FOS FOSFOROS FOGATA 10x10" u="1"/>
        <s v="FOS FOSFOROS MADERA GALLO 10X10" u="1"/>
        <s v="XHC PFS CENTELLA CHIBOLONA VERDE 4X3X375G" u="1"/>
        <s v="XHC PFS CENTELLA CHIBOLONA BLANCA 4X3X375G" u="1"/>
        <s v="XHC PFS MAX BLANC/AZUL DUOX 6X3X400G" u="1"/>
        <s v="XHC PFS MAX MB BLANCA 6X3X500G" u="1"/>
        <s v="DOVE AERO INVISIBLE DRY WOMAN 12X89G" u="1"/>
        <s v="FOOD HELLMANNS MOST DYP 12X100G" u="1"/>
        <s v="FOOD KNORR SOPA POLLO C/FIDEO 12X12X55G (144)" u="1"/>
        <s v="DOVE AERO ORIGINAL 12X89G" u="1"/>
        <s v="ALC ORO MAY  HARIN MAIZ BLANC 800 (9)" u="1"/>
        <s v="ALC ARROZ ESTRELLA BLANCO 350G (25)" u="1"/>
        <s v="DIN MAZOLA MARGARINA BARRA 6X5X400gr (24)" u="1"/>
        <s v="EGO GEL ATTRAC 6/30/12ML" u="1"/>
        <s v="DOVE AEROSOL AP ROSAS 12X87G" u="1"/>
        <s v="SCH SEDAL CR LISO PERFECTO 24X28X10ML" u="1"/>
        <s v="SCH SEDAL SH NEGRO LUM 24X28X10ML" u="1"/>
        <s v="FOOD NATURAS SSA TOMATE RANCHERA 24X200G" u="1"/>
        <s v="FOOD KNORR SOPA GAL CRIOL C/FIDEOS 12X12X54G (144)" u="1"/>
        <s v="ALD SONETTO CHOCOLATE BLANCO 16X100 (4G)" u="1"/>
        <s v="ALD PIN POP ASSORTED 16X24 (15G)" u="1"/>
        <s v="ALD PIN POP PINTALENGUA 16X24 (15G)" u="1"/>
        <s v="ALD PIN POP FRESA 16x24 (15G)" u="1"/>
        <s v="ARE SABUESO CACHORRO 40X420G" u="1"/>
        <s v="ARE SABUESO ADULTO 40X454G" u="1"/>
        <s v="BEST GALLETA MANI 24X12X20G (24)" u="1"/>
        <s v="BEST GALLETA FRESA 24X12X20G (24)" u="1"/>
        <s v="BEST GALLETA CHOCOLATE 24X12X20G (24)" u="1"/>
        <s v="BEST BOTONETAS MANI 20X24X9G (20)" u="1"/>
        <s v="BEST BOTONETAS CHOCOLATE 20X24X9G (20)" u="1"/>
        <s v="BYB MERMELADA DE FRESA VASO 12/260g" u="1"/>
        <s v="BYB MERMELADA DE PIÑA VASO 12/260g" u="1"/>
        <s v="BYB MANTEQUILLA DE MANI VASO 24/245g" u="1"/>
        <s v="BYB MOSTAZA BOLSA 48/200g" u="1"/>
        <s v="BYB SALSA PICAMAS VERDE BOLSA 32/454g" u="1"/>
        <s v="BYB SALSA T/KETCHUP BOLSA 32/435g" u="1"/>
        <s v="BYB SALSA INGLESA PLASTICA 48/3.5onz" u="1"/>
        <s v="BYB SALSA SOYA PLASTICA 48/3.5oz" u="1"/>
        <s v="BYB VINAGRE CLARO 24/360ml" u="1"/>
        <s v="BYB SALSA BARBACOA DOY PACK 24/95g" u="1"/>
        <s v="DCASA PAPEL ENCANTO GDE. 1X12X4 (12)" u="1"/>
        <s v="DCASA HEINZ MANZANA FLEX 24X113G" u="1"/>
        <s v="DCASA HEINZ BANANO FLEX 24X113G" u="1"/>
        <s v="DCASA HEINZ MELOCOTO FLEX 24X113G" u="1"/>
        <s v="DCASA HEINZ FRUTA MIX FLEX 24X113G" u="1"/>
        <s v="IAK KERNS KETCHUP SCH 52GR (144)" u="1"/>
        <s v="IAK KERNS 157mL COCTEL VEGETALES (48)" u="1"/>
        <s v="IAK DUCAL BEB TETR MELOC 200ml (24)" u="1"/>
        <s v="IAK DUCAL BEB TETR MANZ 200ml (24)" u="1"/>
        <s v="IAK DUCAL FRIJ NEGR DyP 4oz (24)" u="1"/>
        <s v="NSK VANISH PINK 6X12 U" u="1"/>
        <s v="NSK SUAVITEL ROSADO 6X12X80ML" u="1"/>
        <s v="UNS GALLE CAFE COFFEE JOY 6x18x45gr" u="1"/>
        <s v="UNS BOMBILLO LED 9 Watt" u="1"/>
        <s v="BEST BOTE CHOCOGOL 150u (12)" u="1"/>
        <s v="BEST CHOCOPANDA CHOCOLATE 25X12X14G" u="1"/>
        <s v="QUA JUGOS YA JAMAICA 10X15X18 FIT" u="1"/>
        <s v="QUA JUGOS YA PINA 10X15X18 FIT" u="1"/>
        <s v="QUA JUGOS YA MANGO 10X15X18 FIT" u="1"/>
        <s v="QUA YUS HORCHATA 9X15X28g" u="1"/>
        <s v="QUA YUS FRESA 9X15X28g" u="1"/>
        <s v="QUA YUS DURAZNO 9X15X28g" u="1"/>
        <s v="QUA YUS NARANJA 9X15X28g)" u="1"/>
        <s v="QUA YUS PIÑA 9X15X28g" u="1"/>
        <s v="YAES MUCHO NACHO SALSA DE QUESO 105 G (30)" u="1"/>
        <s v="YAES MUCHO NACHO ROSTIZADO 390G (12)" u="1"/>
        <s v="ALD PLAY OSOS RELLENOS 55g (24)" u="1"/>
        <s v="ALD PLAY BANANAS 55g (24)" u="1"/>
        <s v="ALD PLAY TIBURONES 55g (24)" u="1"/>
        <s v="YAES SAL DE MESA REFINADA 25/400G" u="1"/>
        <s v="REXONA AERO V8 12X58G" u="1"/>
        <s v="BONI DIN CUBETA PLASTICA" u="1"/>
        <s v="QUA SAVILOE 12X500ML (UNIDAD)" u="1"/>
        <s v="BONI QUA SAVILOE FRUTOS ROJOS UND 500ML (12)" u="1"/>
        <s v="QUA SAVILOE FRUTOS ROJOS 12X500ML" u="1"/>
        <s v="BONI SAVILOE UND 12X320ML (NUTRIBELA)" u="1"/>
        <s v="NSK TAJIN CLASICO TIRAá DE 12 SCH (44T)" u="1"/>
        <s v="REXONA STICK CLIN EXTRA DRY EXP 12X46G" u="1"/>
        <s v="NSK BIC RASURADORA CONFORT 2 12 (48)" u="1"/>
        <s v="REXONA STICK FM ANTIBAC  INVISIBLE 12X50G" u="1"/>
        <s v="BYB SALSA T/KETCHUP BOLSA 48/215g" u="1"/>
        <s v="QUA PIL SAVILOE" u="1"/>
        <s v="BYB SALSA INGLESA PLASTICA 24/152 ml" u="1"/>
        <s v="REXONA STICK MEN ANTIBAC 12X50G" u="1"/>
        <s v="ALD YOGUETA COOKIES &amp; CREAM 16X24 (15G)" u="1"/>
        <s v="PONDS CR 100G CLARANT B3 GRASA (24)" u="1"/>
        <s v="REXONA STICK WOMAN ANTIBAC FRESH 12X50G" u="1"/>
        <s v="QUA BONTEA LIMON 10X12X30G" u="1"/>
        <s v="REXONA STICK AP SPORFAN 12X50G" u="1"/>
        <s v="QUA BONTEA DURAZNO 10X12X30G" u="1"/>
        <s v="FOOD NATURAS JUMB SSA RANCH 24X90G" u="1"/>
        <s v="XHC DOVE JAB CUIDA PROTEGE 48X90G" u="1"/>
        <s v="QUA BONTEA MANZANA 10X12X30G" u="1"/>
        <s v="BYB CONCENTRADO DE TAMARINDO 12/678 ml" u="1"/>
        <s v="DIN MAZOLA MARGARINA  AJO/HIERBAS 400GR (24)" u="1"/>
        <s v="PD PEDIALYTE MANZANA 60 MEQ 500ML (12)" u="1"/>
        <s v="FOOD HELLMANNS MAY DYP 12X100G" u="1"/>
        <s v="BYB CHILE JALAPEÐO SEMIPICANTE LATA 96/5.8oz" u="1"/>
        <s v="ALD PIN POP X2 16X24 (15G)" u="1"/>
        <s v="XHC XEDEX MAX POD LIMON 30X400G" u="1"/>
        <s v="FOOD KNORR SOPA POLL VERD CODITO 12X12X54G (144)" u="1"/>
        <s v="XHC XEDEX P PROTECCION COLOR 15X900G" u="1"/>
        <s v="XHC XEDEX P MAXIMO PODER 30X400G" u="1"/>
        <s v="DOVE STICK ORIGINAL 12X50G" u="1"/>
        <s v="REXONA STICK BAMBOO 12X50G" u="1"/>
        <s v="AXE AERO BS DARK TEMPT 12X97G" u="1"/>
        <s v="AXE AERO BS ICE CHILL 12X97G" u="1"/>
        <s v="AXE AERO AP ICE CHILL 12X88G" u="1"/>
        <s v="EGO GEL ATTRAC 4x6x200ML" u="1"/>
        <s v="SEDAL CR 300 ML PEIN RIZOS OBEDIENTES (12)" u="1"/>
        <s v="SEDAL CR 300 ML PEIN LISOS PERFEC (12)" u="1"/>
        <s v="SCH DOVE SH RECON COMPL SUP 24X28X10ML" u="1"/>
        <s v="XHC DOVE JAB BABY HUMECTANTE 48X75G" u="1"/>
        <m u="1"/>
        <s v="ALC ARROZ MACAREN PREC 400G (25)" u="1"/>
        <s v="KELL CHOCO KRISPIS 28X290G (28)" u="1"/>
        <s v="KELL CORN FLAKES 16X500 (16)" u="1"/>
        <s v="KELL FROOT LOOPS 28X180G (28)" u="1"/>
        <s v="PORFIN MARGARINA ORISOL 400gr (24)" u="1"/>
        <s v="FOS FOSFOROS FOGATA ECO 12X10" u="1"/>
        <s v="FOS Fosforos Propasa 10x10" u="1"/>
        <s v="FOS ENCENDEDOR FRAGATA MINI 40X25" u="1"/>
        <s v="XHC PFS CENTELLA CAMPEON VERDE 6X4X330G" u="1"/>
        <s v="XHC PFS CENTELLA CAMPEON BLANCO 6X4X330G" u="1"/>
        <s v="XHC PFS MAX PODER AZUL  6X3X400G" u="1"/>
        <s v="XHC PFS MAX PODER ROSADO 6X3X400G" u="1"/>
        <s v="XHC PFS MAX PODER NARANJA 6X3X400G" u="1"/>
        <s v="XHC PFS LIMPIOX CILINDRO LIMON 18X320G" u="1"/>
        <s v="ALC ARROZ ESTRELLA PRECO 350G (25)" u="1"/>
        <s v="DIN ISSIMA MARGARINA 400gr (24)" u="1"/>
        <s v="DIN SOPA ISSIMA POLLO (12)" u="1"/>
        <s v="SCH SAVILE SH ARGAN 24X28X15ML" u="1"/>
        <s v="BEST CHOCOFRUTA 50x400G" u="1"/>
        <s v="BEST GALLETA CHAPETIN 24X12 (24)" u="1"/>
        <s v="BYB MIEL DE MAPLE GARRAFA 24/330 ml" u="1"/>
        <s v="BYB SALSA PICAMAS VERDE BOLSA 48/100g" u="1"/>
        <s v="BEST CAFE BARISTA SOLUBLE 12X24X8g" u="1"/>
        <s v="DCASA GELATINA POLVO UVA 28X400g" u="1"/>
        <s v="DCASA GELATINA POLVO FRESA 28X400g" u="1"/>
        <s v="DCASA GELATINA POLVO NARANJA 28X400g" u="1"/>
        <s v="DCASA PAPEL ENCANTO MIL HOJAS ROLLO (24)" u="1"/>
        <s v="BONI NSK 1 BOLSA KIT CEPILLO" u="1"/>
        <s v="BONI COCA COLA 355 ML" u="1"/>
        <s v="BONI SOMBRILLAS PEDIALYTE" u="1"/>
        <s v="BONI PORFIN LIMPIOX AZUL 85g (72)" u="1"/>
        <s v="BONI QUA FRIJOL NEGRO LAT 5.5 OZ (48)" u="1"/>
        <s v="IPR LOZANO UVA 500ML (12)" u="1"/>
        <s v="IAK BAMB MOJITO 350ml LATA (24)" u="1"/>
        <s v="IAK DUCAL BEB ALUMIN MELOC 330ml (24)" u="1"/>
        <s v="IAK DUCAL BEB ALUMIN PIÑA 330ml (24)" u="1"/>
        <s v="IAK DUCAL BEB HOJALAT MANZ 154ml (48)" u="1"/>
        <s v="IAK DUCAL BEB HOJALAT PIÑA 154ml (48)" u="1"/>
        <s v="IAK DUCAL BEB ALUMIN MANZ 330ml (24)" u="1"/>
        <s v="IAK BAMB DAIQUIRI FRESA 350ml LT (24)" u="1"/>
        <s v="IAK DUCAL FRIJ ROJO PICANT DyP 8oz (24)" u="1"/>
        <s v="IAK DUCAL BEB HOJALAT MELOC 154ml (48)" u="1"/>
        <s v="IAK BAMB PIÑA COLADA 350ml LATA (24)" u="1"/>
        <s v="IAK DE MI TIERRA FRIJ VOLT NEGRO 35OZ DP (12)" u="1"/>
        <s v="IAK KERNS PASTA TOMATE 4 Oz DyP (48)" u="1"/>
        <s v="NSK LAVAPLATOS POTENSOL CILINDRO 400 GR (20)" u="1"/>
        <s v="NSK LAVAPLATOS POTENSOL MARQUETA 215GR (42)" u="1"/>
        <s v="UNS GOMA DE MASCAR TUMIX MENTA 30x110x1.4g" u="1"/>
        <s v="UNS GOMA DE MASCAR TUMIX SURTIDO 30x110x1.4g" u="1"/>
        <s v="UNS CAR MENTOLADO JAAZZ CLOROFILA 100und (30)" u="1"/>
        <s v="UNS OSITO MIEL QUEENBEE 340gr (24)" u="1"/>
        <s v="BEST GALLETA FRESA 24X12X22G (24)" u="1"/>
        <s v="BEST GALLETA MANI 24X12X22G (24)" u="1"/>
        <s v="TERMO GABACHA MINI/PIWI (26)" u="1"/>
        <s v="TERMO GABACHA #1 (26)" u="1"/>
        <s v="TERMO GABACHA #2 (12)" u="1"/>
        <s v="TERMO BOLSA TRANSPARENTE 2 Lbs (36)" u="1"/>
        <s v="TERMO BOLSA TRANSPARENTE 3 Lbs (30)" u="1"/>
        <s v="IAK KERNS TETRA NECT FRUTAS 1000ml (12)" u="1"/>
        <s v="REXONA AERO CLEAN CLASSIC WOMAN 12X91G" u="1"/>
        <s v="REXONA AERO ACTIVE DRY 12X89G" u="1"/>
        <s v="ALC ARROZ MOLINER BLANC 400G (25)" u="1"/>
        <s v="XHC PFS CENTELLA CHIBOLONA AVENA 4X3X375G" u="1"/>
        <s v="BEST MENTAS 50X12X13g (50)" u="1"/>
        <s v="DCASA HEINZ PERA FLEX 24X113G" u="1"/>
        <s v="DCASA HEINZ CIRUELA/PASAS FLEX 24X113G" u="1"/>
        <s v="DCASA GELATINA POLVO PIÑA 28X400g" u="1"/>
        <s v="DCASA GELATINA POLVO CHICLE 28X400g" u="1"/>
        <s v="IAK DUCAL BEB TETR  PIÑA 200ML (24)" u="1"/>
        <s v="IAK DUCAL FRIJ CARNICOS LAT 14oz (24)" u="1"/>
        <s v="IAK DUCAL FRIJ CARNICOS LAT 5 oz (48)" u="1"/>
        <s v="UNS EXTENSION DOMESTICA SPT  8MTS" u="1"/>
        <s v="SCH SEDAL CR PEIN KERAT 12X24X10ML+SH" u="1"/>
        <s v="FOOD MAIZENA FECULA MAIZ NATURAL 20X20X45G (400)" u="1"/>
        <s v="NSK BIC BOLIGRAFO AZUL 12 (100)" u="1"/>
        <s v="KELL CHOCO KRISPI SCH 8X6X150G (8)" u="1"/>
        <s v="IAK BLISS HAPPY MIX 350ml VIDR (24)" u="1"/>
        <s v="BONI NSK BIC ENCENDEDOR J6 MAXI (75)" u="1"/>
        <s v="SCH SAVILE SH ANTICASPA 24X28X15ML (24)" u="1"/>
        <s v="SCH SEDAL SH 2EN1 KERAT C/ANTIOX 24X28X10ML" u="1"/>
        <s v="BONI QUA GALLETA BEST MANI 24X12" u="1"/>
        <s v="NSK LAVAPLATOS AXION LIMON TIRA 115GR (6)" u="1"/>
        <s v="NSK BIC BOLIGRAFO NEGRO 12 (100)" u="1"/>
        <s v="SEDAL AC 340 ML RIZOS DEFINIDOS (12)" u="1"/>
        <s v="SEDAL SH 340 ML RIZOS DEFINIDOS (12)" u="1"/>
        <s v="AMS PAPEL HIG MAX PAP. 12X4 MEJOR QUE 1000 HD" u="1"/>
        <s v="NSK LA MODERNA CODO 2 50x200G" u="1"/>
        <s v="BEST BOTONETAS MANI 20X24X13G (20)" u="1"/>
        <s v="BONI IAK PALETA DE MADERA" u="1"/>
        <s v="BEST CHOCOFRUTA 10X 1600G (10)" u="1"/>
        <s v="IAK KERNS KETCHUP SALSA GALON (3)" u="1"/>
        <s v="DCASA GELATINA POLVO FRAMB.25X450g" u="1"/>
        <s v="REXONA AERO ANTIBAC INVISIBLE MEN 12X90G" u="1"/>
        <s v="QUA YUS SABILA 9X15X28G" u="1"/>
        <s v="QUA YUS GUANABA 9X15X28g)" u="1"/>
        <s v="BONI IAK VASO PLASTICO KERNS" u="1"/>
        <s v="GRECO CHOCOCHIPS GALLETA 240gr (24)" u="1"/>
        <s v="DIN MAZOLA MARGARINA LIGHT 400GR (24)" u="1"/>
        <s v="QUA JUGOS YA DURAZNO 10X15" u="1"/>
        <s v="FOOD NATURAS SALSA TOMATE RANCHERA 96X100G" u="1"/>
        <s v="AMS SERVILLETA MAX PAPPEL 10X1X100 CUADRADA" u="1"/>
        <s v="NSK LAVAPLATOS  POTENSOL MARQUETA 215GR (42)" u="1"/>
        <s v="BONI ALC HARINA ORO MAYA 800g (9)" u="1"/>
        <s v="XHC XEDEX P SUAVIZ YLANG 30X115G" u="1"/>
        <s v="AMS PAPEL HIG LUCCA 24X1X168 NARANJA HD" u="1"/>
        <s v="XHC PFS CENTELLA CHIBOLONA AZUL 4X3X400G" u="1"/>
        <s v="FOS FOSFOROS AGUILA 2X10X5" u="1"/>
        <s v="QUA NUTRIBELA TRAT CAP 24X12X27ML" u="1"/>
        <s v="BONI PROMOV" u="1"/>
        <s v="IAK DUCAL FRIJ CARNICOS LAT 28oz (12)" u="1"/>
        <s v="IAK DUCAL FRIJ NEGR LAT 5.5oz PROMO (48)" u="1"/>
        <s v="EGO GEL ATTRAC 6/1000ML" u="1"/>
        <s v="IAK KERNS TE DURAZNO 2500ml (6)" u="1"/>
        <s v="AMS TOALLA FEM FEELING MAXI NOCTURNA 12X8" u="1"/>
        <s v="ALD SONETTO SURTIDO 16X100 (4G)" u="1"/>
        <s v="NSK LA MODERNA SUR GALLETAS 1143KG" u="1"/>
        <s v="FOOD KNORR SOPA GAL C/CONCHI 12X12X54G" u="1"/>
        <s v="NSK LA MODERNA GALL MARIA VAINILLA 20x170G" u="1"/>
        <s v="XHC XEDEX P MAXIMO PODER 13X900G" u="1"/>
        <s v="XHC DIN ROKU JAB AMARILLO 400G (4)" u="1"/>
        <s v="BONI QUA JUGO YA HORCHATA" u="1"/>
        <s v="BONI UL NATURAS POLLO 36G (36)" u="1"/>
        <s v="NSK BIC ENCENDEDOR MAXI J6 5+1 (60)" u="1"/>
        <s v="NSK LA MODERNA MACARRON LARGO 20x200G" u="1"/>
        <s v="BONI NSK JABON PROTEX FRESH 110GR (96)" u="1"/>
        <s v="FOOD MAIZENA ALMIDON MAIZ NATURAL 40X380G" u="1"/>
        <s v="XHC PFS CENTELLA CHIBOLONA BLANCA 6X3X400G" u="1"/>
        <s v="FOS FOSFOROS CABALLO ROJO 24x10" u="1"/>
        <s v="NSK BIC ENCENDEDOR MINI J5 (75)" u="1"/>
        <s v="DCASA HEINZ POSTRE  FLEX 24X113G" u="1"/>
        <s v="BONI DIN SALSA ISSIMA RANCHERA 106g (96)" u="1"/>
        <s v="FOOD MAIZENA FECULA MAIZ NATURAL 20X20X45G" u="1"/>
        <s v="BONI ALC ARROZ GALLO DORADO 400g (25)" u="1"/>
        <s v="IAK KERNS NECT PERA TETR 250ml (24)" u="1"/>
        <s v="AXE AERO BS BLACK 12X97G" u="1"/>
        <s v="ALC ORO MAY HARIN MAIZ BLANC 400G (20)" u="1"/>
        <s v="NSK LA MODERNA CODO 3 42x200G" u="1"/>
        <s v="XHC DIN VENZA JABON SABILA 110g (72)" u="1"/>
        <s v="QUA JUGOS YA PIÑA 10X15" u="1"/>
        <s v="NSK BIC MAXI J6 CARTÓN 15+3 (20)" u="1"/>
        <s v="AMS PAPEL HIGENICO LUCCA 24X1X1000 MEJOR HD" u="1"/>
        <s v="IAK KERNS TE FRAMBUES 2500ml (6)" u="1"/>
        <s v="FOOD HELLMANNS  MAY DYP 12X190G" u="1"/>
        <s v="XHC XEDEX P SUAV B PRIMAV 15X900G" u="1"/>
        <s v="QUA JUGOS YA HORCHATA 10X15X18 FIT" u="1"/>
        <s v="XHC XEDEX P MULTI LIMP ACTIVA 20X250G" u="1"/>
        <s v="BIOKLAR SPRAY DESIN SIN FRAG 250ML (24)" u="1"/>
        <s v="FOOD NATURAS SALSA TOMATE C/CARNE 96X100G" u="1"/>
        <s v="NSK LA MODERNA CODITOS QUESO 20x200G" u="1"/>
        <s v="NSK LAVAPLATOS AXION 235G UNIDAD  (48)" u="1"/>
        <s v="NSK LAVAPLATOS DOÑA BCA.CILINDRO 170GR(6)" u="1"/>
        <s v="FOOD KNORR SOPA GAL CRIOL C/FIDEOS 12X12X54G" u="1"/>
        <s v="FOOD MAIZENA FECULA BAN/FRESA/VAIN 16X12X45G" u="1"/>
        <s v="GOMITAS 4 OSOS 12X2X20X4" u="1"/>
        <s v="QUA FRUTY F SURTIDO 8X18X14G" u="1"/>
        <s v="DCASA GELATINA POLVO MELOC.28X400g" u="1"/>
        <s v="SEDAL SH 340 ML LISO PERFECTO (12)" u="1"/>
        <s v="ALC ORO MAY HARIN MAIZ BLANC 50LBS (1)" u="1"/>
        <s v="IAK DUCAL FRIJ ROJO PICANT DyP 14oz (18)" u="1"/>
        <s v="XHC PFS CENTELLA CHIBOLONA AMARILLO 4X3X400G" u="1"/>
        <s v="SCH QUA NUTRIBELA 10 9+3 (24)" u="1"/>
        <s v="NSK COLGATE DOBLE FRESCURA 150ML" u="1"/>
        <s v="IAK DUCAL BEB ALUMIN PERA 330ml (24)" u="1"/>
        <s v="NSK BIC ENCENDEDOR J6 MAXI (75)" u="1"/>
        <s v="AMS TOALLA HUMEDA LUCCA PREMIUM 12X72" u="1"/>
        <s v="BONI ALC ARROZ MOLINERO BLANCO 400g (25)" u="1"/>
        <s v="MA CREMA AVENA 50X100G" u="1"/>
        <s v="XHC DIN ROKU JAB AQUA 400G (4)" u="1"/>
        <s v="IAK GOYA MAIZ ENTERO 15.25 ONZ (24)" u="1"/>
        <s v="NSK LA MODERNA PASTA SPAGHETTI 60x200G" u="1"/>
        <s v="BYB MERMELADA DE FRESA DOY PACK 24/200g" u="1"/>
        <s v="FOOD KNORR SOPA POLLO C/FIDEO 12X12X55G" u="1"/>
        <s v="NSK LA MODERNA GALL MARIANITA NUEZ 20x185G" u="1"/>
        <s v="IPR MIEL MAPLE 360ML (12)" u="1"/>
        <s v="GRECO CANASTICAS GALLETA MORA ROJA 270gr (24)" u="1"/>
        <s v="NSK LA MODERNA CARACOL 3 42x200G" u="1"/>
        <s v="XHC XEDEX P SUAVIZ YLANG 15X900G" u="1"/>
        <s v="ALD PIN POP WATERMELON 16X24 (15G)" u="1"/>
        <s v="DOVE AERO INVISIBLE DRY MEN 12X89G" u="1"/>
        <s v="FOOD NATURAS JUMB SSA RANCH 24X100G" u="1"/>
        <s v="BONI UL AZUCAR MORENA 230G" u="1"/>
        <s v="BONI ALC ARROZ ESTRELLA PRECOCIDO 350g (25)" u="1"/>
        <s v="MA AVENA MOSH 100X40G" u="1"/>
        <s v="XHC PFS MAX MB NARANJA 6X3X500G" u="1"/>
        <s v="KELL FROOT LOOPS MINI SCH 5X12X22G (5)" u="1"/>
        <s v="FOS ENCENDEDORES FRAGATA MINI 10X12X3 (3 PACK)(10)" u="1"/>
        <s v="EGO GEL POWER 4X6X110ML" u="1"/>
        <s v="ALD BIAGI CAFE 16X100" u="1"/>
        <s v="XEDEX MULTIACCION PVO 30x115G" u="1"/>
        <s v="XHC DIN ROKU JAB SALMON 400G (4)" u="1"/>
        <s v="NSK BIC ENCENDEDOR MAXI J6 CARTON 15u (25)" u="1"/>
        <s v="TERMO BOLSA COLOR 5 Lbs (46)" u="1"/>
        <s v="XHC XEDEX P ANTIBACT 20X250G" u="1"/>
        <s v="MA AVENA PERLADA 50X165G" u="1"/>
        <s v="REXONA STICK MEN V8 12X50G" u="1"/>
        <s v="MA AVENA MOSH ESTRELLA 25X360G" u="1"/>
        <s v="FOS PALITO CHOCOBANANO EL SOL 36X150u" u="1"/>
        <s v="IAK KERNS JUNIOR MANZ TETRA 200ml (24)" u="1"/>
        <s v="IAK KERNS JUNIOR MELOC TETR 200ml (24)" u="1"/>
        <s v="XHC XEDEX P MULTIACCION 15X900G" u="1"/>
        <s v="DIN ISSIMA PAST TOMAT ROJITA 106g (96)" u="1"/>
        <s v="FOOD NATURAS SALSA C/QUESO 96X100G" u="1"/>
        <s v="QUA FRUTY FRESCO 9+9 (8)" u="1"/>
        <s v="BONI QUA SAVILOE UND 500ML (12)" u="1"/>
        <s v="BONI QUA NUTRIBELA 10 24X12X27ML" u="1"/>
        <s v="NSK COLGATE KIT DE CEPILL 1X24TX6UNDS" u="1"/>
        <s v="BONI NSK  KIT DE CEPILLADO COLGATE UND" u="1"/>
        <s v="SEDAL SH 340 ML KERATINA C ANTIOX (12)" u="1"/>
        <s v="XHC XEDEX P ANTIBAC 15X900G" u="1"/>
        <s v="IPR MERMELADA PINA 12OZ (24)" u="1"/>
        <s v="IAK KERNS KETCHUP 8grs SACH 1000u" u="1"/>
        <s v="NSK BIC RASURADORA CONFORT 2 12+2 (48)" u="1"/>
        <s v="MA AVENA INTEGRAL 100X40G" u="1"/>
        <s v="NSK HOT CAKE CAJA 12x500G" u="1"/>
        <s v="KMD EL ARTESANO SALSA COBANERO 95g" u="1"/>
        <s v="SCH SAVILE SH 2EN1 24X28X15ML" u="1"/>
        <s v="BONI NSK SPAGHETTI 60x200G" u="1"/>
        <s v="AXE AERO BS EPIC FRESH 12X97G" u="1"/>
        <s v="QUA YUS FRUTAS TROPICALES 9x15x28g" u="1"/>
        <s v="QUA YUS LIMONADA CON CHAN 9X15X28g" u="1"/>
        <s v="BYB CHILE JALAPEÑO LA CONTENTA LATA 48/180g" u="1"/>
        <s v="DCASA GELATINA POLVO LIMON 28X400g" u="1"/>
        <s v="GRECO GALL CHOCOCHIPS MINI 16X" u="1"/>
        <s v="AMS TOALLAS HUMEDAS BABY STAR 24X40" u="1"/>
        <s v="IAK DUCAL FRIJ ROJO DyP 14.1oz (18)" u="1"/>
        <s v="BEST GALLETA CHOCOLATE 24X12X22G (24)" u="1"/>
        <s v="FOOD KNORR SOPA POLL VERD CODITO 12X12X54G" u="1"/>
        <s v="AXE AERO BS APOLLO 12X97G" u="1"/>
        <s v="KELL CHOCO KRISPIS 24X620G (24)" u="1"/>
        <s v="BEST BOTONETA CHOCOLATE 80X6X20G (80)" u="1"/>
        <s v="MA AVENA FORTIFICADA 25X454G" u="1"/>
        <s v="FOS PALILLOS MADERA 12X12X250u" u="1"/>
        <s v="FOOD NATURAS SALSA ITALIANA CL 96X100G" u="1"/>
        <s v="XHC DIN VENZA JABON VITAMINA E 110g (72)" u="1"/>
        <s v="FOOD KNORR SOPA COST CRIOL C/FID 12X12X55G" u="1"/>
        <s v="FOOD KNORR SOPA GAL C/ARROZ CHIP 12X12X55G" u="1"/>
        <s v="TERMO BOLSA TRANSPARENTE 1 Lbs (60)" u="1"/>
        <s v="XHC XEDEX P SUAVIZ B PRIMAV 30X115G" u="1"/>
        <s v="BONI IAK DUCAL FRIJOL NEGRO DyP 8 ONZ" u="1"/>
        <s v="IAK KERNS TETRA NECT MANGO 1000ml (12)" u="1"/>
        <s v="TERMO BOLSA DE BASURA NEGRA 24X35 (100)" u="1"/>
        <s v="KMD EL ARTESANO SALSA CHILTEPE 95g" u="1"/>
        <s v="XHC XEDEX P PROTECCION COLOR 20X250G" u="1"/>
        <s v="NSK LAVAPLATOS DOÑA BCA.CILINDRO 250 GR (24)" u="1"/>
        <s v="NSK LA MODERNA PLUMA 42x200G" u="1"/>
        <s v="SCH QUA NUTRIBELA 10 6+6 (24)" u="1"/>
        <s v="XHC DIN VENZA JABON AVENA 110g (72)" u="1"/>
        <s v="XHC DOVE JAB BLANCO ORIGINAL 48X90G" u="1"/>
        <s v="SCH SEDAL CR PEIN RIZ OBED 24X28X10ML" u="1"/>
        <s v="SCH SEDAL SH LISO PERFECTO 24X28X10ML" u="1"/>
        <s v="KELL ZUCARITAS MINI SCH 5X12X20G" u="1"/>
        <s v="XHC DIN VENZA JABON FRESCURA EXTR 110g (72)" u="1"/>
        <s v="SCH SEDAL SH 2EN1 CERAMIDAS 12X24X10ML+4 SCH" u="1"/>
        <s v="NSK LA MODERNA MOÑO 42x180G" u="1"/>
        <s v="BONI ALC ARROZ ESTRELLA BLANCO 350g (25)" u="1"/>
        <s v="NSK BIC RASURADORA SHAVER SENS 24+4 (24)" u="1"/>
      </sharedItems>
    </cacheField>
    <cacheField name="Columna3" numFmtId="0">
      <sharedItems containsSemiMixedTypes="0" containsString="0" containsNumber="1" containsInteger="1" minValue="1" maxValue="3840"/>
    </cacheField>
    <cacheField name="Columna4" numFmtId="0">
      <sharedItems containsSemiMixedTypes="0" containsString="0" containsNumber="1" minValue="9.9124999999999991E-2" maxValue="2.65"/>
    </cacheField>
    <cacheField name="Columna5" numFmtId="0">
      <sharedItems containsSemiMixedTypes="0" containsString="0" containsNumber="1" minValue="0.11041666666666666" maxValue="762.0000000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157411" createdVersion="8" refreshedVersion="8" minRefreshableVersion="3" recordCount="2" xr:uid="{50A436B9-0636-4479-9D9C-AA9855EBC7A1}">
  <cacheSource type="worksheet">
    <worksheetSource name="RUTA478"/>
  </cacheSource>
  <cacheFields count="5">
    <cacheField name="Columna1" numFmtId="0">
      <sharedItems containsSemiMixedTypes="0" containsString="0" containsNumber="1" containsInteger="1" minValue="201" maxValue="7401192400143" count="313">
        <n v="69761861"/>
        <n v="69761868"/>
        <n v="10010010010" u="1"/>
        <n v="10020010007" u="1"/>
        <n v="10020040002" u="1"/>
        <n v="1008010073" u="1"/>
        <n v="1008011812" u="1"/>
        <n v="1008013091" u="1"/>
        <n v="1008014100" u="1"/>
        <n v="400000033" u="1"/>
        <n v="400000127" u="1"/>
        <n v="400000158" u="1"/>
        <n v="50491100" u="1"/>
        <n v="50491102" u="1"/>
        <n v="50491106" u="1"/>
        <n v="50491107" u="1"/>
        <n v="50491108" u="1"/>
        <n v="50491109" u="1"/>
        <n v="50491122" u="1"/>
        <n v="50491131" u="1"/>
        <n v="50491133" u="1"/>
        <n v="50491134" u="1"/>
        <n v="5460400" u="1"/>
        <n v="5467000" u="1"/>
        <n v="60000209" u="1"/>
        <n v="60000210" u="1"/>
        <n v="620678" u="1"/>
        <n v="620821" u="1"/>
        <n v="620845" u="1"/>
        <n v="621330" u="1"/>
        <n v="640683" u="1"/>
        <n v="640959" u="1"/>
        <n v="641833" u="1"/>
        <n v="67611013" u="1"/>
        <n v="67767705" u="1"/>
        <n v="68437778" u="1"/>
        <n v="68524852" u="1"/>
        <n v="68524861" u="1"/>
        <n v="68775732" u="1"/>
        <n v="69584482" u="1"/>
        <n v="69584487" u="1"/>
        <n v="69584500" u="1"/>
        <n v="69618163" u="1"/>
        <n v="69678219" u="1"/>
        <n v="69678220" u="1"/>
        <n v="69678222" u="1"/>
        <n v="69780941" u="1"/>
        <n v="84157362" u="1"/>
        <n v="10010020002" u="1"/>
        <n v="19640304" u="1"/>
        <n v="19640305" u="1"/>
        <n v="19640306" u="1"/>
        <n v="400000160" u="1"/>
        <n v="400000411" u="1"/>
        <n v="4040000841" u="1"/>
        <n v="50470114" u="1"/>
        <n v="50470115" u="1"/>
        <n v="50470118" u="1"/>
        <n v="574983" u="1"/>
        <n v="576003" u="1"/>
        <n v="60000094" u="1"/>
        <n v="60000133" u="1"/>
        <n v="621323" u="1"/>
        <n v="67611014" u="1"/>
        <n v="68193098" u="1"/>
        <n v="68524857" u="1"/>
        <n v="68524859" u="1"/>
        <n v="68637162" u="1"/>
        <n v="68667235" u="1"/>
        <n v="68923657" u="1"/>
        <n v="69714154" u="1"/>
        <n v="69714162" u="1"/>
        <n v="69761866" u="1"/>
        <n v="69761870" u="1"/>
        <n v="69786713" u="1"/>
        <n v="84157033" u="1"/>
        <n v="400000048" u="1"/>
        <n v="400000161" u="1"/>
        <n v="400000221" u="1"/>
        <n v="50470111" u="1"/>
        <n v="50470112" u="1"/>
        <n v="50491103" u="1"/>
        <n v="50491104" u="1"/>
        <n v="579412" u="1"/>
        <n v="586703" u="1"/>
        <n v="588828" u="1"/>
        <n v="588831" u="1"/>
        <n v="621439" u="1"/>
        <n v="621491" u="1"/>
        <n v="640676" u="1"/>
        <n v="642359" u="1"/>
        <n v="642366" u="1"/>
        <n v="642373" u="1"/>
        <n v="642380" u="1"/>
        <n v="642557" u="1"/>
        <n v="652532" u="1"/>
        <n v="67139177" u="1"/>
        <n v="67409831" u="1"/>
        <n v="67707590" u="1"/>
        <n v="68380352" u="1"/>
        <n v="68380353" u="1"/>
        <n v="68380364" u="1"/>
        <n v="68441544" u="1"/>
        <n v="68524848" u="1"/>
        <n v="68524849" u="1"/>
        <n v="68524850" u="1"/>
        <n v="68647716" u="1"/>
        <n v="68780160" u="1"/>
        <n v="68798139" u="1"/>
        <n v="68798140" u="1"/>
        <n v="69714199" u="1"/>
        <n v="69717303" u="1"/>
        <n v="84157012" u="1"/>
        <n v="84159040" u="1"/>
        <n v="84168484" u="1"/>
        <n v="69584483" u="1"/>
        <n v="1008012355" u="1"/>
        <n v="20110020" u="1"/>
        <n v="50491132" u="1"/>
        <n v="52480086" u="1"/>
        <n v="60000205" u="1"/>
        <n v="50491101" u="1"/>
        <n v="52480094" u="1"/>
        <n v="67721092" u="1"/>
        <n v="68441503" u="1"/>
        <n v="60000212" u="1"/>
        <n v="400000412" u="1"/>
        <n v="576000" u="1"/>
        <n v="579405" u="1"/>
        <n v="640690" u="1"/>
        <n v="642236" u="1"/>
        <n v="642694" u="1"/>
        <n v="68395025" u="1"/>
        <n v="50470108" u="1"/>
        <n v="50491121" u="1"/>
        <n v="565119" u="1"/>
        <n v="579362" u="1"/>
        <n v="583415" u="1"/>
        <n v="67611016" u="1"/>
        <n v="68667239" u="1"/>
        <n v="69584479" u="1"/>
        <n v="69714198" u="1"/>
        <n v="84163148" u="1"/>
        <n v="84163149" u="1"/>
        <n v="84163166" u="1"/>
        <n v="571467" u="1"/>
        <n v="620500" u="1"/>
        <n v="680092" u="1"/>
        <n v="68436574" u="1"/>
        <n v="68436586" u="1"/>
        <n v="68688972" u="1"/>
        <n v="68754734" u="1"/>
        <n v="84153470" u="1"/>
        <n v="84153561" u="1"/>
        <n v="84153562" u="1"/>
        <n v="68645445" u="1"/>
        <n v="576004" u="1"/>
        <n v="578086" u="1"/>
        <n v="67409941" u="1"/>
        <n v="69584486" u="1"/>
        <n v="84160187" u="1"/>
        <n v="10080010002" u="1"/>
        <n v="641628" u="1"/>
        <n v="206" u="1"/>
        <n v="1007" u="1"/>
        <n v="256" u="1"/>
        <n v="579404" u="1"/>
        <n v="50470101" u="1"/>
        <n v="68401571" u="1"/>
        <n v="84151286" u="1"/>
        <n v="68865804" u="1"/>
        <n v="642205" u="1"/>
        <n v="50491119" u="1"/>
        <n v="68142902" u="1"/>
        <n v="579264" u="1"/>
        <n v="1000" u="1"/>
        <n v="50470103" u="1"/>
        <n v="68436592" u="1"/>
        <n v="201" u="1"/>
        <n v="50470107" u="1"/>
        <n v="84156838" u="1"/>
        <n v="251" u="1"/>
        <n v="680689" u="1"/>
        <n v="68524854" u="1"/>
        <n v="579337" u="1"/>
        <n v="1019" u="1"/>
        <n v="1006" u="1"/>
        <n v="67611021" u="1"/>
        <n v="68614030" u="1"/>
        <n v="566701" u="1"/>
        <n v="576002" u="1"/>
        <n v="579410" u="1"/>
        <n v="67627147" u="1"/>
        <n v="68874810" u="1"/>
        <n v="246" u="1"/>
        <n v="579305" u="1"/>
        <n v="67611010" u="1"/>
        <n v="69620218" u="1"/>
        <n v="254" u="1"/>
        <n v="579235" u="1"/>
        <n v="579413" u="1"/>
        <n v="68354522" u="1"/>
        <n v="578100" u="1"/>
        <n v="576006" u="1"/>
        <n v="1005" u="1"/>
        <n v="50491112" u="1"/>
        <n v="68524851" u="1"/>
        <n v="68649837" u="1"/>
        <n v="404000140" u="1"/>
        <n v="249" u="1"/>
        <n v="68524847" u="1"/>
        <n v="50491114" u="1"/>
        <n v="68444067" u="1"/>
        <n v="84158961" u="1"/>
        <n v="84168485" u="1"/>
        <n v="571466" u="1"/>
        <n v="573809" u="1"/>
        <n v="68227509" u="1"/>
        <n v="68864406" u="1"/>
        <n v="68534556" u="1"/>
        <n v="68646674" u="1"/>
        <n v="68661570" u="1"/>
        <n v="565574" u="1"/>
        <n v="67728485" u="1"/>
        <n v="68614031" u="1"/>
        <n v="589111" u="1"/>
        <n v="50491116" u="1"/>
        <n v="84158965" u="1"/>
        <n v="1008071533" u="1"/>
        <n v="1004" u="1"/>
        <n v="576687" u="1"/>
        <n v="50470100" u="1"/>
        <n v="68876989" u="1"/>
        <n v="252" u="1"/>
        <n v="573812" u="1"/>
        <n v="50470104" u="1"/>
        <n v="588829" u="1"/>
        <n v="19790103" u="1"/>
        <n v="50491118" u="1"/>
        <n v="68115523" u="1"/>
        <n v="50470102" u="1"/>
        <n v="1008011991" u="1"/>
        <n v="574986" u="1"/>
        <n v="50491105" u="1"/>
        <n v="67611015" u="1"/>
        <n v="67409830" u="1"/>
        <n v="247" u="1"/>
        <n v="547830" u="1"/>
        <n v="68565714" u="1"/>
        <n v="68649838" u="1"/>
        <n v="205" u="1"/>
        <n v="1003" u="1"/>
        <n v="579319" u="1"/>
        <n v="68354542" u="1"/>
        <n v="68875985" u="1"/>
        <n v="69629503" u="1"/>
        <n v="1008010115" u="1"/>
        <n v="255" u="1"/>
        <n v="579213" u="1"/>
        <n v="680672" u="1"/>
        <n v="67885788" u="1"/>
        <n v="547832" u="1"/>
        <n v="573818" u="1"/>
        <n v="1009" u="1"/>
        <n v="573819" u="1"/>
        <n v="68646675" u="1"/>
        <n v="84162953" u="1"/>
        <n v="69629507" u="1"/>
        <n v="573820" u="1"/>
        <n v="1008094293" u="1"/>
        <n v="67952534" u="1"/>
        <n v="67707587" u="1"/>
        <n v="68155562" u="1"/>
        <n v="68524841" u="1"/>
        <n v="403000261" u="1"/>
        <n v="1002" u="1"/>
        <n v="67409940" u="1"/>
        <n v="7401192400143" u="1"/>
        <n v="68647721" u="1"/>
        <n v="68809921" u="1"/>
        <n v="1008010113" u="1"/>
        <n v="68441507" u="1"/>
        <n v="68875982" u="1"/>
        <n v="69629500" u="1"/>
        <n v="1021" u="1"/>
        <n v="67986539" u="1"/>
        <n v="1008" u="1"/>
        <n v="642304" u="1"/>
        <n v="50491113" u="1"/>
        <n v="67519203" u="1"/>
        <n v="68524853" u="1"/>
        <n v="253" u="1"/>
        <n v="52460025" u="1"/>
        <n v="67611005" u="1"/>
        <n v="68882798" u="1"/>
        <n v="67707595" u="1"/>
        <n v="680078" u="1"/>
        <n v="68564993" u="1"/>
        <n v="69629504" u="1"/>
        <n v="52480095" u="1"/>
        <n v="68455320" u="1"/>
        <n v="1001" u="1"/>
        <n v="68647714" u="1"/>
        <n v="68874809" u="1"/>
        <n v="67707584" u="1"/>
        <n v="67574559" u="1"/>
        <n v="69627014" u="1"/>
        <n v="67409922" u="1"/>
        <n v="68646586" u="1"/>
        <n v="579403" u="1"/>
        <n v="50491117" u="1"/>
        <n v="68444073" u="1"/>
        <n v="84171222" u="1"/>
      </sharedItems>
    </cacheField>
    <cacheField name="Columna2" numFmtId="0">
      <sharedItems containsBlank="1" count="791">
        <s v="FOOD NATURAS SALSA TOMATE C/QUESO 96X90G"/>
        <s v="FOOD NATURAS SALSA TOMATE RANCHERA 96X90G"/>
        <s v="ALD PIN POP FRESA 16x24 (15G)" u="1"/>
        <s v="ALD PIN POP SANDIA 16X24 (16)" u="1"/>
        <s v="ALD BIAGI CARAMELO 16X100" u="1"/>
        <s v="ALD YOGUETA CHOCOCARAMEL 16X24 (15G)" u="1"/>
        <s v="ALD YOGUETA MILK 16X24 (15G)" u="1"/>
        <s v="ALD PIN POP MANGO 16X24 (15G)" u="1"/>
        <s v="ALD PIN POP THE MOST WANTED 16X24 (15G)" u="1"/>
        <s v="ALD PIN POP ASSORTED 16X24 (15G)" u="1"/>
        <s v="ALD PIN POP X2 16X24 (15G)" u="1"/>
        <s v="ALD PIN POP BLACK CHERRY 16X24 (15G)" u="1"/>
        <s v="DUCAL 40" u="1"/>
        <s v="ALC ARROZ GALL DORA PREC 400G (25)" u="1"/>
        <s v="ALC ARROZ MOLINER BLANC 400G (25)" u="1"/>
        <s v="ALC ARROZ MACARE BLANC 400G (25)" u="1"/>
        <s v="KELL CORN FLAKES 28X150G (28)" u="1"/>
        <s v="KELL CHOCO KRISPIS 28X290G (28)" u="1"/>
        <s v="KELL CHOCO KRISPIS MINI SCH 5X12X22G (5)" u="1"/>
        <s v="KELL CORN FLAKES 16X500 (16)" u="1"/>
        <s v="FOS ENCENDEDOR FRAGATA 40x25" u="1"/>
        <s v="FOS FOSFOROS FOGATA 10x10" u="1"/>
        <s v="FOS FOSFOROS CABALLO ROJO 24x10" u="1"/>
        <s v="XHC PFS MAX PODER VERDE 6X3X400G" u="1"/>
        <s v="XHC PFS MAX PODER BLANCO 6X3X400G" u="1"/>
        <s v="XHC PFS MAX PODER AMARILLO 6X3X400G" u="1"/>
        <s v="XHC PFS MAX BLANC/NARAN DUOX 6X3X400G" u="1"/>
        <s v="XHC PFS MAX BLANC/AZUL DUOX 6X3X400G" u="1"/>
        <s v="XHC PFS MAX BLANC/VERDE DUOX 6X3X400G" u="1"/>
        <s v="XHC PFS MAX PODER LILA 6X3X400G" u="1"/>
        <s v="XHC PFS MAX MB BLANCA 6X3X500G" u="1"/>
        <s v="XHC PFS MAX MB BLANC/NARAN DUOX 6X3X500G" u="1"/>
        <s v="XHC PFS MAX MB BLANC/VERD DUOX 6X3X500G" u="1"/>
        <s v="QUA SAVILOE 12X320ML(UNIDAD)" u="1"/>
        <s v="QUA SAVILOE 12X500ML (UNIDAD)" u="1"/>
        <s v="ALC ARROZ ESTRELLA PRECO 350G (25)" u="1"/>
        <s v="ALC ARROZ ESTRELLA BLANCO 350G (25)" u="1"/>
        <s v="DIN MAZOLA MANTECA 1LB (50)" u="1"/>
        <s v="DIN MAZOLA ACEITE DYP 400ml (24)" u="1"/>
        <s v="DIN MAZOLA ACEITE DYP 700ml (18)" u="1"/>
        <s v="DIN MAZOLA MARGARINA BARRA 400gr (24)" u="1"/>
        <s v="XHC DIN ZIXX JAB VERDE 400G (6)" u="1"/>
        <s v="XHC DIN ZIXX JAB ROSADO 400G (6)" u="1"/>
        <s v="XHC DIN ZIXX JAB LILA 400G (6)" u="1"/>
        <s v="EGO GEL POWER 4x6x200 ML+5 SCH" u="1"/>
        <s v="REXONA ROLLON BAMBOO 6X30ML" u="1"/>
        <s v="REXONA AERO WOMAN TONO PERFECTO 12X90G" u="1"/>
        <s v="SCH SEDAL SH CERAMIDAS 24X28X10ML" u="1"/>
        <s v="SCH DOVE SH HIDRA Y SUAVI (ANTICASPA) 24X28X10ML" u="1"/>
        <s v="SCH DOVE SUPER AC 60 20X12X12ML (20)" u="1"/>
        <s v="FOOD MAIZENA F MAIZ  FRESA 16X12X45G (192)" u="1"/>
        <s v="FOOD MAIZENA F MAIZ VAINILLA 16X12X45G (192)" u="1"/>
        <s v="FOOD MAIZENA F MAIZ NATURAL 20X20X45G (400)" u="1"/>
        <s v="FOOD NATURAS SALSA SABOR POLLO 96X100G" u="1"/>
        <s v="SCH SEDAL CR PEIN KERAT 24X28X9ML" u="1"/>
        <s v="SCH SEDAL CR LISO PERFECTO 24X28X9ML" u="1"/>
        <s v="SCH SEDAL CR PEIN RIZ OBED 24X28X9ML" u="1"/>
        <s v="FOOD NATURAS JUMB SSA RANCH 24X90G" u="1"/>
        <s v="REXONA ROLLON V8 6X30ML" u="1"/>
        <s v="ALD YOGUETA SURTIDA RELLENA 16X24  (15G)" u="1"/>
        <s v="ALD PIN POP KOLA 16X24 (15G)" u="1"/>
        <s v="ALD PIN POP PINTALENGUA 16X24 (15G)" u="1"/>
        <s v="ALD YOGUETA MILKY CARAMEL 16X24 (15G)" u="1"/>
        <s v="BEST GALLETA MANI 24X12X20G (24)" u="1"/>
        <s v="BEST BOTE CONITO CHOCOLATE 80u (12)" u="1"/>
        <s v="BEST BOTONETAS CHOCOLATE 20X24X9G (20)" u="1"/>
        <s v="BYB CHILE JALAPEÑO SEMIPICANTE LATA 96/5.8oz" u="1"/>
        <s v="BYB CHILE JALAPEÑO PICANTE LATA 96/5.8oz" u="1"/>
        <s v="BYB CONCENTRADO DE HORCHATA 24/225 ml" u="1"/>
        <s v="BYB CONCENTRADO DE TAMARINDO 24/225 ml" u="1"/>
        <s v="BYB MAYONESA CLASICA BOLSA 48/100g" u="1"/>
        <s v="BYB MAYONESA CLASICA BOLSA 48/200g" u="1"/>
        <s v="BYB MAYONESA CLASICA BOLSA 32/380g" u="1"/>
        <s v="BYB MOSTAZA BOLSA 48/100g" u="1"/>
        <s v="BYB SALSA PICAMAS VERDE PLASTICO 48/100g" u="1"/>
        <s v="BYB SALSA PICAMAS ROJA PLASTICO 48/100g" u="1"/>
        <s v="BYB SALSA INGLESA PLASTICA 48/3.5onz" u="1"/>
        <s v="BYB SALSA SOYA PLASTICA 48/3.5oz" u="1"/>
        <s v="BYB SALSA SOYA PLASTICA 24/152 ml" u="1"/>
        <s v="BYB VINAGRE CLARO 48/100ml" u="1"/>
        <s v="BEST CAFE BARISTA SOLUBLE 12X24X8g" u="1"/>
        <s v="DCASA PAPEL ENCANTO GDE. 1X12X4 (12)" u="1"/>
        <s v="DCASA HEINZ MANZANA FLEX 24X113G" u="1"/>
        <s v="DCASA HEINZ BANANO FLEX 24X113G" u="1"/>
        <s v="DCASA HEINZ MELOCOTO FLEX 24X113G" u="1"/>
        <s v="DCASA HEINZ PERA FLEX 24X113G" u="1"/>
        <s v="DCASA HEINZ FRUTA MIX FLEX 24X113G" u="1"/>
        <s v="DCASA HEINZ POSTRE  FLEX 24X113G" u="1"/>
        <s v="DCASA MIRASOL MARG 24X5X80G" u="1"/>
        <s v="DCASA GELATINA POLVO UVA 28X400g" u="1"/>
        <s v="DCASA GELATINA POLVO FRESA 28X400g" u="1"/>
        <s v="DCASA GELATINA POLVO NARANJA 28X400g" u="1"/>
        <s v="DCASA GELATINA POLVO LIMON 28X400g" u="1"/>
        <s v="DCASA GELATINA POLVO CHICLE 28X400g" u="1"/>
        <s v="DCASA GELATINA POLVO FRAMB.28X400g" u="1"/>
        <s v="XHC DIN ROKU JAB SALMON 375G (4)" u="1"/>
        <s v="DM ESPONJAS (5XBOLSA)" u="1"/>
        <s v="BONI NSK ROLLO PAPEL HIGIENICO" u="1"/>
        <s v="BONI SAVILOE UND 320ML (12)" u="1"/>
        <s v="BONI QUA FRIJOL NEGRO LAT 5.5 OZ (48)" u="1"/>
        <s v="BONI QUA SAVILOE FRUTOS ROJOS UND 500ML (12)" u="1"/>
        <s v="UL CR RIZOS 3 SACHET" u="1"/>
        <s v="IPR LOZANO MANZANA 3.2L (6)" u="1"/>
        <s v="IPR LOZANO UVA 3.2L (6)" u="1"/>
        <s v="IQUI CLORO MAGICLOR POPULINO 1X12X6 235ML" u="1"/>
        <s v="IAK DUCAL BEB TETR  PIÑA 200ML (24)" u="1"/>
        <s v="IAK FUN C REFR MANZ 200ML TETR (24)" u="1"/>
        <s v="IAK FUN C REFR MELOC 200ML TETR (24)" u="1"/>
        <s v="IAK KERNS KETCHUP SCH 52GR (144)" u="1"/>
        <s v="IAK DUCAL FRIJ CHUB ROJO ENT 1.82kgs (6)" u="1"/>
        <s v="IAK DUCAL FRIJ CHUB NEGR ENT 1.82kgs (6)" u="1"/>
        <s v="IAK DUCAL FRIJ NEGR DyP 8oz (24)" u="1"/>
        <s v="IAK KERNS 330ml COCTEL VEGETALES  (24)" u="1"/>
        <s v="IAK DUCAL BEB TETR MELOC 200ml (24)" u="1"/>
        <s v="IAK DUCAL BEB TETR MANZ 200ml (24)" u="1"/>
        <s v="IAK BAMB DAIQUIRI FRESA 350ml LT (24)" u="1"/>
        <s v="IAK KERNS 330ml NECT MELOCOTON (24)" u="1"/>
        <s v="IAK KERNS 330ml NECT MANZANA  (24)" u="1"/>
        <s v="IAK KERNS 154mL COCTEL VEGETALES (48)" u="1"/>
        <s v="IAK DUCAL FRIJ NEGR DyP 4oz (24)" u="1"/>
        <s v="IAK DUCAL FRIJ CARNICOS LAT 5 oz (48)" u="1"/>
        <s v="IAK DUCAL FRIJ NEGR LAT 10.5oz (48)" u="1"/>
        <s v="IAK DUCAL FRIJ NEGR LAT 5.5oz (48)" u="1"/>
        <s v="IAK KERNS PASTA TOMATE LATA 48X6oz" u="1"/>
        <s v="IAK KERNS 330ml NECT PIÑA (24)" u="1"/>
        <s v="NSK VANISH PINK 6X12 U" u="1"/>
        <s v="NSK FABULOSO LAVANDA 1X6X12U/80ML" u="1"/>
        <s v="NSK AZISTIN LAVANDA 1X6X12U/80ML" u="1"/>
        <s v="NSK SUAVITEL AROM D SOL 1X6X12U/80ML" u="1"/>
        <s v="NSK SUAVITEL COMPL PRIMAV 1X6X12 U" u="1"/>
        <s v="NSK LAV AXION LIMON TIRA 115g (6)" u="1"/>
        <s v="NSK LAV POTENSOL CIL 400g (20)" u="1"/>
        <s v="NSK AZISTIN MANZANA 1X6X12U/80ML" u="1"/>
        <s v="NSK COLGATE KIT DE CEPILL 1X24TXTIRA 6UNDS" u="1"/>
        <s v="NSK AZISTIN ALTERNATIVO CLORO 1X6X12U/80ML" u="1"/>
        <s v="NSK TAJIN CLASICO TIRA  DE 12 SCH (44T)" u="1"/>
        <s v="NSK LAV POTENSOL MARQUETA 215g (42)" u="1"/>
        <s v="PD PEDIALYTE COCO 30 MEQ 500ML (12)" u="1"/>
        <s v="UNS BOMBILLO LED 12 WATTS (50)" u="1"/>
        <s v="BEST BOTE CHOCOGOL 150u (12)" u="1"/>
        <s v="BEST CHOCOPANDA CHOCOLATE 25X12X14G" u="1"/>
        <s v="QUA YUS FRESA 9X15X28g" u="1"/>
        <s v="QUA YUS JAMAICA 9X15X28g" u="1"/>
        <s v="QUA YUS NARANJA 9X15X28g)" u="1"/>
        <s v="QUA YUS PIÑA 9X15X28g" u="1"/>
        <s v="QUA SAVILOE FRUTOS ROJOS 12X500ML" u="1"/>
        <s v="SCH QUA NUTRIBELA TRAT CAP 24X12X27ML" u="1"/>
        <s v="TERMO GABACHA #1 (26)" u="1"/>
        <s v="TERMO GABACHA #2 (12)" u="1"/>
        <s v="TERMO BOLSA COLOR 5 Lbs (46)" u="1"/>
        <s v="TERMO BOLSA TRANSPARENTE 5 Lbs (20)" u="1"/>
        <s v="TERMO BOLSA DE BASURA NEGRA 24X35 (100)" u="1"/>
        <s v="TERMO BOLSA COLOR 2 Lbs (70)" u="1"/>
        <s v="TERMO PAJILLA TRANSPARENTE (50)" u="1"/>
        <s v="YAES MUCHO NACHO ROSTIZADO 390G (12)" u="1"/>
        <s v="YAES ROSTIZADOR MARISCO 100G (24)" u="1"/>
        <s v="YAES ROSTIZADOR EMPAN POLLO 90G (100)" u="1"/>
        <s v="ALC ARROZ MACAREN PREC 400G (25)" u="1"/>
        <s v="QUA BONTEA DURAZNO 10X12X30G" u="1"/>
        <s v="QUA BONTEA LIMON 10X12X30G" u="1"/>
        <s v="QUA BONTEA MANZANA 10X12X30G" u="1"/>
        <s v="FOS FOSFOROS FOGATA ECO 12X10" u="1"/>
        <s v="FOS FOSFOROS MADERA GALLO 10X10" u="1"/>
        <s v="FOS ENCENDEDOR FRAGATA MINI 40X25" u="1"/>
        <s v="XHC PFS CENTELLA CHIBOLONA AMARILLA 4X3X375G" u="1"/>
        <s v="XHC PFS CENTELLA CHIBOLONA AZUL 4X3X375G" u="1"/>
        <s v="XHC PFS CENTELLA CHIBOLONA AVENA 4X3X375G" u="1"/>
        <s v="FOOD HELLMANNS MAY DYP 12X100G" u="1"/>
        <s v="FOOD KNORR SOPA POLLO C/FIDEO 12X12X55G (144)" u="1"/>
        <s v="ALC ORO MAY  HARIN MAIZ BLANC 800 (9)" u="1"/>
        <s v="ALC ORO MAY HARIN MAIZ BLANC 50LBS (1)" u="1"/>
        <s v="DIN ISSIMA MARGARINA 400gr (24)" u="1"/>
        <s v="EGO GEL POWER 4X6X110ML" u="1"/>
        <s v="REXONA STICK MEN V8 12X50G" u="1"/>
        <s v="SCH SEDAL SH NEGRO LUM 24X28X10ML" u="1"/>
        <s v="SCH DOVE SH OLEO NUTRI 24X28X10ML" u="1"/>
        <s v="EGO GEL ATTRAC 4X6X110ML" u="1"/>
        <s v="FOOD HELLMANNS  MAY DYP 12X190G" u="1"/>
        <s v="SCH SEDAL SH HIALURONICO Y VIT C 24X28X15ML" u="1"/>
        <s v="XHC XEDEX MAX POD LIMON 13X800G" u="1"/>
        <s v="XHC XEDEX MAX POD FRUTOS BOSQUE 13X800G" u="1"/>
        <s v="FOOD NATURAS PASTA TRADICIONAL 96X90G" u="1"/>
        <s v="FOOD NATURAS SALSA TOMATE C/CARNE 96X90G" u="1"/>
        <s v="FOOD NATURAS SALSA TOMATE JALAPENO 96X90G" u="1"/>
        <s v="FOOD KNORR SOPA COST CRIOL C/FID 12X12X55G (144)" u="1"/>
        <s v="ALD MASTI MINT 16X100 (4G)" u="1"/>
        <s v="ARE SABUESO CACHORRO 40X420G" u="1"/>
        <s v="ARE SABUESO CACHORRO 44 LBS" u="1"/>
        <s v="BEST GALLETA FRESA 24X12X20G (24)" u="1"/>
        <s v="BEST GALLETA CHOCOLATE 24X12X20G (24)" u="1"/>
        <s v="BEST BOTONETAS MANI 20X24X9G (20)" u="1"/>
        <s v="BEST CHOCOFRUTA 50x350G" u="1"/>
        <s v="BEST GALLETA CHAPETIN 24X12 (24)" u="1"/>
        <s v="BYB CONCENTRADO DE HORCHATA 12/678 ml" u="1"/>
        <s v="BYB MAYONESA CLASICA ALMOHADITA 48/100g" u="1"/>
        <s v="BYB SALSA T/KETCHUP ALMOHADITA 48/110g" u="1"/>
        <s v="BYB VINAGRE CLARO 24/360ml" u="1"/>
        <s v="BYB SALSA BARBACOA SQUEZZE PLASTICO 24/14oz" u="1"/>
        <s v="DCASA PAPEL ENCANTO MIL HOJAS ROLLO (24)" u="1"/>
        <s v="XHC DIN ROKU JAB AMARILLO 375G (4)" u="1"/>
        <s v="XHC DIN ROKU JAB AQUA 375G (4)" u="1"/>
        <s v="BONI YAES CHARROS SALSA VERDE" u="1"/>
        <s v="IAK KERNS JUNIOR MANZ TETRA 200ml (24)" u="1"/>
        <s v="IAK KERNS JUNIOR MELOC TETR 200ml (24)" u="1"/>
        <s v="IAK DUCAL FRIJ NEGR DyP 14.1oz (18)" u="1"/>
        <s v="IAK DUCAL FRIJ ROJO DyP 8oz (24)" u="1"/>
        <s v="IAK BAMB MOJITO 350ml LATA (24)" u="1"/>
        <s v="IAK DUCAL BEB HOJALAT PIÑA 154ml (48)" u="1"/>
        <s v="IAK KERNS 330ml COCTEL VEGETALES ALMEJA  (24)" u="1"/>
        <s v="IAK DUCAL FRIJ ROJO PICANT DyP 8oz (24)" u="1"/>
        <s v="IAK DUCAL FRIJ CARNICOS LAT 14oz (24)" u="1"/>
        <s v="IAK DUCAL FRIJ NEGR LAT 29oz (12)" u="1"/>
        <s v="IAK KERNS PASTA TOMATE 4 Oz DyP (48)" u="1"/>
        <s v="IAK KERNS 330ml NECT PERA (24)" u="1"/>
        <s v="IAK DUCAL FRIJ NEGR LAT 15oz (24)" u="1"/>
        <s v="NSK FABULOSO CITRIC Y FRU 1X6X12U/80ML" u="1"/>
        <s v="NSK JABON PROTEX ALOE 110GR (96)" u="1"/>
        <s v="NSK JABON PROTEX FRESH 110GR (96)" u="1"/>
        <s v="NSK JABON PROTEX AVENA 110GR (96)" u="1"/>
        <s v="NSK COLGATE DOBLE FRESC 75ML+CEPIL (72)" u="1"/>
        <s v="NSK COLGATE TRIP ACCION 75 ML+CEPIL (72)" u="1"/>
        <s v="NSK SUAVITEL COMPL PRIMAV 1X2X36UNDS+6UNDS" u="1"/>
        <s v="NSK BIC BOLIGRAFO NEGRO 12 (100)" u="1"/>
        <s v="QUA FRUTY FRESCO 9+9 (8)" u="1"/>
        <s v="PD PEDIALYTE CLASICO 30 MEQ 500ML (12)" u="1"/>
        <s v="PD PEDIALYTE MANZANA 60 MEQ 500ML (12)" u="1"/>
        <s v="PD PEDIALYTE CEREZA 30 MEQ 500ML (12)" u="1"/>
        <s v="PD PEDIALYTE FRESA 60 MEQ 500ML (12)" u="1"/>
        <s v="UNS OSITO MIEL QUEENBEE 340gr (24)" u="1"/>
        <s v="UNS BOMBILLO LED 9 WATTS (50)" u="1"/>
        <s v="QUA JUGOS YA FRESA 10X15X18 FIT" u="1"/>
        <s v="QUA JUGOS YA JAMAICA 10X15X18 FIT" u="1"/>
        <s v="QUA JUGOS YA PINA 10X15X18 FIT" u="1"/>
        <s v="QUA JUGOS YA GUANABA 10X15X18 FIT" u="1"/>
        <s v="QUA JUGOS YA LIMON 10X15X18 FIT" u="1"/>
        <s v="QUA JUGOS YA MORA 10X15X18 FIT" u="1"/>
        <s v="QUA JUGOS YA DURAZNO 10X15X18 FIT" u="1"/>
        <s v="QUA JUGOS YA HORCHATA 10X15X18 FIT" u="1"/>
        <s v="QUA JUGOS YA MANGO 10X15X18 FIT" u="1"/>
        <s v="QUA JUGOS YA NARANJA 10X15X18 FIT" u="1"/>
        <s v="QUA YUS HORCHATA 9X15X28g" u="1"/>
        <s v="QUA YUS TAMARINDO 9X15X28g" u="1"/>
        <s v="QUA YUS DURAZNO 9X15X28g" u="1"/>
        <s v="QUA YUS LIMONADA CON CHAN 9X15X28g" u="1"/>
        <s v="QUA TOKI SURTIDO 25X24X8G" u="1"/>
        <s v="YAES EMPANIZADOR SUKOCINERA 30X6X50G (180)" u="1"/>
        <s v="FOS PALILLOS MADERA 12X12X250u" u="1"/>
        <s v="FOS CERILLO GALLO 10X10" u="1"/>
        <s v="FOS FOSFOROS AGUILA 2X10X5" u="1"/>
        <s v="XHC PFS CENTELLA CHIBOLONA VERDE 4X3X375G" u="1"/>
        <s v="XHC PFS CENTELLA CHIBOLONA BLANCA 4X3X375G" u="1"/>
        <s v="XHC PFS MAX PODER ROSADO 6X3X400G" u="1"/>
        <s v="XHC PFS MAX PODER NARANJA 6X3X400G" u="1"/>
        <s v="ARE SABUESO ADULTO 100 LBS" u="1"/>
        <s v="ARE SABUESO ADULTO 40X454G" u="1"/>
        <s v="DCASA GELATINA POLVO MELOC.28X400g" u="1"/>
        <s v="DCASA GELATINA POLVO PIÑA 28X400g" u="1"/>
        <s v="DM ESCOBA FLASH FIBER (UNIDAD)" u="1"/>
        <s v="IAK KERNS NECT MANZ TETR 24X250ml" u="1"/>
        <s v="IAK KERNS NECT MELOC TETR 24X250ml" u="1"/>
        <s v="IAK KERNS KETCHUP 24X375gr PET" u="1"/>
        <s v="IAK KERNS COCT VEGET 1 LT TETR (12)" u="1"/>
        <s v="IAK KERNS COCT VEGET ALMEJA 1LT (12)" u="1"/>
        <s v="IAK DE MI TIERRA FRIJ VOLT NEGRO 35OZ DP (12)" u="1"/>
        <s v="TERMO BOLSA TRANSPARENTE 2 Lbs (36)" u="1"/>
        <s v="PONDS CR 100G CLARANT B3 GRASA (24)" u="1"/>
        <s v="AXE AERO VITTO DARK TEMPT 12X58G" u="1"/>
        <s v="AXE AERO BS DARK TEMPT 12X97G" u="1"/>
        <s v="AXE AERO BS GOLD TEMPTATION 12X97G" u="1"/>
        <s v="DIN MAZOLA MARGARINA LIGHT 400GR (24)" u="1"/>
        <s v="DIN MAZOLA MARGARINA  AJO/HIERBAS 400GR (24)" u="1"/>
        <s v="XHC DIN ZIXX JAB BLANCO 400G (6)" u="1"/>
        <s v="XHC DIN VENZA JABON AVENA 110g (72)" u="1"/>
        <s v="XHC DIN VENZA JABON SABILA 110g (72)" u="1"/>
        <s v="XHC DIN VENZA JABON FRESCURA EXTR 110g (72)" u="1"/>
        <s v="XHC DIN VENZA JABON VITAMINA E 110g (72)" u="1"/>
        <s v="XHC DIN ZIXX JAB AVENA 400G (6)" u="1"/>
        <s v="DIN MAZOLA MARGARINA BARRA 6X5X400gr (24)" u="1"/>
        <s v="AXE AERO BS COLLISION 12X97G" u="1"/>
        <s v="EGO GEL ATTRAC 6/30/12ML" u="1"/>
        <s v="REXONA AERO CLEAN CLASSIC WOMAN 12X91G" u="1"/>
        <s v="DOVE AERO AP CALENDULA 12X87G" u="1"/>
        <s v="DOVE AEROSOL AP ROSAS 12X87G" u="1"/>
        <s v="DOVE AERO AP COCO 12X87G" u="1"/>
        <s v="AXE AERO BS ICE CHILL 12X97G" u="1"/>
        <s v="SCH SAVILE SH ARGAN 24X28X15ML" u="1"/>
        <s v="SCH SEDAL CR PEIN KERAT 24X28X10ML" u="1"/>
        <s v="SCH SEDAL CR LISO PERFECTO 24X28X10ML" u="1"/>
        <s v="FOOD NATURAS SSA TOMATE RANCHERA 24X200G" u="1"/>
        <s v="AXE AERO BS EPIC FRESH 12X97G" u="1"/>
        <s v="REXONA AERO POWER DRY 12X58G" u="1"/>
        <s v="REXONA AERO V8 12X58G" u="1"/>
        <s v="XHC XEDEX MAX POD FRUTOS BOSQUE 30X400G" u="1"/>
        <s v="XHC XEDEX P MAXIMO PODER 31X115G" u="1"/>
        <s v="FOOD KNORR SOPA GAL CRIOL C/FIDEOS 12X12X54G (144)" u="1"/>
        <s v="SEDAL SH 340 ML RIZOS DEFINIDOS (12)" u="1"/>
        <s v="DOVE STICK EXTRA FRESH 12X50G" u="1"/>
        <s v="ALD SONETTO CHOCOLATE BLANCO 16X100 (4G)" u="1"/>
        <s v="ALD PLAY GUSANOS AZUCARADOS JARRA 6X200 (3G)" u="1"/>
        <s v="ALD PIN POP ICE 16X24 (15G)" u="1"/>
        <s v="ALD PLAY GUSANOS 55g (24)" u="1"/>
        <s v="ALD PLAY TORTU SPLASH 55g (24)" u="1"/>
        <s v="ALD PLAY CORAZONES 55g (24)" u="1"/>
        <s v="ALD PLAY OSOS RELLENOS 55g (24)" u="1"/>
        <s v="ALD PLAY BANANAS 55g (24)" u="1"/>
        <s v="ALD PLAY TIBURONES 55g (24)" u="1"/>
        <s v="BYB CONCENTRADO DE MORA 12/678 ml" u="1"/>
        <s v="BYB CONCENTRADO DE TAMARINDO 12/678 ml" u="1"/>
        <s v="BYB MERMELADA DE FRESA DOY PACK 24/200g" u="1"/>
        <s v="BYB MERMELADA DE FRESA VASO 12/260g" u="1"/>
        <s v="BYB MERMELADA DE MORA VASO 12/260g" u="1"/>
        <s v="BYB MERMELADA DE PIÑA VASO 12/260g" u="1"/>
        <s v="BYB MANTEQUILLA DE MANI VASO 24/245g" u="1"/>
        <s v="BYB MAYONESA CLASICA BOLSA 16/880g" u="1"/>
        <s v="BYB MIEL DE MAPLE GARRAFA 24/330 ml" u="1"/>
        <s v="BYB SALSA PICAMAS VERDE BOLSA 48/100g" u="1"/>
        <s v="BYB SALSA PICAMAS VERDE BOLSA 48/223g" u="1"/>
        <s v="BYB SALSA PICAMAS VERDE JUMBO PLASTICO 24/19oz" u="1"/>
        <s v="BYB SALSA T/KETCHUP BOLSA 48/100g" u="1"/>
        <s v="BYB SALSA T/KETCHUP BOLSA 48/215g" u="1"/>
        <s v="BYB SALSA T/KETCHUP ALMOHADITA 48/215g" u="1"/>
        <s v="BYB SALSA T/KETCHUP BOLSA 32/435g" u="1"/>
        <s v="BYB SALSA T/KETCHUP BOLSA 4/3000g" u="1"/>
        <s v="BYB VINAGRE CLARO 24/500ml" u="1"/>
        <s v="BYB VINAGRE CLARO BOTE LARGO 12/750ml" u="1"/>
        <s v="BYB CHEEZ DIP DOY PACK 12/200g" u="1"/>
        <s v="ENV AGUA PURIFICADA SCANDIA 12X600ML" u="1"/>
        <s v="BONI PROMOV" u="1"/>
        <s v="BONI SAVILOE UND 12X320ML" u="1"/>
        <s v="BONI QUA NUTRIBELA 10 HIALURONICO 24X12X72ml" u="1"/>
        <s v="IPR LOZANO MANZANA 500ML (12)" u="1"/>
        <s v="IPR LOZANO UVA 500ML (12)" u="1"/>
        <s v="NSK LAV DOÑA BLANCA CIL 400g (20)" u="1"/>
        <s v="NSK TAJIN CLASICO POLVO BOTE 142G (24)" u="1"/>
        <s v="NSK BIC ENCENDEDOR MINI J5 (75)" u="1"/>
        <s v="NSK LAV AXION TARRO 235g (48)" u="1"/>
        <s v="NSK VANISH WHITE 6X12 U" u="1"/>
        <s v="NSK LAV DOÑA BLANCA CIL TIRA 170g (6)" u="1"/>
        <s v="NSK JABON PROTEX BALANCE 110GR (96)" u="1"/>
        <s v="NSK COLGATE DOBLE FRESCURA 150ML (72)" u="1"/>
        <s v="NSK SUAVITEL ROSADO 6X12X80ML" u="1"/>
        <s v="QUA FRUTY FRESCO 6+6 (12)" u="1"/>
        <s v="QUA YUS GUANABA 9X15X28g)" u="1"/>
        <s v="QUA YUS LIMONADA 9X15X28g" u="1"/>
        <s v="QUA YUS SABILA 9X15X28G" u="1"/>
        <s v="QUA YUS FRUTAS TROPICALES 9x15x28g" u="1"/>
        <s v="SCH QUA NUTRIBELA 10 48X6X27ML" u="1"/>
        <s v="QUA YUS TE FRIO FRAMBUESA 9X15X28g" u="1"/>
        <s v="QUA YUS TE FRIO DURAZNO 9X15X28g" u="1"/>
        <s v="YAES MUCHO NACHO ROSTIZADO 180G (8)" u="1"/>
        <s v="YAES MUCHO NACHO BARBACOA 16X12X17gr" u="1"/>
        <s v="YAES MUCHO NACHO QUESO 16X12X17gr" u="1"/>
        <s v="YAES GUENOS BARBACOA 4X12X20gr" u="1"/>
        <s v="YAES GUENOS LIMON 4X12X20gr" u="1"/>
        <s v="YAES SAL DE MESA REFINADA 25/400G" u="1"/>
        <s v="FOOD MAIZENA ALMIDON MAIZ NATURAL 80X185G" u="1"/>
        <s v="IAK KERNS 157mL COCTEL VEGETALES (48)" u="1"/>
        <s v="IAK DUCAL FRIJ NEGR DyP 28oz (12)" u="1"/>
        <s v="IAK KERNS KETCHUP 776gr PET (12)" u="1"/>
        <s v="IAK KERNS TETRA NECT MANZ 1000ml (12)" u="1"/>
        <s v="IAK KERNS TETRA NECT MELOC 1000ml (12)" u="1"/>
        <s v="IAK KERNS TETRA NECT FRUTAS 1000ml (12)" u="1"/>
        <m u="1"/>
        <s v="KELL CHOCO KRISPIS 24X620G (24)" u="1"/>
        <s v="PORFIN MARGARINA ORISOL 400gr (24)" u="1"/>
        <s v="XHC PFS MAX MB NARANJA 6X3X500G" u="1"/>
        <s v="XHC PFS LIMPIOX AVENA DISCO 108G (72)" u="1"/>
        <s v="ALC ORO MAY HARIN MAIZ BLANC 400G (20)" u="1"/>
        <s v="DCASA HEINZ CIRUELA/PASAS FLEX 24X113G" u="1"/>
        <s v="IPR CHILE JALAPEÑO ESCABECHE 5.5OZ (48)" u="1"/>
        <s v="IAK DUCAL FRIJ NEGR DyP 40oz (12)" u="1"/>
        <s v="IAK GOYA MAIZ ENTERO 8.75 ONZ (24)" u="1"/>
        <s v="IAK BAMB PIÑA COLADA 350ml LATA (24)" u="1"/>
        <s v="XHC UNS DETERGENTE PURO SOL 250gr (40)" u="1"/>
        <s v="UNS BOMBILLO LED 9 Watt" u="1"/>
        <s v="UNS BOMBILLO LED 12 Watt" u="1"/>
        <s v="TERMO GABACHA MINI/PIWI (26)" u="1"/>
        <s v="TERMO BOLSA TRANSPARENTE 3 Lbs (30)" u="1"/>
        <s v="XHC PFS MAX PODER AZUL  6X3X400G" u="1"/>
        <s v="XHC PFS LIMPIOX CILINDRO LIMON 18X320G" u="1"/>
        <s v="BEST MENTAS 50X12X13g (50)" u="1"/>
        <s v="BONI PORFIN LIMPIOX AZUL 85g (72)" u="1"/>
        <s v="IAK DUCAL BEB ALUMIN MELOC 330ml (24)" u="1"/>
        <s v="IAK DUCAL BEB ALUMIN PIÑA 330ml (24)" u="1"/>
        <s v="IAK DUCAL BEB ALUMIN MANZ 330ml (24)" u="1"/>
        <s v="IAK DUCAL BEB ALUMIN PERA 330ml (24)" u="1"/>
        <s v="IAK DUCAL FRIJ NEGR DyP 96oz (6)" u="1"/>
        <s v="UNS CHOC. TUBITO CHOKI CHOKI CHOCMAR 6x20" u="1"/>
        <s v="UNS AGOGO CENT. LIQ.SURT. 16x44x8.3gr" u="1"/>
        <s v="BEST GALLETA FRESA 24X12X22G (24)" u="1"/>
        <s v="EGO GEL POWER 6X30X15ML" u="1"/>
        <s v="BONI IAK VASO PLASTICO KERNS" u="1"/>
        <s v="AXE AERO BS APOLLO 12X97G" u="1"/>
        <s v="ALD YOGUETA COOKIES &amp; CREAM 16X24 (15G)" u="1"/>
        <s v="BONI SAVILOE UND 12X320ML (NUTRIBELA)" u="1"/>
        <s v="ALC CR AVEN HOJUELA 12U 300g" u="1"/>
        <s v="BEST GALLETA MANI 24X12X22G (24)" u="1"/>
        <s v="BEST CHOCOFRUTA 50X400G (50)" u="1"/>
        <s v="FOS Fosforos Propasa 10x10" u="1"/>
        <s v="FOOD KNORR SOPA POLL VERD CODITO 12X12X54G (144)" u="1"/>
        <s v="PONDS CR 100G S HUMECTANTE NUTRITIVA (24)" u="1"/>
        <s v="XHC DIN ZIXX JAB AZUL 400G (6)" u="1"/>
        <s v="XHC DIN ZIXX JAB AMARILLO 400G (6)" u="1"/>
        <s v="XHC DIN ZIXX JAB AQUA 400G (6)" u="1"/>
        <s v="XHC DOVE JAB CUIDA PROTEGE 48X90G" u="1"/>
        <s v="ARE SABUESO ADULTO 50 LBS" u="1"/>
        <s v="BEST CHOCOFRUTA 50x400G" u="1"/>
        <s v="BYB MOSTAZA BOLSA 48/200g" u="1"/>
        <s v="BYB VINAGRE CLARO 24/200ml" u="1"/>
        <s v="BYB SALSA BARBACOA DOY PACK 24/95g" u="1"/>
        <s v="BONI NSK 1 BOLSA KIT CEPILLO" u="1"/>
        <s v="BONI BARRA MARGARINA MAZOLA 80g" u="1"/>
        <s v="BONI DIN CUBETA PLASTICA" u="1"/>
        <s v="BONI NSK SPAGHETTI 60x200G" u="1"/>
        <s v="IQUI CLORO MAGICLOR POPULINO 1X4X12 220ML" u="1"/>
        <s v="NSK LA MODERNA PASTA SPAGHETTI 60x200G" u="1"/>
        <s v="NSK LAVAPLATOS DOÑA BLANCA CILINDRO 400G (20)" u="1"/>
        <s v="NSK LAVAPLATOS DOÑA BCA.CILINDRO 250 GR (24)" u="1"/>
        <s v="NSK LAVAPLATOS DOÑA BCA.CILINDRO TIRA 170GR (6)" u="1"/>
        <s v="NSK COLGATE DOBLE FRESCURA 150ML" u="1"/>
        <s v="NSK BIC BOLIGRAFO AZUL 12 (100)" u="1"/>
        <s v="PD PEDIALYTE UVA 60 MEQ 500ML (12)" u="1"/>
        <s v="QUA NUTRIBELA TARRO 12X300ml" u="1"/>
        <s v="XHC PFS CENTELLA CAMPEON BLANCO 6X4X330G" u="1"/>
        <s v="XHC PFS MAX PODER ALOE 6X3X400G" u="1"/>
        <s v="DOVE AERO INVISIBLE DRY WOMAN 12X89G" u="1"/>
        <s v="PONDS CR 100G REJUVENESS DIA (24)" u="1"/>
        <s v="DOVE AERO ORIGINAL 12X89G" u="1"/>
        <s v="EGO GEL ATTRAC 4x6x200ML" u="1"/>
        <s v="FOOD HELLMANNS MAY DP 12X380G" u="1"/>
        <s v="FOOD MAIZENA ALMIDON MAIZ NATURAL 40X375G" u="1"/>
        <s v="XHC XEDEX MAX POD LIMON 30X400G" u="1"/>
        <s v="PONDS CR 50G CLARANT B3 GRASA (24)" u="1"/>
        <s v="PONDS CR 50G CLARANT B3 SECA (24)" u="1"/>
        <s v="PONDS CR 50G REJUVENESS (24)" u="1"/>
        <s v="ALD BIAGI CAFE 16X100" u="1"/>
        <s v="BONI YAES MUCHO NACHO NATURAL 75gr" u="1"/>
        <s v="IAK KERNS TE DURAZNO 2500ml (6)" u="1"/>
        <s v="IAK KERNS TE FRAMBUES 2500ml (6)" u="1"/>
        <s v="NSK BIC RASURADORA SHAVER SENS 24 (48)" u="1"/>
        <s v="NSK LAVAPLATOS AXION LIMON TIRA 115GR (6)" u="1"/>
        <s v="NSK LAVAPLATOS POTENSOL CILINDRO 400 GR (20)" u="1"/>
        <s v="NSK LAVAPLATOS POTENSOL MARQUETA 215GR (42)" u="1"/>
        <s v="REXONA STICK MEN ANTIBAC 12X50G" u="1"/>
        <s v="DIN MAZOLA ACEITE  BOT 32onz (12)" u="1"/>
        <s v="DIN SOPA ISSIMA CAMARON (12)" u="1"/>
        <s v="REXONA STICK CLIN CLASSIC EXPERT 12X46G" u="1"/>
        <s v="REXONA STICK CLIN EXTRA DRY EXP 12X46G" u="1"/>
        <s v="SCH DOVE SH RECON COMPL SUP 24X28X10ML" u="1"/>
        <s v="DOVE MINIROLLON PROTECCION TOTAL 6X30ML" u="1"/>
        <s v="PONDS POLVO COMP PIEL CLARA 16X12G" u="1"/>
        <s v="PONDS POLVO COMP AF NATURAL2 16X12G" u="1"/>
        <s v="PONDS POLVO COMP AF CARIBE 16X12G" u="1"/>
        <s v="ALD FRUNAS BARRA 18X50 (8,3)" u="1"/>
        <s v="BYB MAYONESA CLASICA BOLSA 4/3000g" u="1"/>
        <s v="BYB SALSA PICAMAS ALMOHADITA 48/110 g" u="1"/>
        <s v="BYB SALSA T/KETCHUP BOLSA 16/950g" u="1"/>
        <s v="BYB SALSA T/KETCHUP PLASTICO 24/400g" u="1"/>
        <s v="BYB MAYONESA EXTRAMAYO BOLSA 4/3000g" u="1"/>
        <s v="BYB MAYONESA EXTRAMAYO BOLSA 8/1500g" u="1"/>
        <s v="BONI COCA COLA 355 ML" u="1"/>
        <s v="BONI YAES MUCHO NACHO ARTESANAL 150gr" u="1"/>
        <s v="NSK BIC ENCENDEDOR HANDY P/ESTUFA (90)" u="1"/>
        <s v="NSK LAVAPLATOS AXION 235G UNIDAD (48)" u="1"/>
        <s v="YAES VINAGRE MANZANA CLEMEN 500ml (24)" u="1"/>
        <s v="FOOD NATURAS PASTA TRADICIONAL 96X100G" u="1"/>
        <s v="BYB CONCENTRADO DE HORCHATA 4/3786 ml" u="1"/>
        <s v="BYB SALSA PICAMAS VERDE BOLSA 32/454g" u="1"/>
        <s v="BYB VINAGRE CLARO GALÓN PLASTICO 4/3785ml" u="1"/>
        <s v="YAES MUCHO NACHO SALSA DE QUESO 105 G (30)" u="1"/>
        <s v="FOOD KNORR SOPA GAL C/ARROZ CHIP 12X12X55G (144)" u="1"/>
        <s v="DOVE MINIROLLON ORIGINAL 6X30ML" u="1"/>
        <s v="EGO GEL ATTRAC 6/1000ML" u="1"/>
        <s v="FOOD MAIZENA FECULA BAN/FRESA/VAIN 16X12X45G" u="1"/>
        <s v="XHC DOVE JAB BABY HUMECTANTE 48X75G" u="1"/>
        <s v="ALC ORO MAY HARIN MAIZ BLANC 5LB (6)" u="1"/>
        <s v="NSK DOÑA BLANCA CILINDRO 400G (20)" u="1"/>
        <s v="NSK COLGATE KIT DE CEPILL 1X24TX6UNDS" u="1"/>
        <s v="QUA JUGOS YA FRUTAS TROPICALES 10X15" u="1"/>
        <s v="CB CAFE BARISTA SOLUBLE 12X24X8g" u="1"/>
        <s v="NSK BIC RASURADORA CONFORT 2 12 (48)" u="1"/>
        <s v="NSK LAVAPLATOS  POTENSOL MARQUETA 215GR (42)" u="1"/>
        <s v="XHC DIN ROKU JAB AMARILLO 400G (4)" u="1"/>
        <s v="NSK LAVAPLATOS DOÑA BCA.CILINDRO 170GR(6)" u="1"/>
        <s v="UNS CAR MENTOLADO JAAZZ CLOROFILA 100und (30)" u="1"/>
        <s v="AXE AERO AP COLLISION 12X90G" u="1"/>
        <s v="AXE AERO BS COLLISION 12X90G" u="1"/>
        <s v="FOOD MAIZENA FECULA MAIZ  FRESA 16X12X45G (192)" u="1"/>
        <s v="BONI EGO POWER 110ML TARRO (24)" u="1"/>
        <s v="SEDAL AC 340 ML RIZOS DEFINIDOS (12)" u="1"/>
        <s v="DOVE AERO INVISIBLE DRY MEN 12X89G" u="1"/>
        <s v="DOVE STICK COCO 12X50G" u="1"/>
        <s v="UNS DULCE KOPIKO CAPUCCINO BOTE 200und (6)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REXONA AERO CLIN ANTIBAC W 12X90G" u="1"/>
        <s v="QUA JUGOS YA LIMON 10X15" u="1"/>
        <s v="DOVE AERO CUIDADO TOTAL 12X89G" u="1"/>
        <s v="DOVE AERO ORQUIDEA 12X87G" u="1"/>
        <s v="BEST CHOCO PANDA COCOA 9+1 10X30X20G (30)" u="1"/>
        <s v="BEST GOLOSINAS BOLSA 25U (24)" u="1"/>
        <s v="BONI QUA JUGO YA HORCHATA" u="1"/>
        <s v="GRECO CHOCOCHIPS GALLETA 240gr (24)" u="1"/>
        <s v="AXE AERO VITTO DARK TEMPT12X58G" u="1"/>
        <s v="BEST BOTONETAS CHOCOLATE 20X24X11.5G (20)" u="1"/>
        <s v="EGO GEL CONTROL CAIDA 3X8X110ML" u="1"/>
        <s v="BEST CHOCOFRUTA TABLETA 410 GRS 1X24" u="1"/>
        <s v="GOMITAS 4 OSOS GRANDES 14GR 12X2X20X4" u="1"/>
        <s v="BYB CONCENTRADO DE TAMARINDO DISPLAY 6/12u" u="1"/>
        <s v="KMD EL ARTESANO SALSA CHILTEPE 95g" u="1"/>
        <s v="XHC PFS MAX MB BLANC/VERD DUOX 6X3X540G" u="1"/>
        <s v="REXONA STICK CLIN SPORT STRENGTH 12X46G" u="1"/>
        <s v="QUA JUGOS YA MORA 10X15" u="1"/>
        <s v="XHC XEDEX P SUAV B PRIMAV 15X900G" u="1"/>
        <s v="REXONA AERO CLINICAL CLASSIC WOMAN 12X90G" u="1"/>
        <s v="BEST GALLETA CHOCOLATE 24X12X22G (24)" u="1"/>
        <s v="IAK KERNS JUNIOR UVA TETR 200ml (24)" u="1"/>
        <s v="XHC XEDEX P MAXIMO PODER FRUTOS DEL BOSQUE 13X800G" u="1"/>
        <s v="FOOD MAIZENA FECULA MAIZ MANZANA CANELA 16X12X47G" u="1"/>
        <s v="DCASA PAPEL HIG. 1X12X4ROLL" u="1"/>
        <s v="BONI ALC ARROZ MOLINERO BLANCO 400g (25)" u="1"/>
        <s v="AMS TOALLA HUMEDA BABY STAR 12X80" u="1"/>
        <s v="SCH SEDAL SH SOS CASPA 12X24X10ML+4" u="1"/>
        <s v="ARE ARECANA ADULTO 50 LBS" u="1"/>
        <s v="XHC XEDEX P MAXIMO PODER 30X400G" u="1"/>
        <s v="NSK LA MODERNA MOÑO 42x180G" u="1"/>
        <s v="KELL ZUCARITAS MINI SCH 5X12X20G" u="1"/>
        <s v="BONI NSK  KIT DE CEPILLADO COLGATE UND" u="1"/>
        <s v="NSK BIC RASURADORA CONFORT 2 12+2 (48)" u="1"/>
        <s v="XHC XEDEX P MAXIMO PODER 30X450G" u="1"/>
        <s v="FOS ENCENDEDORES FRAGATA MINI 10X12X3 (3 PACK)(10)" u="1"/>
        <s v="GRECO CANASTICAS GALLETA MORA ROJA 270gr (24)" u="1"/>
        <s v="NSK HOT CAKE CAJA 12x500G" u="1"/>
        <s v="XHC PFS MAX PODER VERDE LIMON 6X3X400G" u="1"/>
        <s v="XHC XEDEX P MAXIMO PODER LIMON 13X800G" u="1"/>
        <s v="IAK KERNS KETCHUP SALSA GALON (3)" u="1"/>
        <s v="FOOD NATURAS JUMB SSA RANCH 24X100G" u="1"/>
        <s v="FOOD MAIZENA FECULA MAIZ NATURAL 20X20X45G" u="1"/>
        <s v="FOOD MAIZENA FECULA MAIZ NATURAL 20X20X47G" u="1"/>
        <s v="IAK DUCAL FRIJ ROJO PICANT DyP 14oz (18)" u="1"/>
        <s v="GOMITAS LIMON Y CHILE 20GR 12X2X10X4" u="1"/>
        <s v="GRECO INTEGRAL AVENA FRUTOS ROJOS 156gr (24)" u="1"/>
        <s v="REXONA AERO BAMBOO 12X90G" u="1"/>
        <s v="XHC XEDEX P SUAVIZ YLANG 15X900G" u="1"/>
        <s v="REXONA STICK BAMBOO 12X50G" u="1"/>
        <s v="DCASA GELATINA POLVO FRESA 450G (25)" u="1"/>
        <s v="DCASA GELATINA POLVO LIMON 450G (25)" u="1"/>
        <s v="AMS PAPEL HIG MAX PAP 8X6 DORADO NEGRO HT" u="1"/>
        <s v="SCH SEDAL CR PEIN RIZ OBED 24X28X10ML" u="1"/>
        <s v="SCH SEDAL SH LISO PERFECTO 24X28X10ML" u="1"/>
        <s v="BONI QUA GALLETA BEST MANI 24X12" u="1"/>
        <s v="PD PEDIALYTE COCO 60 MEQ 500ML (12)" u="1"/>
        <s v="REXONA STICK WOMAN BAMBOO 12X50G" u="1"/>
        <s v="QUA JUGOS YA JAMAICA 10X15" u="1"/>
        <s v="XHC DIN ROKU JAB AQUA 400G (4)" u="1"/>
        <s v="XHC XEDEX DESIN CITRICOS DYP 12X750ML" u="1"/>
        <s v="IAK DUCAL FRIJ ROJO LAT 29oz (12)" u="1"/>
        <s v="IAK KERNS SALSITA RANCHERA 106GR DP (24)" u="1"/>
        <s v="EGO GEL POWER 4x6x200 ML" u="1"/>
        <s v="XHC PFS COLOSO MARQUETA 40X225G" u="1"/>
        <s v="XHC XEDEX P MAXIMO PODER 13X900G" u="1"/>
        <s v="BEST BOTE CONITO CHOCOLATE 70u (12)" u="1"/>
        <s v="SCH SAVILE CR RIZOS ARGAN 12X28X15ML" u="1"/>
        <s v="XHC XEDEX P PROTECCION COLOR 15X900G" u="1"/>
        <s v="BONI QUA NUTRIBELA 10 24X12X27ML" u="1"/>
        <s v="GRECO INTEGRAL AVENA UVA Y CIRUELA 156gr (24)" u="1"/>
        <s v="FOOD MAIZENA ALMIDON MAIZ NATURAL 40X380G" u="1"/>
        <s v="NSK LAVAPLATOS AXION 235G UNIDAD  (48)" u="1"/>
        <s v="NSK BIC RASURADORA SHAVER SENS 24+4 (24)" u="1"/>
        <s v="BEST COCOA CHOCOPANDA 24X12X20G" u="1"/>
        <s v="PONDS CR 100G  C PEPINO (24)" u="1"/>
        <s v="NSK LA MODERNA PASTA TORNILLO 42x200G" u="1"/>
        <s v="YAES LECHE DE COCO 400ml (24)" u="1"/>
        <s v="BEST CHOCOGOL DYP 50X15X5g (50)" u="1"/>
        <s v="XHC PFS MAX MB NARANJA 6X3X540G" u="1"/>
        <s v="FOOD NATURAS SALSA TOMATE RANCHERA 96X100G" u="1"/>
        <s v="QUA JUGOS YA PIÑA 10X15" u="1"/>
        <s v="REXONA AERO V8 12X90G" u="1"/>
        <s v="UNS DULCE KOPIKO CAFE BOTE 200und (6)" u="1"/>
        <s v="EGO GEL ATTRAC 4/6/200ML+5 SCH" u="1"/>
        <s v="REXONA AERO CLIN ANTIB MEN 12X91G" u="1"/>
        <s v="XHC PFS MAX MB BLANCA 6X3X540G" u="1"/>
        <s v="AMS PAPEL HIG LUCCA 24X1X168 NARANJA HD" u="1"/>
        <s v="XHC PFS LIMPIOX CILINDRO ALOE 18X320G" u="1"/>
        <s v="SEDAL SH 340 ML NEGROS LUMINOSOS (12)" u="1"/>
        <s v="MA AVENA FORTIFICADA 25X454G" u="1"/>
        <s v="XHC XEDEX P SUAVIZ B PRIMAV 30X115G" u="1"/>
        <s v="TERMO BOLSA DE BASURA NEGRA 24X35" u="1"/>
        <s v="TERMO GABACHA #1" u="1"/>
        <s v="KELL FROOT LOOPS 28X180G (28)" u="1"/>
        <s v="TERMO BOLSA TRANSPARENTE 1 Lbs (60)" u="1"/>
        <s v="IAK DUCAL BEB HOJALAT MANZ 154ml (48)" u="1"/>
        <s v="BEST FRUTIBOTONETAS TROPICAL 20Ctx24U 25G" u="1"/>
        <s v="QUA JUGOS YA NARANJA 10X15" u="1"/>
        <s v="FOOD KNORR SOPA GAL CRIOL C/FIDEOS 12X12X54G" u="1"/>
        <s v="QUA JUGOS YA MANGO 10X15" u="1"/>
        <s v="AXE AERO BS EXCITE 12X90G" u="1"/>
        <s v="SEDAL CR 300 ML PEIN KERATINA Y ANTIOX (12)" u="1"/>
        <s v="DOVE STICK ROSAS 12X45G" u="1"/>
        <s v="FOOD MAIZENA FECULA BAN/FRESA/VAIN 16X12X47G" u="1"/>
        <s v="SCH DOVE SH OLEO NUTRI 12X24X10ML" u="1"/>
        <s v="DCASA MIRASOL 12X4X90G (12)" u="1"/>
        <s v="XHC MAX PODER AZUL 6X4X330G" u="1"/>
        <s v="AXE AERO BS APOLLO 12X90G" u="1"/>
        <s v="ALD PIN POP SENSAT CHICLE SABOR SURTI 1x24u (16)" u="1"/>
        <s v="DCASA GELATINA POLVO UVA 450G (25)" u="1"/>
        <s v="XHC MAX BLANC/NARAN DUOX 6X4X330G" u="1"/>
        <s v="BEST FRUTI BOTONETAS TROPICAL 20X24X25G (20)" u="1"/>
        <s v="TERMO BOLSA COLOR 5 Lbs" u="1"/>
        <s v="IAK KERNS JUNIOR PERA TETR 200ml (24)" u="1"/>
        <s v="NSK LA MODERNA CODITOS QUESO 20x200G" u="1"/>
        <s v="AXE AERO BS BLACK NIGHT12X90G" u="1"/>
        <s v="DOVE AERO GO FRESH PEPINO 12X89G" u="1"/>
        <s v="YAES ROSTIZADOR 100/100G" u="1"/>
        <s v="FOOD NATURAS SALSA TOMATE C/CARNE 96X100G" u="1"/>
        <s v="AXE AERO AP ICE CHILL 12X90G/152ML" u="1"/>
        <s v="BYB MAYONESA EXTRAMAYO 32/375g" u="1"/>
        <s v="AMS SERVILLETA MAX PAPPEL 10X1X100 CUADRADA" u="1"/>
        <s v="IAK GOYA MAIZ ENTERO 15.25 ONZ (24)" u="1"/>
        <s v="NSK BIC MAXI J6 CARTÓN 15+3 (20)" u="1"/>
        <s v="BIOKLAR SPRAY DESIN SIN FRAG 250ML (24)" u="1"/>
        <s v="BONI ALC ARROZ ESTRELLA PRECOCIDO 350g (25)" u="1"/>
        <s v="TERMO BOLSA TRANSPARENTE 1 Lbs" u="1"/>
        <s v="BONI NSK JABON PROTEX FRESH 110GR (96)" u="1"/>
        <s v="IAK DUCAL FRIJ ROJO DyP 14.1oz (18)" u="1"/>
        <s v="TERMO BOLSA TRANSPARENTE 3 Lbs" u="1"/>
        <s v="FOOD NATURAS SALSA TOMATE C/CARNES 96X100G" u="1"/>
        <s v="AMS TOALLAS HUMEDAS BABY STAR 24X40" u="1"/>
        <s v="BYB CHILE JALAPEÑO LA CONTENTA LATA 48/180g" u="1"/>
        <s v="FOOD MAIZENA FECULA MAIZ NATURAL 20X20X45G (400)" u="1"/>
        <s v="NSK LA MODERNA SPAGHETTI QUESO 20x200G" u="1"/>
        <s v="GOMITAS 10 OSOS 12X2X20X10" u="1"/>
        <s v="DIN SOPA ISSIMA POLLO CON CHILE (12)" u="1"/>
        <s v="REXONA STICK MEN ANTIBACT FRESH 12X50G" u="1"/>
        <s v="FOOD KNORR SOPA POLLO C/FIDEO 12X12X55G" u="1"/>
        <s v="NSK LA MODERNA CARACOL 3 42x200G" u="1"/>
        <s v="AXE AERO BS BLACK 12X90G" u="1"/>
        <s v="BYB MERMELADA DE FRESA TARRO 12/300g" u="1"/>
        <s v="ALD YOGUETA MILK 16X24u (16)" u="1"/>
        <s v="IAK DUCAL FRIJ ROJO LAT 5.5oz (48)" u="1"/>
        <s v="XHC XEDEX P SUAVIZ YLANG 15X1KG" u="1"/>
        <s v="AMS PAPEL HIG MAX PAP. 6X4 MEJOR QUE 1000HD" u="1"/>
        <s v="GOMITAS 4 TAPA Y CORAZONES FRUTA 20GR 12X2X10X4" u="1"/>
        <s v="BYB MAYONESA CLASICA BOLSA 8/1500g" u="1"/>
        <s v="DIN SOPA ISSIMA CAMARON/CHILE (12)" u="1"/>
        <s v="NSK LA MODERNA GALL MARIANITA NUEZ 20x185G" u="1"/>
        <s v="BONI QUA SAVILOE UND 500ML (12)" u="1"/>
        <s v="AMS PAPEL HIGENICO LUCCA 24X1X1000 MEJOR HD" u="1"/>
        <s v="EGO GEL POWER 6/1000 ML" u="1"/>
        <s v="QUA FRUTY F SURTIDO 8X18X14G" u="1"/>
        <s v="QUA NUTRIBELA TRAT CAP 24X12X27ML" u="1"/>
        <s v="QUA JUGOS YA DURAZNO 10X15" u="1"/>
        <s v="FOOD NATURAS FRIJOL NEGRO VOLTEADO 24X380G" u="1"/>
        <s v="XHC MAX PODER VERDE 6X4X330G" u="1"/>
        <s v="DCASA GELATINA POLVO NARANJA 450G (25)" u="1"/>
        <s v="FOOD NATURAS SALSA ITALIANA CL 96X100G" u="1"/>
        <s v="QUA JUGOS YA FRESA 10X15" u="1"/>
        <s v="BYB CHILE JALAPEÑO SEMIPICANTE BOLSA 12/320g" u="1"/>
        <s v="REXONA AERO ANTIBAC INVISIBLE MEN 12X90G" u="1"/>
        <s v="GRECO GALL CHOCOCHIPS MINI 16X" u="1"/>
        <s v="BEST GALLETA MICHOKO 24X12X22G (24)" u="1"/>
        <s v="BONI QUA FRUTY FRESCO (8)" u="1"/>
        <s v="FOOD NATURAS FRIJOL NEGRO VOLT 24X210G" u="1"/>
        <s v="TERMO GABACHA #2" u="1"/>
        <s v="KELL ZUCARITAS 28X260G (28)" u="1"/>
        <s v="DIN SOPA ISSIMA POLLO (12)" u="1"/>
        <s v="IAK DUCAL FRIJ NEGR LAT 5.5oz PROMO (48)" u="1"/>
        <s v="BEST RODAJAS JAL EN ESCAB 24/170G" u="1"/>
        <s v="XHC PFS CENTELLA CHIBOLONA VERDE 4X3X400G" u="1"/>
        <s v="AMS PAPEL HIG MAX PAP. SUPER ECON 4X12 (4)" u="1"/>
        <s v="DOVE STICK GO FRESH PEPINO" u="1"/>
        <s v="AMS TOALLA FEM FEELING MAXI NOCTURNA 12X8" u="1"/>
        <s v="SCH SEDAL SH 2EN1 CERAMIDAS 12X24X10ML+4 SCH" u="1"/>
        <s v="BONI DIN SALSA ISSIMA RANCHERA 106g (96)" u="1"/>
        <s v="NSK LA MODERNA CODO 2 50x200G" u="1"/>
        <s v="AMS SHAMPOO BABY STAR 5X30X10ML SIN LAGRIMAS" u="1"/>
        <s v="XHC PFS CENTELLA CHIBOLONA AMARILLO 4X3X400G" u="1"/>
        <s v="NSK BIC RASURADORA TWIN LADY 12+2 KIT CEP (24)" u="1"/>
        <s v="SEDAL CR 300 ML PEIN LISOS PERFEC (12)" u="1"/>
        <s v="XHC DIN ROKU JAB SALMON 400G (4)" u="1"/>
        <s v="SCH SEDAL CR PEIN KERAT 12X24X10ML+SH" u="1"/>
        <s v="TERMO GABACHA MINI/PIWI" u="1"/>
        <s v="DCASA GELATINA POLVO FRAMB.25X450g" u="1"/>
        <s v="KELL FROOT LOOPS MINI SCH 5X12X22G (5)" u="1"/>
        <s v="FOOD KNORR SOPA GAL C/CONCHI 12X12X54G (144)" u="1"/>
        <s v="AMS PAPEL HIG MAX PAP MED VERDE HD 24X1X320" u="1"/>
        <s v="BONI ALC ARROZ GALLO DORADO 400g (25)" u="1"/>
        <s v="XHC XEDEX P SUAVIZ YLANG 30X115G" u="1"/>
        <s v="EGO GEL POWER 6/30/12ML" u="1"/>
        <s v="UNS EXTENSION DOMESTICA SPT  6MTS" u="1"/>
        <s v="BONI QUA YUS FRUTAS TROPICALES 9x15x28g" u="1"/>
        <s v="BONI QUA GALLETA BEST MANI 24X12 (JUGOS YA)" u="1"/>
        <s v="FOS PALITO CHOCOBANANO EL SOL 36X150u" u="1"/>
        <s v="MA AVENA MOSH ESTRELLA 25X360G" u="1"/>
        <s v="QUA JUGOS YA GUANABA 10X15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IAK DUCAL BEB HOJALAT MELOC 154ml (48)" u="1"/>
        <s v="QUA SAVILOE 12X320ML (PAQUETE)" u="1"/>
        <s v="QUA SAVILOE 12X500ML (PAQUETE)" u="1"/>
        <s v="AXE AERO AP DARK TEMP SEC 12X90G" u="1"/>
        <s v="IPR MIEL MAPLE 360ML (12)" u="1"/>
        <s v="AXE STICK AP ICE CHILL 12X50G" u="1"/>
        <s v="XHC XEDEX P MULTI LIMP ACTIVA 15X900G" u="1"/>
        <s v="EGO GEL URBAN 4x6x110 ML" u="1"/>
        <s v="BONI BIC 1 PAR DE RASURADORA CONFORT 2" u="1"/>
        <s v="REXONA STICK WOMAN ANTIBAC 12X50G" u="1"/>
        <s v="NSK LA MODERNA SUR GALLETAS 1143KG" u="1"/>
        <s v="PONDS CR  50G CLARANT B3 SECA (24)" u="1"/>
        <s v="PONDS CR 100G CLARANT B3 SECA (24)" u="1"/>
        <s v="IAK KERNS NECT PERA TETR 250ml (24)" u="1"/>
        <s v="BYB MAYONESA PRIMA BOLSA 4/3000g" u="1"/>
        <s v="BONI UL PALANGA" u="1"/>
        <s v="FOOD KNORR SOPA TORTILLA 12X12X58G" u="1"/>
        <s v="SCH QUA NUTRIBELA 10 6+6 (24)" u="1"/>
        <s v="XHC XEDEX P MULTI LIMP ACTIVA 20X250G" u="1"/>
        <s v="NSK BIC ENCENDEDOR J6 MAXI (75)" u="1"/>
        <s v="AMS PAPEL HIG MAX PAP. 2 PACK MORADO HD 12X2X350" u="1"/>
        <s v="BYB MOSTAZA BOLSA 32/390g" u="1"/>
        <s v="BONI DIN PLATO PLASTICO" u="1"/>
        <s v="IPR MERMELADA PINA 12OZ (24)" u="1"/>
        <s v="BEST BOTE CONITO RELL SUR 70u (12)" u="1"/>
        <s v="FOOD NATURAS SALSA C/QUESO 96X100G" u="1"/>
        <s v="GOMITAS 4 TAPA MENTA 20GR 12X2X10X4" u="1"/>
        <s v="NSK BIC ENCENDEDOR MAXI J6 5+1 (60)" u="1"/>
        <s v="BONI IAK DUCAL FRIJOL NEGRO DyP 8 ONZ" u="1"/>
        <s v="SCH SAVILE SH ARGAN 12X28X15ML" u="1"/>
        <s v="SCH SAVILE CR ARGAN 24X28X15ML" u="1"/>
        <s v="FOOD MAIZENA FECULA MAIZ BANANA 16X12X47G" u="1"/>
        <s v="XHC PFS CENTELLA CHIBOLONA AZUL 4X3X400G" u="1"/>
        <s v="NSK BIC ENCENDEDOR MAXI J6 CARTON 15u (25)" u="1"/>
        <s v="SEDAL SH 340 ML LISO PERFECTO (12)" u="1"/>
        <s v="XHC PFS CENTELLA CAMPEON VERDE 6X4X330G" u="1"/>
        <s v="XHC XEDEX P ANTIBACT 20X250G" u="1"/>
        <s v="QUA JUGOS YA HORCHATA 10X15" u="1"/>
        <s v="NSK LA MODERNA CODO 3 42x200G" u="1"/>
        <s v="ALD PIN POP WATERMELON 16X24 (15G)" u="1"/>
        <s v="DCASA GELATINA POLVO PIÑA 450G (25)" u="1"/>
        <s v="BONI NSK BIC ENCENDEDOR J6 MAXI (75)" u="1"/>
        <s v="IAK KERNS SALSITA QUESO 106GR DP (24)" u="1"/>
        <s v="BEST BOTONETA CHOCOLATE 80X6X20G (80)" u="1"/>
        <s v="BEST CHIPOTLES ADOBADOS 24/160G" u="1"/>
        <s v="AMS JAB ANTIBAC CLT PINK LIMONADE 12X500" u="1"/>
        <s v="XHC XEDEX P PROTECCION COLOR 20X250G" u="1"/>
        <s v="AMS PAPEL HIG MAX PAP. 12X4 MEJOR QUE 1000 HD" u="1"/>
        <s v="NSK LA MODERNA PLUMA 42x200G" u="1"/>
        <s v="NSK LA MODERNA MACARRON LARGO 20x200G" u="1"/>
        <s v="BONI ALC ARROZ ESTRELLA BLANCO 350g (25)" u="1"/>
        <s v="AXE AERO BS GOLD TEMPTATION 12X90G" u="1"/>
        <s v="DCASA MIRASOL MARG 6X60X35G" u="1"/>
        <s v="XHC XEDEX DESIN CITRICOS SCH 5X12X100ML" u="1"/>
        <s v="XHC PFS MAX MB BLANC/NAR DUOX 6X3X540G" u="1"/>
        <s v="SCH SAVILE SH 2EN1 24X28X15ML" u="1"/>
        <s v="EGO GEL ATTRAC 24/110ML" u="1"/>
        <s v="IAK KERNS TE LIMON 2500ML (6)" u="1"/>
        <s v="GOMITAS 4 OSOS 12X2X20X4" u="1"/>
        <s v="BYB CONCENTRADO DE JAMAICA 12/678 ml" u="1"/>
        <s v="BONI ALC HARINA ORO MAYA 800g (9)" u="1"/>
        <s v="ALD SONETTO SURTIDO 16X100 (4G)" u="1"/>
        <s v="REXONA AERO CLINICAL CLEAN MEN 12X90G" u="1"/>
        <s v="SEDAL SH 340 ML KERATINA C ANTIOX (12)" u="1"/>
        <s v="SEDAL CR 300 ML PEIN RIZOS OBEDIENTES (12)" u="1"/>
        <s v="BEST BOTONETA MANÍ 80X6X20G (80)" u="1"/>
        <s v="XHC XEDEX DESIN LAVANDA DYP 12X750ML" u="1"/>
        <s v="BYB CHILE JALAPEÑO PICANTE BOLSA 12/320g" u="1"/>
        <s v="FOOD HELLMANNS MOST DYP 12X100G" u="1"/>
        <s v="FOOD KNORR SOPA POLL VERD CODITO 12X12X54G" u="1"/>
        <s v="FOOD KNORR SOPA COST CRIOL C/FID 12X12X55G" u="1"/>
        <s v="FOOD KNORR SOPA GAL C/ARROZ CHIP 12X12X55G" u="1"/>
        <s v="BEST CHOCOFRUTA 10X 1600G (10)" u="1"/>
        <s v="AXE AERO BS DARK TEMPT 12X90G" u="1"/>
        <s v="BEST BOTONETAS MANI 20X24X13G (20)" u="1"/>
        <s v="XHC XEDEX DESIN LAVANDA SCH 5X12X100ML" u="1"/>
        <s v="GOMITAS 5 OSOS PEQUEÑOS 12.5GR 12X2X20X5" u="1"/>
        <s v="FOOD KNORR SOPA GAL C/CONCHI 12X12X54G" u="1"/>
        <s v="KELL CHOCO KRISPI SCH 8X6X150G (8)" u="1"/>
        <s v="PONDS CR 100G H (24)" u="1"/>
        <s v="SCH SAVILE SH BIOTINA 12X28X15ML" u="1"/>
        <s v="BONI PD EXHIBIDOR PEDIALYTE" u="1"/>
        <s v="SCH SAVILE SH ANTICASPA 24X28X15ML (24)" u="1"/>
        <s v="AXE AERO BS ICE CHILL 12X90G" u="1"/>
        <s v="IAK DUCAL FRIJ CARNICOS LAT 28oz (12)" u="1"/>
        <s v="BONI QUA GALLETA BEST MANI 24X12 (YUS)" u="1"/>
      </sharedItems>
    </cacheField>
    <cacheField name="Columna3" numFmtId="0">
      <sharedItems containsSemiMixedTypes="0" containsString="0" containsNumber="1" containsInteger="1" minValue="2688" maxValue="5184"/>
    </cacheField>
    <cacheField name="Columna4" numFmtId="0">
      <sharedItems containsSemiMixedTypes="0" containsString="0" containsNumber="1" minValue="0.19833333333333333" maxValue="0.19843750000000002"/>
    </cacheField>
    <cacheField name="Columna5" numFmtId="0">
      <sharedItems containsSemiMixedTypes="0" containsString="0" containsNumber="1" minValue="533.12" maxValue="1028.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157411" createdVersion="8" refreshedVersion="8" minRefreshableVersion="3" recordCount="136" xr:uid="{B94426A9-B582-4D68-8CC8-DFDE2D49BE5F}">
  <cacheSource type="worksheet">
    <worksheetSource name="RUTA470"/>
  </cacheSource>
  <cacheFields count="5">
    <cacheField name="Columna1" numFmtId="0">
      <sharedItems containsMixedTypes="1" containsNumber="1" containsInteger="1" minValue="201" maxValue="10080010002" count="481">
        <n v="10010010010"/>
        <n v="10010020002"/>
        <n v="10020010007"/>
        <n v="10020040002"/>
        <n v="19640306"/>
        <n v="5460400"/>
        <n v="576003"/>
        <n v="586703"/>
        <n v="60000094"/>
        <n v="60000205"/>
        <n v="60000209"/>
        <n v="60000210"/>
        <n v="60000215"/>
        <n v="620678"/>
        <n v="620821"/>
        <n v="620845"/>
        <n v="621330"/>
        <n v="621491"/>
        <n v="640676"/>
        <n v="640683"/>
        <n v="640690"/>
        <n v="640959"/>
        <n v="641833"/>
        <n v="642236"/>
        <n v="642557"/>
        <n v="680078"/>
        <n v="680092"/>
        <n v="68667239"/>
        <n v="68798139"/>
        <n v="68798140"/>
        <n v="69584486"/>
        <n v="69584500"/>
        <n v="69678219"/>
        <n v="69678220"/>
        <n v="69678222"/>
        <n v="69717303"/>
        <n v="69761861"/>
        <n v="69761865"/>
        <n v="69761868"/>
        <n v="69761870"/>
        <n v="69780941"/>
        <s v="ALD05665"/>
        <s v="ALD05669"/>
        <s v="ALD06514"/>
        <s v="ALD06515"/>
        <s v="ALD06517"/>
        <s v="ALD06519"/>
        <s v="ALD06520"/>
        <s v="ALD06521"/>
        <s v="ALD06522"/>
        <s v="ALD06523"/>
        <s v="ALD06524"/>
        <s v="ALD06526"/>
        <s v="ARE15041"/>
        <s v="ARE15052"/>
        <s v="BYB00020500"/>
        <s v="BYB00020502"/>
        <s v="BYB00053209"/>
        <s v="BYB00053215"/>
        <s v="BYB00053225"/>
        <s v="BYB00080707"/>
        <s v="BYB00084423"/>
        <s v="BYB00084424"/>
        <s v="BYB00084425"/>
        <s v="BYB00091035"/>
        <s v="BYB00100401"/>
        <s v="BYB00100507"/>
        <s v="BYB00100801"/>
        <s v="BYB00101601"/>
        <s v="BYB00140401"/>
        <s v="BYB00140801"/>
        <s v="BYB00170440"/>
        <s v="BYB00170441"/>
        <s v="BYB00190450"/>
        <s v="BYB00190454"/>
        <s v="BYB00190850"/>
        <s v="BYB00200400"/>
        <s v="BYB00220400"/>
        <s v="BYB00230438"/>
        <s v="BYB00230939"/>
        <s v="BYB00231238"/>
        <s v="BYB00281551"/>
        <s v="BYB00430000"/>
        <s v="BYB00441400"/>
        <s v="DIN641628"/>
        <s v="DIN642205"/>
        <s v="DIN642304"/>
        <s v="DIN642885"/>
        <s v="DM1002"/>
        <s v="GT001N"/>
        <s v="GTALD0001"/>
        <s v="GTDIN016"/>
        <s v="GTQ0012"/>
        <s v="GTQ0014"/>
        <s v="IQM1010110"/>
        <s v="K209481"/>
        <s v="N3639009"/>
        <s v="N51810413"/>
        <s v="N7157"/>
        <s v="N7158"/>
        <s v="N7509"/>
        <s v="N7510"/>
        <s v="N7512"/>
        <s v="N7516"/>
        <s v="N7519"/>
        <s v="N7524"/>
        <s v="N7525"/>
        <s v="N7526"/>
        <s v="N7528"/>
        <s v="N7545"/>
        <s v="N7546"/>
        <s v="N7748"/>
        <s v="N8680"/>
        <s v="N9006"/>
        <s v="P370040"/>
        <s v="PD39206"/>
        <s v="PD39241"/>
        <s v="PD39248"/>
        <s v="PD39360"/>
        <s v="PD39842"/>
        <s v="Q000246"/>
        <s v="Q000247"/>
        <s v="Q000249"/>
        <s v="Q000250"/>
        <s v="Q000254"/>
        <s v="Q1003"/>
        <s v="Q1005"/>
        <s v="Q1006"/>
        <s v="Q1007"/>
        <s v="Q1021"/>
        <s v="QUA79240103"/>
        <s v="QUA79240105"/>
        <s v="YAES00305"/>
        <s v="YAES00307"/>
        <s v="YAES00310"/>
        <s v="YAESSC00028"/>
        <n v="19640304" u="1"/>
        <n v="5467000" u="1"/>
        <n v="579235" u="1"/>
        <n v="60000212" u="1"/>
        <n v="68865803" u="1"/>
        <n v="68865806" u="1"/>
        <n v="10080010002" u="1"/>
        <n v="579407" u="1"/>
        <n v="60000133" u="1"/>
        <n v="620500" u="1"/>
        <n v="621323" u="1"/>
        <n v="621439" u="1"/>
        <n v="68649837" u="1"/>
        <n v="84157033" u="1"/>
        <n v="84159040" u="1"/>
        <n v="642694" u="1"/>
        <n v="67767705" u="1"/>
        <n v="69584482" u="1"/>
        <n v="69584483" u="1"/>
        <n v="69584487" u="1"/>
        <n v="69714154" u="1"/>
        <n v="84157362" u="1"/>
        <n v="579409" u="1"/>
        <n v="588828" u="1"/>
        <n v="642359" u="1"/>
        <n v="642366" u="1"/>
        <n v="642373" u="1"/>
        <n v="642380" u="1"/>
        <n v="67139177" u="1"/>
        <n v="680672" u="1"/>
        <n v="680689" u="1"/>
        <n v="68395025" u="1"/>
        <n v="579305" u="1"/>
        <n v="68667235" u="1"/>
        <n v="574983" u="1"/>
        <n v="68441503" u="1"/>
        <n v="68441507" u="1"/>
        <n v="68647716" u="1"/>
        <n v="67611013" u="1"/>
        <n v="68524861" u="1"/>
        <n v="68923657" u="1"/>
        <n v="68441512" u="1"/>
        <n v="68524859" u="1"/>
        <n v="84158961" u="1"/>
        <n v="84158963" u="1"/>
        <n v="576004" u="1"/>
        <n v="578086" u="1"/>
        <n v="68115523" u="1"/>
        <n v="68437778" u="1"/>
        <n v="69714162" u="1"/>
        <n v="69761866" u="1"/>
        <n v="68775732" u="1"/>
        <n v="69618163" u="1"/>
        <n v="579403" u="1"/>
        <n v="68524852" u="1"/>
        <n v="69584479" u="1"/>
        <n v="67611014" u="1"/>
        <n v="68524857" u="1"/>
        <n v="69786713" u="1"/>
        <n v="68637162" u="1"/>
        <n v="574986" u="1"/>
        <n v="68436586" u="1"/>
        <n v="576000" u="1"/>
        <n v="84157012" u="1"/>
        <n v="84163149" u="1"/>
        <n v="84171576" u="1"/>
        <n v="68444067" u="1"/>
        <n v="84163148" u="1"/>
        <n v="68380364" u="1"/>
        <n v="588831" u="1"/>
        <n v="69714199" u="1"/>
        <n v="579405" u="1"/>
        <n v="68170131" u="1"/>
        <n v="68357624" u="1"/>
        <n v="69629500" u="1"/>
        <n v="583415" u="1"/>
        <n v="68155562" u="1"/>
        <n v="69627014" u="1"/>
        <n v="68380352" u="1"/>
        <n v="68524849" u="1"/>
        <n v="68780160" u="1"/>
        <n v="19640305" u="1"/>
        <n v="68444066" u="1"/>
        <n v="69678218" u="1"/>
        <n v="84168418" u="1"/>
        <n v="579412" u="1"/>
        <n v="67611010" u="1"/>
        <n v="652532" u="1"/>
        <n v="68380353" u="1"/>
        <n v="68524850" u="1"/>
        <n v="67409831" u="1"/>
        <n v="571467" u="1"/>
        <n v="68441544" u="1"/>
        <n v="565119" u="1"/>
        <n v="680214" u="1"/>
        <n v="68193098" u="1"/>
        <n v="68874809" u="1"/>
        <n v="67707590" u="1"/>
        <n v="68524848" u="1"/>
        <n v="84168484" u="1"/>
        <n v="84153470" u="1"/>
        <n v="579264" u="1"/>
        <n v="69714198" u="1"/>
        <n v="84171222" u="1"/>
        <n v="69620218" u="1"/>
        <n v="68874810" u="1"/>
        <n v="68875982" u="1"/>
        <n v="67721092" u="1"/>
        <n v="84162865" u="1"/>
        <n v="67409923" u="1"/>
        <n v="67707595" u="1"/>
        <n v="68787808" u="1"/>
        <n v="84158965" u="1"/>
        <n v="579362" u="1"/>
        <n v="68354542" u="1"/>
        <n v="68611972" u="1"/>
        <n v="67611016" u="1"/>
        <n v="68688972" u="1"/>
        <n v="84160187" u="1"/>
        <n v="68193097" u="1"/>
        <n v="579406" u="1"/>
        <n v="68865804" u="1"/>
        <n v="84163166" u="1"/>
        <n v="68645445" u="1"/>
        <n v="576690" u="1"/>
        <n v="579337" u="1"/>
        <n v="579413" u="1"/>
        <n v="642205" u="1"/>
        <n v="1008010073" u="1"/>
        <n v="1008011812" u="1"/>
        <n v="1008012355" u="1"/>
        <n v="1008014100" u="1"/>
        <n v="400000033" u="1"/>
        <n v="400000048" u="1"/>
        <n v="400000127" u="1"/>
        <n v="50491100" u="1"/>
        <n v="50491101" u="1"/>
        <n v="50491107" u="1"/>
        <n v="50491131" u="1"/>
        <n v="50491132" u="1"/>
        <n v="50491133" u="1"/>
        <n v="50491134" u="1"/>
        <n v="52480086" u="1"/>
        <n v="579319" u="1"/>
        <n v="67986539" u="1"/>
        <n v="68524854" u="1"/>
        <n v="68818454" u="1"/>
        <n v="50470111" u="1"/>
        <n v="50470112" u="1"/>
        <n v="50470114" u="1"/>
        <n v="50470115" u="1"/>
        <n v="50491102" u="1"/>
        <n v="50491104" u="1"/>
        <n v="50491108" u="1"/>
        <n v="50491109" u="1"/>
        <n v="50491122" u="1"/>
        <n v="67171635" u="1"/>
        <n v="68436592" u="1"/>
        <n v="50470118" u="1"/>
        <n v="50491103" u="1"/>
        <n v="50491106" u="1"/>
        <n v="68754734" u="1"/>
        <n v="68647722" u="1"/>
        <n v="68864406" u="1"/>
        <n v="84153561" u="1"/>
        <n v="50491121" u="1"/>
        <n v="67519203" u="1"/>
        <n v="68174780" u="1"/>
        <n v="68354529" u="1"/>
        <n v="68786560" u="1"/>
        <n v="69629507" u="1"/>
        <n v="52480095" u="1"/>
        <n v="67409941" u="1"/>
        <n v="68436574" u="1"/>
        <n v="67707587" u="1"/>
        <n v="50470107" u="1"/>
        <n v="50470108" u="1"/>
        <n v="52480094" u="1"/>
        <n v="84168485" u="1"/>
        <n v="68524847" u="1"/>
        <n v="68766039" u="1"/>
        <n v="69629503" u="1"/>
        <n v="69629502" u="1"/>
        <n v="641628" u="1"/>
        <n v="67707584" u="1"/>
        <n v="68875985" u="1"/>
        <n v="68876989" u="1"/>
        <n v="84153562" u="1"/>
        <n v="206" u="1"/>
        <n v="1007" u="1"/>
        <n v="68534532" u="1"/>
        <n v="256" u="1"/>
        <n v="579404" u="1"/>
        <n v="50470101" u="1"/>
        <n v="586682" u="1"/>
        <n v="50470105" u="1"/>
        <n v="68401571" u="1"/>
        <n v="84151286" u="1"/>
        <n v="84157831" u="1"/>
        <n v="84150507" u="1"/>
        <n v="50491119" u="1"/>
        <n v="68142902" u="1"/>
        <n v="1000" u="1"/>
        <n v="50470103" u="1"/>
        <n v="201" u="1"/>
        <n v="84156838" u="1"/>
        <n v="251" u="1"/>
        <n v="400000386" u="1"/>
        <n v="68141796" u="1"/>
        <n v="1019" u="1"/>
        <n v="1006" u="1"/>
        <n v="68614030" u="1"/>
        <n v="566701" u="1"/>
        <n v="576002" u="1"/>
        <n v="579410" u="1"/>
        <n v="67627147" u="1"/>
        <n v="4040000841" u="1"/>
        <n v="10040010015" u="1"/>
        <n v="246" u="1"/>
        <n v="579411" u="1"/>
        <n v="68802170" u="1"/>
        <n v="254" u="1"/>
        <n v="67409938" u="1"/>
        <n v="68354522" u="1"/>
        <n v="84154860" u="1"/>
        <n v="578100" u="1"/>
        <n v="576006" u="1"/>
        <n v="84150971" u="1"/>
        <n v="1005" u="1"/>
        <n v="50491112" u="1"/>
        <n v="68524851" u="1"/>
        <n v="400000221" u="1"/>
        <n v="557831" u="1"/>
        <n v="68399684" u="1"/>
        <n v="404000140" u="1"/>
        <n v="249" u="1"/>
        <n v="400000412" u="1"/>
        <n v="67746868" u="1"/>
        <n v="207" u="1"/>
        <n v="50491114" u="1"/>
        <n v="84157802" u="1"/>
        <n v="68141797" u="1"/>
        <n v="571466" u="1"/>
        <n v="573809" u="1"/>
        <n v="67190950" u="1"/>
        <n v="68227509" u="1"/>
        <n v="68534556" u="1"/>
        <n v="68646674" u="1"/>
        <n v="400000161" u="1"/>
        <n v="565574" u="1"/>
        <n v="67728485" u="1"/>
        <n v="68614031" u="1"/>
        <n v="589111" u="1"/>
        <n v="50491116" u="1"/>
        <n v="68637131" u="1"/>
        <n v="1008071533" u="1"/>
        <n v="1004" u="1"/>
        <n v="50470100" u="1"/>
        <n v="84161579" u="1"/>
        <n v="252" u="1"/>
        <n v="573812" u="1"/>
        <n v="50470104" u="1"/>
        <n v="67150066" u="1"/>
        <n v="67883019" u="1"/>
        <n v="588829" u="1"/>
        <n v="19790103" u="1"/>
        <n v="50491118" u="1"/>
        <n v="67279491" u="1"/>
        <n v="400000411" u="1"/>
        <n v="50470102" u="1"/>
        <n v="1008011991" u="1"/>
        <n v="50470106" u="1"/>
        <n v="67611015" u="1"/>
        <n v="67409830" u="1"/>
        <n v="247" u="1"/>
        <n v="68637139" u="1"/>
        <n v="547830" u="1"/>
        <n v="60000262" u="1"/>
        <n v="68565714" u="1"/>
        <n v="68649838" u="1"/>
        <n v="400000160" u="1"/>
        <n v="205" u="1"/>
        <n v="1003" u="1"/>
        <n v="52480083" u="1"/>
        <n v="1008010115" u="1"/>
        <n v="1008013091" u="1"/>
        <n v="255" u="1"/>
        <n v="579213" u="1"/>
        <n v="67611019" u="1"/>
        <n v="67746869" u="1"/>
        <n v="79790105" u="1"/>
        <n v="547832" u="1"/>
        <n v="573818" u="1"/>
        <n v="68141798" u="1"/>
        <n v="579321" u="1"/>
        <n v="60000264" u="1"/>
        <n v="68534542" u="1"/>
        <n v="1009" u="1"/>
        <n v="573819" u="1"/>
        <n v="68646675" u="1"/>
        <n v="84162953" u="1"/>
        <n v="69620216" u="1"/>
        <n v="573820" u="1"/>
        <n v="1008094293" u="1"/>
        <n v="250" u="1"/>
        <n v="214902" u="1"/>
        <n v="67952534" u="1"/>
        <n v="68524841" u="1"/>
        <n v="403000261" u="1"/>
        <n v="1002" u="1"/>
        <n v="67409940" u="1"/>
        <n v="68647721" u="1"/>
        <n v="68809921" u="1"/>
        <n v="1008010113" u="1"/>
        <n v="1021" u="1"/>
        <n v="567647" u="1"/>
        <n v="1008" u="1"/>
        <n v="642304" u="1"/>
        <n v="50491113" u="1"/>
        <n v="68524853" u="1"/>
        <n v="84163138" u="1"/>
        <n v="253" u="1"/>
        <n v="52460025" u="1"/>
        <n v="67611005" u="1"/>
        <n v="68564978" u="1"/>
        <n v="68882798" u="1"/>
        <n v="68564993" u="1"/>
        <n v="69629504" u="1"/>
        <n v="20110020" u="1"/>
        <n v="68455320" u="1"/>
        <n v="1001" u="1"/>
        <n v="576774" u="1"/>
        <n v="68193096" u="1"/>
        <n v="68647714" u="1"/>
        <n v="68170124" u="1"/>
        <n v="68466966" u="1"/>
        <n v="68534543" u="1"/>
        <n v="67574559" u="1"/>
        <n v="67409922" u="1"/>
        <n v="68646586" u="1"/>
        <n v="400000158" u="1"/>
        <n v="19166005" u="1"/>
        <n v="50491117" u="1"/>
        <n v="67409937" u="1"/>
        <n v="68444073" u="1"/>
      </sharedItems>
    </cacheField>
    <cacheField name="Columna2" numFmtId="0">
      <sharedItems count="939">
        <s v="ALC ARROZ GALL DORA PREC 400G (25)"/>
        <s v="ALC ARROZ MACAREN PREC 400G (25)"/>
        <s v="ALC ARROZ MOLINER BLANC 400G (25)"/>
        <s v="ALC ARROZ MACARE BLANC 400G (25)"/>
        <s v="QUA BONTEA MANZANA 10X12X30G"/>
        <s v="QUA SAVILOE 12X320ML(UNIDAD)"/>
        <s v="FOOD KNORR SOPA POLLO C/FIDEO 12X12X55G (144)"/>
        <s v="AXE AERO VITTO DARK TEMPT 12X58G"/>
        <s v="ALC ORO MAY  HARIN MAIZ BLANC 800 (9)"/>
        <s v="ALC ORO MAY HARIN MAIZ BLANC 400G (20)"/>
        <s v="ALC ARROZ ESTRELLA PRECO 350G (25)"/>
        <s v="ALC ARROZ ESTRELLA BLANCO 350G (25)"/>
        <s v="ALC CR AVEN MOLIDA 12U 300g"/>
        <s v="DIN MAZOLA MANTECA 1LB (50)"/>
        <s v="DIN MAZOLA ACEITE DYP 400ml (24)"/>
        <s v="DIN MAZOLA ACEITE DYP 700ml (18)"/>
        <s v="DIN MAZOLA MARGARINA BARRA 400gr (24)"/>
        <s v="DIN MAZOLA MARGARINA  AJO/HIERBAS 400GR (24)"/>
        <s v="XHC DIN ZIXX JAB BLANCO 400G (6)"/>
        <s v="XHC DIN ZIXX JAB VERDE 400G (6)"/>
        <s v="XHC DIN ZIXX JAB AZUL 400G (6)"/>
        <s v="XHC DIN ZIXX JAB ROSADO 400G (6)"/>
        <s v="XHC DIN ZIXX JAB LILA 400G (6)"/>
        <s v="XHC DIN ZIXX JAB AMARILLO 400G (6)"/>
        <s v="XHC DIN ZIXX JAB AVENA 400G (6)"/>
        <s v="DIN SOPA ISSIMA POLLO (12)"/>
        <s v="DIN SOPA ISSIMA CAMARON (12)"/>
        <s v="FOOD HELLMANNS MAY DP 12X380G"/>
        <s v="REXONA AERO POWER DRY 12X58G"/>
        <s v="REXONA AERO V8 12X58G"/>
        <s v="FOOD MAIZENA FECULA BAN/FRESA/VAIN 16X12X45G"/>
        <s v="FOOD MAIZENA F MAIZ NATURAL 20X20X45G (400)"/>
        <s v="SCH SEDAL CR PEIN KERAT 24X28X9ML"/>
        <s v="SCH SEDAL CR LISO PERFECTO 24X28X9ML"/>
        <s v="SCH SEDAL CR PEIN RIZ OBED 24X28X9ML"/>
        <s v="XHC XEDEX P MAXIMO PODER 31X115G"/>
        <s v="FOOD NATURAS SALSA TOMATE C/QUESO 96X90G"/>
        <s v="FOOD NATURAS SALSA TOMATE ITALIANA 96X90G"/>
        <s v="FOOD NATURAS SALSA TOMATE RANCHERA 96X90G"/>
        <s v="FOOD NATURAS SALSA TOMATE C/CARNE 96X90G"/>
        <s v="FOOD NATURAS JUMB SSA RANCH 24X90G"/>
        <s v="ALD PIN POP SANDIA 16X24 (16)"/>
        <s v="ALD BIAGI CARAMELO 16X100"/>
        <s v="ALD YOGUETA SURTIDA RELLENA 16X24  (15G)"/>
        <s v="ALD YOGUETA CHOCOCARAMEL 16X24 (15G)"/>
        <s v="ALD PIN POP MANGO 16X24 (15G)"/>
        <s v="ALD PIN POP THE MOST WANTED 16X24 (15G)"/>
        <s v="ALD PIN POP ASSORTED 16X24 (15G)"/>
        <s v="ALD PIN POP KOLA 16X24 (15G)"/>
        <s v="ALD PIN POP PINTALENGUA 16X24 (15G)"/>
        <s v="ALD PIN POP X2 16X24 (15G)"/>
        <s v="ALD YOGUETA MILKY CARAMEL 16X24 (15G)"/>
        <s v="ALD PIN POP FRESA 16x24 (15G)"/>
        <s v="ARE SABUESO ADULTO 100 LBS"/>
        <s v="ARE SABUESO CACHORRO 40X420G"/>
        <s v="BYB CHILE JALAPEÑO SEMIPICANTE LATA 96/5.8oz"/>
        <s v="BYB CHILE JALAPEÑO PICANTE LATA 96/5.8oz"/>
        <s v="BYB CONCENTRADO DE HORCHATA 12/678 ml"/>
        <s v="BYB CONCENTRADO DE MORA 12/678 ml"/>
        <s v="BYB CONCENTRADO DE NARANJA 12/678 ml"/>
        <s v="BYB MERMELADA DE FRESA DOY PACK 24/200g"/>
        <s v="BYB MERMELADA DE FRESA VASO 12/260g"/>
        <s v="BYB MERMELADA DE MORA VASO 12/260g"/>
        <s v="BYB MERMELADA DE PIÑA VASO 12/260g"/>
        <s v="BYB MANTEQUILLA DE MANI VASO 24/245g"/>
        <s v="BYB MAYONESA CLASICA BOLSA 48/100g"/>
        <s v="BYB MAYONESA CLASICA ALMOHADITA 48/100g"/>
        <s v="BYB MAYONESA CLASICA BOLSA 48/200g"/>
        <s v="BYB MAYONESA CLASICA BOLSA 32/380g"/>
        <s v="BYB MOSTAZA BOLSA 48/100g"/>
        <s v="BYB MOSTAZA BOLSA 48/200g"/>
        <s v="BYB SALSA PICAMAS VERDE PLASTICO 48/100g"/>
        <s v="BYB SALSA PICAMAS ROJA PLASTICO 48/100g"/>
        <s v="BYB SALSA T/KETCHUP BOLSA 48/100g"/>
        <s v="BYB SALSA T/KETCHUP ALMOHADITA 48/110g"/>
        <s v="BYB SALSA T/KETCHUP BOLSA 48/215g"/>
        <s v="BYB SALSA INGLESA PLASTICA 48/3.5onz"/>
        <s v="BYB SALSA SOYA PLASTICA 48/3.5oz"/>
        <s v="BYB VINAGRE CLARO 48/100ml"/>
        <s v="BYB VINAGRE CLARO 24/200ml"/>
        <s v="BYB VINAGRE CLARO 24/360ml"/>
        <s v="BYB SALSA MILTOMATE SEMI SQUEZZE 24/370g"/>
        <s v="BYB CHEEZ DIP DOY PACK 12/200g"/>
        <s v="BYB SALSA BARBACOA SQUEZZE PLASTICO 24/14oz"/>
        <s v="XHC DIN ROKU JAB AMARILLO 375G (4)"/>
        <s v="XHC DIN ROKU JAB SALMON 375G (4)"/>
        <s v="XHC DIN ROKU JAB AQUA 375G (4)"/>
        <s v="XHC DIN ZIXX JAB COCO 400G (6)"/>
        <s v="DM ESPONJAS (5XBOLSA)"/>
        <s v="BONI NSK ROLLO PAPEL HIGIENICO"/>
        <s v="ALD COMODATO EXHIBIDOR PIN POP"/>
        <s v="BONI DIN SALSA ISSIMA RANCHERA 106g (96)"/>
        <s v="BONI SAVILOE UND 320ML (12)"/>
        <s v="BONI QUA FRIJOL NEGRO LAT 5.5 OZ (48)"/>
        <s v="IQUI CLORO MAGICLOR POPULINO 1X12X6 235ML"/>
        <s v="IAK DUCAL FRIJ NEGR DyP 4oz (24)"/>
        <s v="NSK BIC ENCENDEDOR J6 MAXI (75)"/>
        <s v="NSK BIC RASURADORA CONFORT 2 12 (48)"/>
        <s v="NSK VANISH PINK 6X12 U"/>
        <s v="NSK VANISH WHITE 6X12 U"/>
        <s v="NSK FABULOSO LAVANDA 1X6X12U/80ML"/>
        <s v="NSK AZISTIN LAVANDA 1X6X12U/80ML"/>
        <s v="NSK SUAVITEL COMPL PRIMAV 1X6X12 U"/>
        <s v="NSK LAV AXION LIMON TIRA 115g (6)"/>
        <s v="NSK JABON PROTEX BALANCE 110GR (96)"/>
        <s v="NSK JABON PROTEX ALOE 110GR (96)"/>
        <s v="NSK JABON PROTEX FRESH 110GR (96)"/>
        <s v="NSK JABON PROTEX AVENA 110GR (96)"/>
        <s v="NSK AZISTIN MANZANA 1X6X12U/80ML"/>
        <s v="NSK COLGATE KIT DE CEPILL 1X24TXTIRA 6UNDS"/>
        <s v="NSK COLGATE DOBLE FRESCURA 150ML (72)"/>
        <s v="NSK AZISTIN ALTERNATIVO CLORO 1X6X12U/80ML"/>
        <s v="NSK TAJIN CLASICO TIRA  DE 12 SCH (44T)"/>
        <s v="NSK BIC BOLIGRAFO AZUL 12 (100)"/>
        <s v="QUA FRUTY FRESCO 9+9 (8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QUA JUGOS YA FRESA 10X15X18 FIT"/>
        <s v="QUA JUGOS YA JAMAICA 10X15X18 FIT"/>
        <s v="QUA JUGOS YA PINA 10X15X18 FIT"/>
        <s v="QUA JUGOS YA GUANABA 10X15X18 FIT"/>
        <s v="QUA JUGOS YA HORCHATA 10X15X18 FIT"/>
        <s v="QUA YUS FRESA 9X15X28g"/>
        <s v="QUA YUS DURAZNO 9X15X28g"/>
        <s v="QUA YUS JAMAICA 9X15X28g"/>
        <s v="QUA YUS NARANJA 9X15X28g)"/>
        <s v="QUA TOKI SURTIDO 25X24X8G"/>
        <s v="QUA NUTRIBELA TARRO 12X300ml"/>
        <s v="SCH QUA NUTRIBELA TRAT CAP 24X12X27ML"/>
        <s v="YAES MUCHO NACHO BARBACOA 16X12X17gr"/>
        <s v="YAES MUCHO NACHO VERDE 16X12X17gr"/>
        <s v="YAES GUENOS BARBACOA 4X12X20gr"/>
        <s v="YAES SAL DE MESA REFINADA 25/400G"/>
        <s v="QUA BONTEA DURAZNO 10X12X30G" u="1"/>
        <s v="QUA SAVILOE 12X500ML (UNIDAD)" u="1"/>
        <s v="REXONA AERO BAMBOO 12X90G" u="1"/>
        <s v="ALC CR AVEN HOJUELA 12U 300g" u="1"/>
        <s v="XHC XEDEX DESIN LAVANDA DYP 24X425ML" u="1"/>
        <s v="XHC XEDEX DESIN CITRICOS DYP 24X425ML" u="1"/>
        <s v="ALD PLAY GUSANOS 55g (24)" u="1"/>
        <s v="ALD PLAY CORAZONES 55g (24)" u="1"/>
        <s v="ARE SABUESO ADULTO 40X454G" u="1"/>
        <s v="BYB CHILE JALAPEÑO SEMIPICANTE BOLSA 12/320g" u="1"/>
        <s v="BYB CONCENTRADO DE HORCHATA 24/225 ml" u="1"/>
        <s v="BYB SALSA T/KETCHUP ALMOHADITA 48/215g" u="1"/>
        <s v="BYB SALSA T/KETCHUP BOLSA 32/435g" u="1"/>
        <s v="BYB SALSA T/KETCHUP BOLSA 4/3000g" u="1"/>
        <s v="BYB SALSA SOYA PLASTICA 24/152 ml" u="1"/>
        <s v="BYB VINAGRE CLARO BOTE LARGO 12/750ml" u="1"/>
        <s v="BONI UL PALANGANA" u="1"/>
        <s v="NSK BIC ENCENDEDOR MINI J5 (75)" u="1"/>
        <s v="NSK FABULOSO CITRIC Y FRU 1X6X12U/80ML" u="1"/>
        <s v="NSK SUAVITEL AROM D SOL 1X6X12U/80ML" u="1"/>
        <s v="NSK LAV DOÑA BLANCA CIL TIRA 170g (6)" u="1"/>
        <s v="NSK LAV POTENSOL MARQUETA 215g (42)" u="1"/>
        <s v="NSK BIC BOLIGRAFO NEGRO 12 (100)" u="1"/>
        <s v="NSK SUAVITEL ROSADO 6X12X80ML" u="1"/>
        <s v="QUA JUGOS YA LIMON 10X15X18 FIT" u="1"/>
        <s v="QUA JUGOS YA DURAZNO 10X15X18 FIT" u="1"/>
        <s v="QUA JUGOS YA NARANJA 10X15X18 FIT" u="1"/>
        <s v="QUA SAVILOE FRUTOS ROJOS 12X500ML" u="1"/>
        <s v="YAES MUCHO NACHO QUESO 16X12X17gr" u="1"/>
        <s v="ALC ORO MAY HARIN MAIZ BLANC 5LB (6)" u="1"/>
        <s v="PONDS CR  50G S HUMECTANTE NUTRITIVA (24)" u="1"/>
        <s v="ALC ORO MAY HARIN MAIZ BLANC 50LBS (1)" u="1"/>
        <s v="DIN MAZOLA ACEITE  BOT 32onz (12)" u="1"/>
        <s v="DIN ISSIMA MARGARINA 400gr (24)" u="1"/>
        <s v="DIN MAZOLA MARGARINA LIGHT 400GR (24)" u="1"/>
        <s v="FOOD NATURAS FRIJOL NEGRO VOLT 24X210G" u="1"/>
        <s v="FOOD KNORR SOPA COST CRIOL C/FID 12X12X55G (144)" u="1"/>
        <s v="SEDAL SH 340 ML RIZOS DEFINIDOS (12)" u="1"/>
        <s v="ALD PLAY TORTU SPLASH 55g (24)" u="1"/>
        <s v="ALD PLAY BANANAS 55g (24)" u="1"/>
        <s v="BYB MAYONESA CLASICA BOLSA 4/3000g" u="1"/>
        <s v="BYB MIEL DE MAPLE GARRAFA 24/330 ml" u="1"/>
        <s v="BYB SALSA PICAMAS VERDE BOLSA 48/100g" u="1"/>
        <s v="BYB SALSA PICAMAS VERDE JUMBO PLASTICO 24/19oz" u="1"/>
        <s v="BYB VINAGRE CLARO GALÓN PLASTICO 4/3785ml" u="1"/>
        <s v="ENV AGUA PURIFICADA SCANDIA 12X600ML" u="1"/>
        <s v="NSK LAV DOÑA BLANCA CIL 400g (20)" u="1"/>
        <s v="NSK BIC ENCENDEDOR HANDY P/ESTUFA (90)" u="1"/>
        <s v="NSK BIC RASURADORA SHAVER SENS 24 (48)" u="1"/>
        <s v="NSK LAV AXION TARRO 235g (48)" u="1"/>
        <s v="NSK LAV POTENSOL CIL 400g (20)" u="1"/>
        <s v="NSK COLGATE DOBLE FRESC 75ML+CEPIL (72)" u="1"/>
        <s v="QUA JUGOS YA MORA 10X15X18 FIT" u="1"/>
        <s v="QUA JUGOS YA MANGO 10X15X18 FIT" u="1"/>
        <s v="QUA YUS TAMARINDO 9X15X28g" u="1"/>
        <s v="QUA YUS LIMONADA CON CHAN 9X15X28g" u="1"/>
        <s v="YAES MUCHO NACHO ROSTIZADO 180G (8)" u="1"/>
        <s v="YAES VINAGRE MANZANA CLEMEN 500ml (24)" u="1"/>
        <s v="YAES MUCHO NACHO ROSTIZADO 390G (12)" u="1"/>
        <s v="YAES ROSTIZADOR EMPAN POLLO 90G (100)" u="1"/>
        <s v="XHC DIN ZIXX JAB AQUA 400G (6)" u="1"/>
        <s v="REXONA ROLLON BAMBOO 6X30ML" u="1"/>
        <s v="FOOD MAIZENA F MAIZ  FRESA 16X12X45G (192)" u="1"/>
        <s v="FOOD MAIZENA ALMIDON MAIZ NATURAL 80X185G" u="1"/>
        <s v="FOOD MAIZENA F MAIZ VAINILLA 16X12X45G (192)" u="1"/>
        <s v="XHC XEDEX MAX POD LIMON 13X800G" u="1"/>
        <s v="REXONA ROLLON V8 6X30ML" u="1"/>
        <s v="ALD YOGUETA MILK 16X24 (15G)" u="1"/>
        <s v="ALD PIN POP ICE 16X24 (15G)" u="1"/>
        <s v="ALD PLAY TIBURONES 55g (24)" u="1"/>
        <s v="BYB CHILE JALAPEÑO PICANTE BOLSA 12/320g" u="1"/>
        <s v="BYB CONCENTRADO DE TAMARINDO 24/225 ml" u="1"/>
        <s v="BYB MAYONESA CLASICA BOLSA 16/880g" u="1"/>
        <s v="BYB SALSA T/KETCHUP PLASTICO 24/400g" u="1"/>
        <s v="BONI DIN MARGARINA MAZOLA 400G (24)" u="1"/>
        <s v="IPR LOZANO MANZANA 3.2L (6)" u="1"/>
        <s v="IPR LOZANO MANZANA 500ML (12)" u="1"/>
        <s v="IPR LOZANO UVA 500ML (12)" u="1"/>
        <s v="QUA YUS SABILA 9X15X28G" u="1"/>
        <s v="PONDS CR  50G C PEPINO (24)" u="1"/>
        <s v="AXE AERO BS DARK TEMPT 12X97G" u="1"/>
        <s v="XHC DIN VENZA JABON AVENA 110g (72)" u="1"/>
        <s v="XHC DIN VENZA JABON SABILA 110g (72)" u="1"/>
        <s v="XHC DIN VENZA JABON FRESCURA EXTR 110g (72)" u="1"/>
        <s v="XHC DIN VENZA JABON VITAMINA E 110g (72)" u="1"/>
        <s v="AXE AERO BS COLLISION 12X97G" u="1"/>
        <s v="DIN SOPA ISSIMA POLLO CON CHILE (12)" u="1"/>
        <s v="DIN SOPA ISSIMA CAMARON/CHILE (12)" u="1"/>
        <s v="XHC DOVE JAB CUIDA PROTEGE 48X90G" u="1"/>
        <s v="ALD SONETTO SURTIDO 16X100 (4G)" u="1"/>
        <s v="ALD YOGUETA COOKIES &amp; CREAM 16X24 (15G)" u="1"/>
        <s v="ALD PIN POP BLACK CHERRY 16X24 (15G)" u="1"/>
        <s v="ALD MASTI MINT 16X100 (4G)" u="1"/>
        <s v="ARE SABUESO CACHORRO 44 LBS" u="1"/>
        <s v="BYB SALSA PICAMAS VERDE BOLSA 32/454g" u="1"/>
        <s v="BYB SALSA PICAMAS ALMOHADITA 48/110 g" u="1"/>
        <s v="BONI PROMOV" u="1"/>
        <s v="NSK BIC ENCENDEDOR MAXI J6 5+1 (60)" u="1"/>
        <s v="SCH QUA NUTRIBELA HIALURONICO 48X6X27ML" u="1"/>
        <s v="REXONA AERO V8 12X90G" u="1"/>
        <s v="FOOD HELLMANNS MAY DP 12X190G" u="1"/>
        <s v="BYB MOSTAZA BOLSA 32/390g" u="1"/>
        <s v="BYB SALSA INGLESA PLASTICA 24/152 ml" u="1"/>
        <s v="BYB VINAGRE CLARO 24/500ml" u="1"/>
        <s v="NSK COLGATE TRIP ACCION 75 ML+CEPIL (72)" u="1"/>
        <s v="QUA YUS GUANABA 9X15X28g)" u="1"/>
        <s v="QUA YUS LIMONADA 9X15X28g" u="1"/>
        <s v="QUA YUS FRUTAS TROPICALES 9x15x28g" u="1"/>
        <s v="QUA YUS TE FRIO DURAZNO 9X15X28g" u="1"/>
        <s v="YAES EMPANIZADOR SUKOCINERA 30X6X50G (180)" u="1"/>
        <s v="FOOD HELLMANNS MAY DP 12X100G" u="1"/>
        <s v="AXE AERO BS APOLLO 12X97G" u="1"/>
        <s v="AXE AERO BS EXCITE 12X97G" u="1"/>
        <s v="FOOD NATURAS SSA TOMATE RANCHERA 24X200G" u="1"/>
        <s v="ALD PLAY GUSANOS AZUCARADOS JARRA 6X200 (3G)" u="1"/>
        <s v="DM ESCOBA FLASH FIBER (UNIDAD)" u="1"/>
        <s v="IPR LOZANO UVA 3.2L (6)" u="1"/>
        <s v="QUA YUS HORCHATA 9X15X28g" u="1"/>
        <s v="EGO GEL POWER 4x6x200 ML+5 SCH" u="1"/>
        <s v="SCH DOVE SH HIDRA Y SUAVI (ANTICASPA) 24X28X10ML" u="1"/>
        <s v="SCH SEDAL SH HIALURONICO Y VIT C 24X28X15ML" u="1"/>
        <s v="ARE SABUESO ADULTO 44 LBS" u="1"/>
        <s v="YAES MUCHO NACHO SALSA DE QUESO 105 G (30)" u="1"/>
        <s v="AXE AERO BS FUSION 12X97G" u="1"/>
        <s v="FOOD HELLMANNS  MAY DYP 12X190G" u="1"/>
        <s v="BONI QUA SAVILOE FRUTOS ROJOS UND 500ML (12)" u="1"/>
        <s v="NSK TAJIN CLASICO POLVO BOTE 142G (24)" u="1"/>
        <s v="YAES ROSTIZADOR MARISCO 100G (24)" u="1"/>
        <s v="SCH DOVE SH OLEO NUTRI 24X28X10ML" u="1"/>
        <s v="SEDAL SH 340 ML LISO PERFECTO (12)" u="1"/>
        <s v="SEDAL SH 340 ML CERAMIDAS (12)" u="1"/>
        <s v="FOOD KNORR SOPA GAL C/ARROZ CHIP 12X12X55G (144)" u="1"/>
        <s v="DOVE MINIROLLON ORIGINAL 6X30ML" u="1"/>
        <s v="DOVE AERO CUIDADO TOTAL 12X89G" u="1"/>
        <s v="REXONA AERO WOMAN TONO PERFECTO 12X90G" u="1"/>
        <s v="XHC XEDEX MAX POD FRUTOS BOSQUE 13X800G" u="1"/>
        <s v="FOOD NATURAS PASTA TRADICIONAL 96X90G" u="1"/>
        <s v="BONI ARE PLATO SABUESO" u="1"/>
        <s v="QUA YUS PIÑA 9X15X28g" u="1"/>
        <s v="FOOD HELLMANNS MAY DYP 12X100G" u="1"/>
        <s v="SCH DOVE SUPER AC 60 20X12X12ML (20)" u="1"/>
        <s v="FOOD NATURAS SALSA SABOR POLLO 96X100G" u="1"/>
        <s v="BONI BANCO PLASTICO" u="1"/>
        <s v="UL CR RIZOS 3 SACHET" u="1"/>
        <s v="BONI YAES CHARROS SALSA ROJA" u="1"/>
        <s v="PONDS CR 100G  C PEPINO (24)" u="1"/>
        <s v="SCH SEDAL SH CERAMIDAS 24X28X10ML" u="1"/>
        <s v="FOOD MAIZENA ALMIDON MAIZ NATURAL 40X375G" u="1"/>
        <s v="BYB SALSA T/KETCHUP BOLSA 16/950g" u="1"/>
        <s v="BYB SALSA INGLESA PLASTICO 4/3850 ml" u="1"/>
        <s v="NSK SUAVITEL COMPL PRIMAV 1X2X36UNDS+6UNDS" u="1"/>
        <s v="QUA YUS TE FRIO FRAMBUESA 9X15X28g" u="1"/>
        <s v="BYB CONCENTRADO DE TAMARINDO 12/678 ml" u="1"/>
        <s v="EGO GEL POWER 4X6X110ML" u="1"/>
        <s v="YAES FLAMAS CHILE LIMON 16X12X17gr" u="1"/>
        <s v="SCH SEDAL SH NEGRO LUM 24X28X10ML" u="1"/>
        <s v="FOOD NATURAS SALSA TOMATE JALAPENO 96X90G" u="1"/>
        <s v="YAES GUENOS LIMON 4X12X20gr" u="1"/>
        <s v="EGO GEL ATTRAC 4X6X110ML" u="1"/>
        <s v="BYB SALSA PICAMAS VERDE BOLSA 48/223g" u="1"/>
        <s v="BONI YAES CHARROS SALSA VERDE" u="1"/>
        <s v="BYB CONCENTRADO DE HORCHATA 4/3786 ml" u="1"/>
        <s v="BYB SALSA BARBACOA 4/4,400g" u="1"/>
        <s v="FOOD HELLMANNS MOST DYP 12X100G" u="1"/>
        <s v="REXONA STICK CLIN EXTRA DRY EXP 12X46G" u="1"/>
        <s v="BONI ARE MOCHILA SABUESO" u="1"/>
        <s v="FOOD KNORR SOPA POLL VERD CODITO 12X12X54G (144)" u="1"/>
        <s v="FOOD KNORR SOPA GAL CRIOL C/FIDEOS 12X12X54G (144)" u="1"/>
        <s v="PONDS CR 50G CLARANT B3 SECA (24)" u="1"/>
        <s v="REXONA STICK WOMAN ANTIBAC INVISIBLE 12X50G" u="1"/>
        <s v="AXE AERO AP COLLISION 12X90G" u="1"/>
        <s v="PONDS CR 50G CLARANT B3 GRASA (24)" u="1"/>
        <s v="ALD FRUNAS BARRA 18X50 (8,3)" u="1"/>
        <s v="QUA FRUTY FRESCO 6+6 (12)" u="1"/>
        <s v="DOVE AERO AP COCO 12X87G" u="1"/>
        <s v="ARE SABUESO ADULTO 50 LBS" u="1"/>
        <s v="QUA JUGOS YA FRUTAS TROPICALES 10X15" u="1"/>
        <s v="SCH QUA NUTRIBELA 10 48X6X27ML" u="1"/>
        <s v="AXE AERO BS GOLD TEMPTATION 12X97G" u="1"/>
        <s v="XHC XEDEX MAX POD FRUTOS BOSQUE 30X400G" u="1"/>
        <s v="PONDS CR 100G S HUMECTANTE NUTRITIVA (24)" u="1"/>
        <s v="EGO GEL CONTROL CAIDA 24X230ML (24)" u="1"/>
        <s v="DOVE ROLLON CALENDULA 12X50ML" u="1"/>
        <s v="XHC XEDEX P MULTIACCION 15X900G" u="1"/>
        <s v="ALD BIAGI CAFE 16X100" u="1"/>
        <s v="BONI DIN CUBETA PLASTICA" u="1"/>
        <s v="DOVE AERO ORIGINAL 12X89G" u="1"/>
        <s v="DOVE AERO INVISIBLE DRY MEN 12X89G" u="1"/>
        <s v="DOVE AERO ORQUIDEA 12X87G" u="1"/>
        <s v="BYB CONCENTRADO DE HORCHATA DISPLAY 6/12u" u="1"/>
        <s v="BYB CONCENTRADO DE TAMARINDO DISPLAY 6/12u" u="1"/>
        <s v="BYB CONCENTRADO DE JAMAICA 12/678 ml" u="1"/>
        <s v="BYB MAYONESA CLASICA BOLSA 8/1500g" u="1"/>
        <s v="BONI PD EXHIBIDOR PEDIALYTE" u="1"/>
        <s v="BONI SAVILOE UND 12X320ML" u="1"/>
        <s v="DOVE AERO AP CALENDULA 12X87G" u="1"/>
        <s v="SCH SEDAL CR PEIN KERAT 24X28X10ML" u="1"/>
        <s v="PD PEDIALYTE UVA 60 MEQ 500ML (12)" u="1"/>
        <s v="AXE AERO BS EPIC FRESH 12X97G" u="1"/>
        <s v="ALD SONETTO CHOCOLATE BLANCO 16X100 (4G)" u="1"/>
        <s v="NSK BIC ENCENDEDOR MAXI J6 CARTON 15+3 (20)" u="1"/>
        <s v="QUA BONTEA LIMON 10X12X30G" u="1"/>
        <s v="AXE AERO AP ICE CHILL 12X88G" u="1"/>
        <s v="SCH SEDAL SH NEGRO LUMINOSO 24X28X9ML" u="1"/>
        <s v="DOVE STICK CUIDADO TOTAL 12X50G" u="1"/>
        <s v="ALD PIN POP SENSATIONS 16X24 (17G)" u="1"/>
        <s v="YAES LECHE DE COCO 400ml (24)" u="1"/>
        <s v="PONDS CR 100G CLARANT B3 GRASA (24)" u="1"/>
        <s v="EGO GEL ATTRAC 4/6/200ML+5 SCH" u="1"/>
        <s v="BYB SALSA BARBACOA PLAST 12/32oz" u="1"/>
        <s v="DIN MAZOLA MARGARINA BARRA 6X5X400gr (24)" u="1"/>
        <s v="DOVE AEROSOL AP ROSAS 12X87G" u="1"/>
        <s v="SCH SEDAL CR LISO PERFECTO 24X28X10ML" u="1"/>
        <s v="EGO GEL ATTRAC 6/30/12ML" u="1"/>
        <s v="REXONA STICK MEN ANTIBAC 12X50G" u="1"/>
        <s v="AXE AERO BS ICE CHILL 12X97G" u="1"/>
        <s v="BYB SALSA BARBACOA DOY PACK 24/95g" u="1"/>
        <s v="BONI COCA COLA 355 ML" u="1"/>
        <s v="DOVE AERO INVISIBLE DRY WOMAN 12X89G" u="1"/>
        <s v="DIN ISSIMA PAST TOMAT ROJITA 106g (96)" u="1"/>
        <s v="REXONA STICK MEN V8 12X50G" u="1"/>
        <s v="XHC XEDEX DESIN LAVANDA DYP 12X750ML" u="1"/>
        <s v="REXONA AERO CLEAN CLASSIC WOMAN 12X91G" u="1"/>
        <s v="SCH SAVILE SH ARGAN 24X28X15ML" u="1"/>
        <s v="DOVE STICK EXTRA FRESH 12X50G" u="1"/>
        <s v="ALD PLAY OSOS RELLENOS 55g (24)" u="1"/>
        <s v="BONI QUA NUTRIBELA 10 HIALURONICO 24X12X72ml" u="1"/>
        <s v="YAES ROSTIZADOR BOLSA 453G (24)" u="1"/>
        <s v="PONDS POLVO COMP PIEL CLARA 16X12G" u="1"/>
        <s v="BONI QUA NUTRIBELA 10 HIALURONICO (24)" u="1"/>
        <s v="SEDAL CR 300 ML PEIN RIZOS OBEDIENTES (12)" u="1"/>
        <s v="XHC XEDEX MAX POD LIMON 30X400G" u="1"/>
        <s v="REXONA AERO ANTIBAC INVISIBLE MEN 12X90G" u="1"/>
        <s v="BONI NSK 1 BOLSA KIT CEPILLO" u="1"/>
        <s v="BONI SOMBRILLAS PEDIALYTE" u="1"/>
        <s v="NSK LAV DOÑA BLANCA CIL 250g (24)" u="1"/>
        <s v="NSK LAVAPLATOS AXION 235G UNIDAD (48)" u="1"/>
        <s v="NSK LAVAPLATOS DOÑA BCA.CILINDRO 250 GR (24)" u="1"/>
        <s v="NSK LAVAPLATOS DOÑA BCA.CILINDRO TIRA 170GR (6)" u="1"/>
        <s v="NSK LAVAPLATOS POTENSOL CILINDRO 400 GR (20)" u="1"/>
        <s v="NSK COLGATE DOBLE FRESCURA 150ML" u="1"/>
        <s v="XHC XEDEX P MAXIMO PODER 30X400G" u="1"/>
        <s v="NSK LAVAPLATOS POTENSOL MARQUETA 215GR (42)" u="1"/>
        <s v="XHC XEDEX DESIN CITRICOS DYP 12X750ML" u="1"/>
        <s v="XHC XEDEX P SUAVIZ B PRIMAV 30X115G" u="1"/>
        <s v="NSK LAVAPLATOS AXION LIMON TIRA 115GR (6)" u="1"/>
        <s v="EGO GEL POWER 6X30X15ML" u="1"/>
        <s v="REXONA STICK WOMAN ANTIBAC FRESH 12X50G" u="1"/>
        <s v="EGO GEL URBAN 24/200 ML" u="1"/>
        <s v="REXONA AERO CLIN ANTIBAC W 12X90G" u="1"/>
        <s v="REXONA STICK AP SPORFAN 12X50G" u="1"/>
        <s v="SEDAL SH 340 ML KERATINA C ANTIOX (12)" u="1"/>
        <s v="BONI SAVILOE UND 12X320ML (NUTRIBELA)" u="1"/>
        <s v="DCASA HEINZ MELOCOTO FLEX 24X113G" u="1"/>
        <s v="DCASA HEINZ FRUTA MIX FLEX 24X113G" u="1"/>
        <s v="IAK BAMB MOJITO 350ml LATA (24)" u="1"/>
        <s v="IAK BAMB DAIQUIRI FRESA 350ml LT (24)" u="1"/>
        <s v="IAK BAMB PIÑA COLADA 350ml LATA (24)" u="1"/>
        <s v="PONDS CR 100G REJUVENESS DIA (24)" u="1"/>
        <s v="DOVE STICK ROSAS 12X45G" u="1"/>
        <s v="DOVE STICK ORIGINAL 12X50G" u="1"/>
        <s v="NSK LAVAPLATOS DOÑA BLANCA CILINDRO 400G (20)" u="1"/>
        <s v="EGO GEL ATTRAC 4x6x200ML" u="1"/>
        <s v="SCH DOVE SH RECON COMPL SUP 24X28X10ML" u="1"/>
        <s v="XHC DOVE JAB BABY HUMECTANTE 48X75G" u="1"/>
        <s v="BONI YAES MUCHO NACHO ARTESANAL 150gr" u="1"/>
        <s v="REXONA STICK MEN INVISIBLE 12X50G" u="1"/>
        <s v="PONDS CR  45G C ORIGINAL (24)" u="1"/>
        <s v="XHC XEDEX DESIN CITRICOS SCH 5X12X100ML" u="1"/>
        <s v="PONDS CR 50G REJUVENESS (24)" u="1"/>
        <s v="IAK KERNS 330ml NECT MELOCOTON (24)" u="1"/>
        <s v="IAK KERNS 330ml NECT PIÑA (24)" u="1"/>
        <s v="IQUI CLORO MAGICLOR POPULINO 1X4X12 220ML" u="1"/>
        <s v="FOOD NATURAS PASTA TRADICIONAL 96X100G" u="1"/>
        <s v="BYB MAYONESA EXTRAMAYO BOLSA 4/3000g" u="1"/>
        <s v="BONI BARRA MARGARINA MAZOLA 80g" u="1"/>
        <s v="REXONA STICK WOMAN POWDER 12X50G" u="1"/>
        <s v="SEDAL CR 300 ML PEIN LISOS PERFEC (12)" u="1"/>
        <s v="PONDS CR 100G CLARANT B3 SECA (24)" u="1"/>
        <s v="XHC DIN ROKU JAB SALMON 400G (4)" u="1"/>
        <s v="BYB MAYONESA EXTRAMAYO 32/375g" u="1"/>
        <s v="KELL CORN FLAKES 28X150G (28)" u="1"/>
        <s v="KELL CHOCO KRISPIS 28X290G (28)" u="1"/>
        <s v="KELL CHOCO KRISPIS 24X620G (24)" u="1"/>
        <s v="KELL CORN FLAKES 16X500 (16)" u="1"/>
        <s v="FOS ENCENDEDOR FRAGATA 40x25" u="1"/>
        <s v="FOS PALILLOS MADERA 12X12X250u" u="1"/>
        <s v="FOS FOSFOROS FOGATA 10x10" u="1"/>
        <s v="XHC PFS MAX PODER VERDE 6X3X400G" u="1"/>
        <s v="XHC PFS MAX PODER AZUL  6X3X400G" u="1"/>
        <s v="XHC PFS MAX BLANC/NARAN DUOX 6X3X400G" u="1"/>
        <s v="XHC PFS MAX MB BLANCA 6X3X500G" u="1"/>
        <s v="XHC PFS MAX MB NARANJA 6X3X500G" u="1"/>
        <s v="XHC PFS MAX MB BLANC/NARAN DUOX 6X3X500G" u="1"/>
        <s v="XHC PFS MAX MB BLANC/VERD DUOX 6X3X500G" u="1"/>
        <s v="XHC PFS LIMPIOX AVENA DISCO 108G (72)" u="1"/>
        <s v="REXONA STICK BAMBOO 12X50G" u="1"/>
        <s v="SEDAL CR 300 ML PEIN KERATINA Y ANTIOX (12)" u="1"/>
        <s v="SCH SEDAL SH LISO PERFECTO 24X28X10ML" u="1"/>
        <s v="SEDAL CR CERAMIDAS 12X300ML" u="1"/>
        <s v="BEST BOTONETAS CHOCOLATE 20X24X9G (20)" u="1"/>
        <s v="BEST CHOCOFRUTA 50x400G" u="1"/>
        <s v="DCASA PAPEL ENCANTO GDE. 1X12X4 (12)" u="1"/>
        <s v="DCASA HEINZ MANZANA FLEX 24X113G" u="1"/>
        <s v="DCASA HEINZ BANANO FLEX 24X113G" u="1"/>
        <s v="DCASA MIRASOL MARG 24X5X80G" u="1"/>
        <s v="DCASA GELATINA POLVO UVA 28X400g" u="1"/>
        <s v="DCASA GELATINA POLVO FRESA 28X400g" u="1"/>
        <s v="DCASA GELATINA POLVO NARANJA 28X400g" u="1"/>
        <s v="DCASA GELATINA POLVO LIMON 28X400g" u="1"/>
        <s v="DCASA GELATINA POLVO CHICLE 28X400g" u="1"/>
        <s v="IAK FUN C REFR MANZ 200ML TETR (24)" u="1"/>
        <s v="IAK FUN C REFR MELOC 200ML TETR (24)" u="1"/>
        <s v="IAK KERNS KETCHUP SCH 52GR (144)" u="1"/>
        <s v="IAK KERNS NECT MANZ TETR 24X250ml" u="1"/>
        <s v="IAK KERNS NECT MELOC TETR 24X250ml" u="1"/>
        <s v="IAK DUCAL FRIJ NEGR DyP 8oz (24)" u="1"/>
        <s v="IAK DUCAL FRIJ NEGR DyP 14.1oz (18)" u="1"/>
        <s v="IAK KERNS KETCHUP 776gr PET (12)" u="1"/>
        <s v="IAK KERNS COCT VEGET 1 LT TETR (12)" u="1"/>
        <s v="IAK KERNS 330ml COCTEL VEGETALES  (24)" u="1"/>
        <s v="IAK KERNS 157mL COCTEL VEGETALES (48)" u="1"/>
        <s v="IAK KERNS COCT VEGET ALMEJA 1LT (12)" u="1"/>
        <s v="IAK KERNS 330ml COCTEL VEGETALES ALMEJA  (24)" u="1"/>
        <s v="IAK KERNS 330ml NECT MANZANA  (24)" u="1"/>
        <s v="IAK DUCAL FRIJ ROJO PICANT DyP 8oz (24)" u="1"/>
        <s v="IAK DUCAL FRIJ ROJO PICANT DyP 14oz (18)" u="1"/>
        <s v="IAK DUCAL FRIJ NEGR DyP 40oz (12)" u="1"/>
        <s v="IAK GOYA MAIZ ENTERO 8.75 ONZ (24)" u="1"/>
        <s v="IAK DUCAL FRIJ NEGR LAT 29oz (12)" u="1"/>
        <s v="IAK DUCAL FRIJ ROJO LAT 5.5oz (48)" u="1"/>
        <s v="IAK DUCAL FRIJ NEGR LAT 10.5oz (48)" u="1"/>
        <s v="IAK DUCAL FRIJ NEGR LAT 5.5oz (48)" u="1"/>
        <s v="IAK KERNS PASTA TOMATE LATA 48X6oz" u="1"/>
        <s v="IAK KERNS PASTA TOMATE 4 Oz DyP (48)" u="1"/>
        <s v="IAK DUCAL FRIJ NEGR LAT 15oz (24)" u="1"/>
        <s v="UNS OSITO MIEL QUEENBEE 340gr (24)" u="1"/>
        <s v="UNS BOMBILLO LED 12 Watt" u="1"/>
        <s v="BEST GALLETA MANI 24X12X22G (24)" u="1"/>
        <s v="BEST CHOCOPANDA CHOCOLATE 25X12X14G" u="1"/>
        <s v="TERMO GABACHA #1 (26)" u="1"/>
        <s v="TERMO BOLSA TRANSPARENTE 3 Lbs (30)" u="1"/>
        <s v="TERMO BOLSA TRANSPARENTE 5 Lbs (20)" u="1"/>
        <s v="XHC PFS CENTELLA CHIBOLONA VERDE 4X3X375G" u="1"/>
        <s v="XHC PFS CENTELLA CHIBOLONA BLANCA 4X3X375G" u="1"/>
        <s v="XHC PFS CENTELLA CHIBOLONA AMARILLA 4X3X375G" u="1"/>
        <s v="XHC PFS CENTELLA CHIBOLONA AZUL 4X3X375G" u="1"/>
        <s v="XHC PFS MAX PODER BLANCO 6X3X400G" u="1"/>
        <s v="XHC PFS MAX PODER NARANJA 6X3X400G" u="1"/>
        <s v="XHC PFS MAX BLANC/AZUL DUOX 6X3X400G" u="1"/>
        <s v="XHC PFS MAX BLANC/VERDE DUOX 6X3X400G" u="1"/>
        <s v="XHC PFS MAX PODER LILA 6X3X400G" u="1"/>
        <s v="AXE AERO AP COLLISION 12X88G" u="1"/>
        <s v="REXONA STICK CLIN SPORT STRENGTH 12X46G" u="1"/>
        <s v="ARE ARECANA ADULTO 50 LBS" u="1"/>
        <s v="ARE SABUESO CACHORRO 22 LBS" u="1"/>
        <s v="BEST BOTONETAS MANI 20X24X9G (20)" u="1"/>
        <s v="BEST CAFE BARISTA SOLUBLE 12X24X8g" u="1"/>
        <s v="DCASA HEINZ PERA FLEX 24X113G" u="1"/>
        <s v="DCASA HEINZ CIRUELA/PASAS FLEX 24X113G" u="1"/>
        <s v="DCASA GELATINA POLVO PIÑA 28X400g" u="1"/>
        <s v="DCASA PAPEL ENCANTO MIL HOJAS ROLLO (24)" u="1"/>
        <s v="BONI PORFIN LIMPIOX AZUL 85g (72)" u="1"/>
        <s v="UNS BOMBILLO LED 9 Watt" u="1"/>
        <s v="BEST GALLETA FRESA 24X12X22G (24)" u="1"/>
        <s v="XHC PFS CENTELLA CHIBOLONA AVENA 4X3X375G" u="1"/>
        <s v="XHC PFS MAX PODER ROSADO 6X3X400G" u="1"/>
        <s v="XHC PFS MAX PODER AMARILLO 6X3X400G" u="1"/>
        <s v="DOVE MINIROLLON PROTECCION TOTAL 6X30ML" u="1"/>
        <s v="BYB MAYONESA EXTRAMAYO BOLSA 8/1500g" u="1"/>
        <s v="DCASA HEINZ POSTRE  FLEX 24X113G" u="1"/>
        <s v="BONI QUA YUS FRUTAS TROPICALES 9x15x28g" u="1"/>
        <s v="FOOD NATURAS SSA TOMATE QUESO 24X200G" u="1"/>
        <s v="XHC XEDEX DESIN LAVANDA SCH 5X12X100ML" u="1"/>
        <s v="PONDS POLVO COMP AF NATURAL2 16X12G" u="1"/>
        <s v="XHC PFS MAX PODER ALOE 6X3X400G" u="1"/>
        <s v="XHC XEDEX P MULTIACCION 20X250G" u="1"/>
        <s v="REXONA AERO CLINICAL EXTRA DRY 12X91G" u="1"/>
        <s v="DOVE STICK CALENDULA 12X50G" u="1"/>
        <s v="REXONA AERO ACTIVE DRY 12X89G" u="1"/>
        <s v="DCASA GELATINA POLVO FRAMB.28X400g" u="1"/>
        <s v="CB CAFE BARISTA SOLUBLE 12X24X8g" u="1"/>
        <s v="UNS EXTENSION DOMESTICA SPT  6MTS" u="1"/>
        <s v="BEST GALLETA CHAPETIN 24X12 (24)" u="1"/>
        <s v="BONI ALD EXHIBIDOR RISTRA DE 5 GANCHERAS" u="1"/>
        <s v="XHC XEDEX P SUAV B PRIMAV 15X900G" u="1"/>
        <s v="XHC UNS DETERGENTE PURO SOL 250gr (40)" u="1"/>
        <s v="XHC PFS LIMPIOX CILINDRO ALOE 18X320G" u="1"/>
        <s v="EGO GEL ATTRAC 6/1000ML" u="1"/>
        <s v="REXONA STICK CLIN CLASSIC EXPERT 12X46G" u="1"/>
        <s v="REXONA AERO CLINICAL CLEAN MEN 12X90G" u="1"/>
        <s v="XHC XEDEX P MAXIMO PODER LIMON 13X800G" u="1"/>
        <s v="XHC XEDEX MAXIMO PODER FRUTOS BOSQUE 13X800G" u="1"/>
        <s v="XHC PFS CENTELLA CAMPEON VERDE 6X4X330G" u="1"/>
        <s v="XHC PFS CENTELLA CAMPEON BLANCO 6X4X330G" u="1"/>
        <s v="BEST GALLETA CHOCOLATE 24X12X22G (24)" u="1"/>
        <s v="XHC PFS LIMPIOX CILINDRO LIMON 18X320G" u="1"/>
        <s v="DOVE STICK GO FRESH PEPINO" u="1"/>
        <s v="BEST CHOCOFRUTA 10X1400G (10)" u="1"/>
        <s v="SCH SAVILE SH 2EN1 24X28X15ML" u="1"/>
        <s v="REXONA AERO AP POWDER DRY 12X89G" u="1"/>
        <s v="XHC XEDEX P PROTECCION COLOR 15X900G" u="1"/>
        <s v="XHC XEDEX P ANTIBAC 15X900G" u="1"/>
        <s v="XHC DIN ROKU JAB AMARILLO 400G (4)" u="1"/>
        <s v="REXONA AERO CLIN ANTIB MEN 12X91G" u="1"/>
        <s v="XHC XEDEX P SUAVIZ YLANG 30X115G" u="1"/>
        <s v="BEST CHOCOGOL DYP 50X15X5g (50)" u="1"/>
        <s v="FOOD MAIZENA FECULA MAIZ NATURAL 20X20X45G (400)" u="1"/>
        <s v="BONI QUA SAVILOE UND 500ML (12)" u="1"/>
        <s v="DCASA GELATINA POLVO MELOC.28X400g" u="1"/>
        <s v="BONI GORRA ALDOR" u="1"/>
        <s v="SCH SEDAL CR PEIN KERAT 12X24X10ML+SH" u="1"/>
        <s v="XHC XEDEX P MAXIMO PODER FRUTOS DEL BOSQUE 13X800G" u="1"/>
        <s v="PONDS POLVO COMP AF CARIBE 16X12G" u="1"/>
        <s v="AXE AERO BS COLLISION 12X90G" u="1"/>
        <s v="FOOD MAIZENA FECULA MAIZ  FRESA 16X12X45G (192)" u="1"/>
        <s v="BONI EGO POWER 110ML TARRO (24)" u="1"/>
        <s v="FOS FOSFOROS MADERA GALLO 10X10" u="1"/>
        <s v="UNS GALLE CAFE COFFEE JOY 6x18x45gr" u="1"/>
        <s v="SEDAL AC 340 ML RIZOS DEFINIDOS (12)" u="1"/>
        <s v="DOVE STICK COCO 12X50G" u="1"/>
        <s v="UNS DULCE KOPIKO CAPUCCINO BOTE 200und (6)" u="1"/>
        <s v="ALD SONETTO SURTIDO 16X110u (16)" u="1"/>
        <s v="NSK LA MODERNA GALL MARIA VAINILLA 20x170G" u="1"/>
        <s v="DCASA GELATINA POLVO CHICLE 450G (25)" u="1"/>
        <s v="SCH SEDAL SH 2EN1 KERAT C/ANTIOX 24X28X10ML" u="1"/>
        <s v="DOVE AERO DERMO ACLARANT 12X89G" u="1"/>
        <s v="BONI ALC ARROZ MACARENA PRECOCIDO 400g (25)" u="1"/>
        <s v="IPR MERMELADA MANZANA 12OZ (24)" u="1"/>
        <s v="FOS CERILLO GALLO 10X10" u="1"/>
        <s v="QUA JUGOS YA LIMON 10X15" u="1"/>
        <s v="BEST CHOCO PANDA COCOA 9+1 10X30X20G (30)" u="1"/>
        <s v="BEST GOLOSINAS BOLSA 25U (24)" u="1"/>
        <s v="BONI QUA JUGO YA HORCHATA" u="1"/>
        <s v="GRECO CHOCOCHIPS GALLETA 240gr (24)" u="1"/>
        <s v="AXE AERO VITTO DARK TEMPT12X58G" u="1"/>
        <s v="BEST BOTONETAS CHOCOLATE 20X24X11.5G (20)" u="1"/>
        <s v="GOMITAS 4 OSOS GRANDES 14GR 12X2X20X4" u="1"/>
        <s v="BYB CONCENTRADO DE CARAMBOLA DISPLAY 6/12u" u="1"/>
        <s v="TERMO GABACHA MINI/PIWI (26)" u="1"/>
        <s v="KMD EL ARTESANO SALSA CHILTEPE 95g" u="1"/>
        <s v="FOOD MAIZENA FECULA MAIZ VAINILLA 16X12X45G (192)" u="1"/>
        <s v="BYB CONCENTRADO DE TAMARINDO 4/3785 ml" u="1"/>
        <s v="XHC PFS MAX MB BLANC/VERD DUOX 6X3X540G" u="1"/>
        <s v="QUA JUGOS YA MORA 10X15" u="1"/>
        <s v="REXONA AERO CLINICAL CLASSIC WOMAN 12X90G" u="1"/>
        <s v="IAK KERNS JUNIOR UVA TETR 200ml (24)" u="1"/>
        <s v="IAK KERNS 330ml NECT PERA (24)" u="1"/>
        <s v="PONDS CR  50G CLARANT B3 GRASA (24)" u="1"/>
        <s v="FOOD MAIZENA FECULA MAIZ MANZANA CANELA 16X12X47G" u="1"/>
        <s v="DCASA PAPEL HIG. 1X12X4ROLL" u="1"/>
        <s v="BONI ALC ARROZ MACARENA BLANCO 400g (25)" u="1"/>
        <s v="BONI ALC ARROZ MOLINERO BLANCO 400g (25)" u="1"/>
        <s v="AMS TOALLA HUMEDA BABY STAR 12X80" u="1"/>
        <s v="AMS PAPEL HIG MAX PAP 24X1 MEJOR QUE 1000 HD" u="1"/>
        <s v="SCH SEDAL SH SOS CASPA 12X24X10ML+4" u="1"/>
        <s v="NSK LA MODERNA MOÑO 42x180G" u="1"/>
        <s v="BEST CONITO DYP 90X10X5G (90)" u="1"/>
        <s v="KELL ZUCARITAS MINI SCH 5X12X20G" u="1"/>
        <s v="BONI NSK  KIT DE CEPILLADO COLGATE UND" u="1"/>
        <s v="NSK BIC RASURADORA CONFORT 2 12+2 (48)" u="1"/>
        <s v="XHC XEDEX P MAXIMO PODER 30X450G" u="1"/>
        <s v="AMS Pañal Super Lucca Grande 4X50" u="1"/>
        <s v="XHC PFS CENTELLA AVENA 4X3X375G" u="1"/>
        <s v="FOS ENCENDEDORES FRAGATA MINI 10X12X3 (3 PACK)(10)" u="1"/>
        <s v="GRECO CANASTICAS GALLETA MORA ROJA 270gr (24)" u="1"/>
        <s v="NSK HOT CAKE CAJA 12x500G" u="1"/>
        <s v="DCASA PAPEL ENCANTO MIL HOJAS 12X4" u="1"/>
        <s v="BONI PLAST BANCO" u="1"/>
        <s v="IAK KERNS KETCHUP SALSA GALON (3)" u="1"/>
        <s v="FOOD NATURAS JUMB SSA RANCH 24X100G" u="1"/>
        <s v="EGO GEL POWER 8X30X15ML+GEL 200ML" u="1"/>
        <s v="FOOD MAIZENA FECULA MAIZ NATURAL 20X20X45G" u="1"/>
        <s v="FOOD MAIZENA FECULA MAIZ NATURAL 20X20X47G" u="1"/>
        <s v="DOVE STICK GO FRESH PEPINO 12X50G" u="1"/>
        <s v="IAK DUCAL BEB ALUMIN MANZ 330ml (24)" u="1"/>
        <s v="IAK DUCAL BEB ALUMIN PERA 330ml (24)" u="1"/>
        <s v="IAK DUCAL BEB ALUMIN PIÑA 330ml (24)" u="1"/>
        <s v="GOMITAS LIMON Y CHILE 20GR 12X2X10X4" u="1"/>
        <s v="GRECO INTEGRAL AVENA FRUTOS ROJOS 156gr (24)" u="1"/>
        <s v="BEST CHOCOPANDA CAJA CHOCOLATE 285G (36)" u="1"/>
        <s v="XHC XEDEX P SUAVIZ YLANG 15X900G" u="1"/>
        <s v="BONI UL NATURAS POLLO 36G (36)" u="1"/>
        <s v="XHC PFS CENTELLA CHIBOLONA BLANCA 6X3X400G" u="1"/>
        <s v="DCASA GELATINA POLVO FRESA 450G (25)" u="1"/>
        <s v="DCASA GELATINA POLVO LIMON 450G (25)" u="1"/>
        <s v="AMS PAPEL HIG MAX PAP 8X6 DORADO NEGRO HT" u="1"/>
        <s v="IAK ADAN Y EVA FRUTOS ROJOS 350ML LAT (24)" u="1"/>
        <s v="KELL CHOCO KRISPIS MINI SCH 5X12X22G (5)" u="1"/>
        <s v="SCH SEDAL CR PEIN RIZ OBED 24X28X10ML" u="1"/>
        <s v="BONI QUA GALLETA BEST MANI 24X12" u="1"/>
        <s v="AMS TOALLA HUMEDA LUCCA FRESH 12X350G" u="1"/>
        <s v="PD PEDIALYTE COCO 60 MEQ 500ML (12)" u="1"/>
        <s v="BONI UL AZUCAR MORENA 230G" u="1"/>
        <s v="BEST MENTAS 50X12X13g (50)" u="1"/>
        <s v="SCH QUA NUTRIBELA 10 18+6 (12)" u="1"/>
        <s v="QUA JUGOS YA JAMAICA 10X15" u="1"/>
        <s v="XHC XEDEX P SUAV B PRIMAV 15X1KG" u="1"/>
        <s v="EGO GEL CONTROL CAIDA 12X450ML" u="1"/>
        <s v="XHC DIN ROKU JAB AQUA 400G (4)" u="1"/>
        <s v="IAK DUCAL FRIJ NEGR DyP 28oz (12)" u="1"/>
        <s v="EGO GEL POWER 4x6x200 ML" u="1"/>
        <s v="IPR LOZANO UVA 500ML" u="1"/>
        <s v="XHC PFS COLOSO MARQUETA 40X225G" u="1"/>
        <s v="XHC XEDEX P MAXIMO PODER 13X900G" u="1"/>
        <s v="BEST BOTE CONITO CHOCOLATE 70u (12)" u="1"/>
        <s v="REXONA AERO SPORFAN 12X90G" u="1"/>
        <s v="SCH SAVILE CR RIZOS ARGAN 12X28X15ML" u="1"/>
        <s v="BONI QUA NUTRIBELA 10 24X12X27ML" u="1"/>
        <s v="PORFIN MARGARINA ORISOL 400gr (24)" u="1"/>
        <s v="GRECO INTEGRAL AVENA UVA Y CIRUELA 156gr (24)" u="1"/>
        <s v="FOOD MAIZENA ALMIDON MAIZ NATURAL 40X380G" u="1"/>
        <s v="XHC XEDEX P MAXIMO PODER 13X800G" u="1"/>
        <s v="NSK LAVAPLATOS AXION 235G UNIDAD  (48)" u="1"/>
        <s v="FOS FOSFOROS CABALLO ROJO 24x10" u="1"/>
        <s v="NSK BIC RASURADORA SHAVER SENS 24+4 (24)" u="1"/>
        <s v="BONI NSK SPAGHETTI 60x200G" u="1"/>
        <s v="BEST COCOA CHOCOPANDA 24X12X20G" u="1"/>
        <s v="NSK LA MODERNA PASTA TORNILLO 42x200G" u="1"/>
        <s v="IAK ADAN Y EVA LIMON JEMGIBRE 355ML LAT (24)" u="1"/>
        <s v="TERMO GABACHA #2 (12)" u="1"/>
        <s v="XHC XEDEX P SUAVIZ B PRIMAV 30X125G" u="1"/>
        <s v="XHC PFS MAX MB NARANJA 6X3X540G" u="1"/>
        <s v="XHC REXONA JAB AVENA 48X125G" u="1"/>
        <s v="FOOD NATURAS SALSA TOMATE RANCHERA 96X100G" u="1"/>
        <s v="QUA JUGOS YA PIÑA 10X15" u="1"/>
        <s v="UNS DULCE KOPIKO CAFE BOTE 200und (6)" u="1"/>
        <s v="NSK LAVAPLATOS DOÑA BCA.CILINDRO 170GR(6)" u="1"/>
        <s v="BEST RODAJAS JAL 24/215G" u="1"/>
        <s v="XHC PFS MAX MB BLANCA 6X3X540G" u="1"/>
        <s v="AMS PAPEL HIG LUCCA 24X1X168 NARANJA HD" u="1"/>
        <s v="NSK LAVAPLATOS AXION MARQUETA 250 GR (42)" u="1"/>
        <s v="SEDAL SH 340 ML NEGROS LUMINOSOS (12)" u="1"/>
        <s v="TERMO BOLSA DE BASURA NEGRA 24X35" u="1"/>
        <s v="TERMO GABACHA #1" u="1"/>
        <s v="KELL FROOT LOOPS 28X180G (28)" u="1"/>
        <s v="UNS GOMA DE MASCAR TUMIX SURTIDO 30x110x1.4g" u="1"/>
        <s v="TERMO BOLSA TRANSPARENTE 1 Lbs (60)" u="1"/>
        <s v="IAK DUCAL BEB HOJALAT MANZ 154ml (48)" u="1"/>
        <s v="IAK DUCAL BEB HOJALAT PIÑA 154ml (48)" u="1"/>
        <s v="BEST FRUTIBOTONETAS TROPICAL 20Ctx24U 25G" u="1"/>
        <s v="XHC XEDEX JAB LIQ FLORAL DYP 12X450ML" u="1"/>
        <s v="IAK DUCAL BEB TETR MANZ 200ml (24)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IAK DUCAL BEB ALUMIN MELOC 330ml (24)" u="1"/>
        <s v="FOOD MAIZENA FECULA MAIZ  FRESA 16X12X45G" u="1"/>
        <s v="LC GOMITAS 10X12X5" u="1"/>
        <s v="FOOD MAIZENA FECULA BAN/FRESA/VAIN 16X12X47G" u="1"/>
        <s v="UNS CHOC. TUBITO CHOKI CHOKI CHOCMAR 6x20" u="1"/>
        <s v="SCH DOVE SH OLEO NUTRI 12X24X10ML" u="1"/>
        <s v="DCASA MIRASOL 12X4X90G (12)" u="1"/>
        <s v="IAK DUCAL FRIJ CARNICOS LAT 5 oz (48)" u="1"/>
        <s v="XHC MAX PODER AZUL 6X4X330G" u="1"/>
        <s v="AXE AERO BS APOLLO 12X90G" u="1"/>
        <s v="ALD PIN POP SENSAT CHICLE SABOR SURTI 1x24u (16)" u="1"/>
        <s v="DCASA GELATINA POLVO UVA 450G (25)" u="1"/>
        <s v="IQUI CLORO BLANCO SOL 1/2 GALON (6)" u="1"/>
        <s v="SCH REXONA CLIN DEO CLAS W 12X8X8G+SCH (12)" u="1"/>
        <s v="XHC MAX BLANC/NARAN DUOX 6X4X330G" u="1"/>
        <s v="XHC REXONA JAB ANTIBAC LIMP PROF 48X125G" u="1"/>
        <s v="TERMO BOLSA COLOR 5 Lbs" u="1"/>
        <s v="IAK KERNS JUNIOR PERA TETR 200ml (24)" u="1"/>
        <s v="REXONA AERO AO ACTIVE 12X89G" u="1"/>
        <s v="NSK LA MODERNA CODITOS QUESO 20x200G" u="1"/>
        <s v="AXE AERO BS BLACK NIGHT12X90G" u="1"/>
        <s v="DOVE AERO GO FRESH PEPINO 12X89G" u="1"/>
        <s v="YAES ROSTIZADOR 100/100G" u="1"/>
        <s v="FOOD NATURAS SALSA TOMATE C/CARNE 96X100G" u="1"/>
        <s v="AXE AERO AP ICE CHILL 12X90G/152ML" u="1"/>
        <s v="AMS SERVILLETA MAX PAPPEL 10X1X100 CUADRADA" u="1"/>
        <s v="IAK GOYA MAIZ ENTERO 15.25 ONZ (24)" u="1"/>
        <s v="NSK BIC MAXI J6 CARTÓN 15+3 (20)" u="1"/>
        <s v="BONI ALC ARROZ ESTRELLA PRECOCIDO 350g (25)" u="1"/>
        <s v="TERMO BOLSA TRANSPARENTE 1 Lbs" u="1"/>
        <s v="SCH SAVILE SH 2EN1 12X28X15ML" u="1"/>
        <s v="TERMO BOLSA TRANSPARENTE 2 Lbs" u="1"/>
        <s v="IAK DUCAL FRIJ ROJO DyP 14.1oz (18)" u="1"/>
        <s v="FOS Fosforos Propasa 10x10" u="1"/>
        <s v="TERMO BOLSA TRANSPARENTE 3 Lbs" u="1"/>
        <s v="FOOD NATURAS SALSA TOMATE C/CARNES 96X100G" u="1"/>
        <s v="TERMO BOLSA TRANSPARENTE 5 Lbs" u="1"/>
        <s v="IAK DUCAL BEB TETR  PIÑA 200ML (24)" u="1"/>
        <s v="IAK DUCAL BEB TETR MELOC 200ml (24)" u="1"/>
        <s v="NSK LAVAPLATOS  POTENSOL MARQUETA 215GR (42)" u="1"/>
        <s v="BYB CHILE JALAPEÑO LA CONTENTA LATA 48/180g" u="1"/>
        <s v="BONI DCASA ORO MAYA 400GR" u="1"/>
        <s v="NSK LA MODERNA SPAGHETTI QUESO 20x200G" u="1"/>
        <s v="GOMITAS 10 OSOS 12X2X20X10" u="1"/>
        <s v="REXONA STICK MEN ANTIBACT FRESH 12X50G" u="1"/>
        <s v="BONI BAÑO 10 LITROS" u="1"/>
        <s v="FOOD KNORR SOPA POLLO C/FIDEO 12X12X55G" u="1"/>
        <s v="NSK LA MODERNA CARACOL 3 42x200G" u="1"/>
        <s v="ALC ARROZ MOLINERO BLANCO 200GR (20)" u="1"/>
        <s v="FOS FOSFOROS AGUILA 2X10X5" u="1"/>
        <s v="AXE AERO BS BLACK 12X90G" u="1"/>
        <s v="BYB MERMELADA DE FRESA TARRO 12/300g" u="1"/>
        <s v="ALD YOGUETA MILK 16X24u (16)" u="1"/>
        <s v="IAK KERNS KETCHUP 8grs SACH 1000u" u="1"/>
        <s v="XHC XEDEX P SUAVIZ YLANG 15X1KG" u="1"/>
        <s v="AMS PAPEL HIG MAX PAP. 6X4 MEJOR QUE 1000HD" u="1"/>
        <s v="YAES ROSTIZADOR BOLSA 453G (18)" u="1"/>
        <s v="TERMO BOLSA TRANSPARENTE 2 Lbs (36)" u="1"/>
        <s v="XHC REXONA JAB BAMBOO 48X125G" u="1"/>
        <s v="NSK LA MODERNA GALL MARIANITA NUEZ 20x185G" u="1"/>
        <s v="EGO GEL URBAN 4X6X200ML" u="1"/>
        <s v="AMS PAPEL HIGENICO LUCCA 24X1X1000 MEJOR HD" u="1"/>
        <s v="EGO GEL POWER 6/1000 ML" u="1"/>
        <s v="XHC XEDEX P ANTIBAC 15X1KG" u="1"/>
        <s v="IAK DUCAL FRIJ CARNICOS LAT 14oz (24)" u="1"/>
        <s v="QUA FRUTY F SURTIDO 8X18X14G" u="1"/>
        <s v="QUA NUTRIBELA TRAT CAP 24X12X27ML" u="1"/>
        <s v="QUA JUGOS YA DURAZNO 10X15" u="1"/>
        <s v="FOOD NATURAS FRIJOL NEGRO VOLTEADO 24X380G" u="1"/>
        <s v="XHC MAX PODER VERDE 6X4X330G" u="1"/>
        <s v="DCASA GELATINA POLVO NARANJA 450G (25)" u="1"/>
        <s v="FOOD NATURAS SALSA ITALIANA CL 96X100G" u="1"/>
        <s v="QUA JUGOS YA FRESA 10X15" u="1"/>
        <s v="GRECO GALL CHOCOCHIPS MINI 16X" u="1"/>
        <s v="UNS GOMA DE MASCAR TUMIX MENTA 30x110x1.4g" u="1"/>
        <s v="IAK KERNS KETCHUP 24X375gr PET" u="1"/>
        <s v="BONI QUA FRUTY FRESCO (8)" u="1"/>
        <s v="BYB CHOCONELA 12/273g" u="1"/>
        <s v="NSK LYSOL DESINFECTANTE MULTIUSOS DP 500 ML (18)" u="1"/>
        <s v="BONI DIN SOPA ISSIMA" u="1"/>
        <s v="TERMO GABACHA #2" u="1"/>
        <s v="KELL ZUCARITAS 28X260G (28)" u="1"/>
        <s v="IAK DUCAL FRIJ NEGR LAT 5.5oz PROMO (48)" u="1"/>
        <s v="XHC PFS CENTELLA CHIBOLONA VERDE 4X3X400G" u="1"/>
        <s v="IAK DUCAL FRIJ NEGR DyP 96oz (6)" u="1"/>
        <s v="EGO GEL URBAN 12/500ML" u="1"/>
        <s v="FOOD KNORR SOPA TORTILLA 12X12X58G (144)" u="1"/>
        <s v="XHC PFS CENTELLA CHIBOLONA VERDE 6X3X400G" u="1"/>
        <s v="BEST BOTE CHOCOGOL 150u (12)" u="1"/>
        <s v="AMS TOALLA FEM FEELING MAXI NOCTURNA 12X8" u="1"/>
        <s v="SCH SEDAL SH 2EN1 CERAMIDAS 12X24X10ML+4 SCH" u="1"/>
        <s v="NSK LA MODERNA CODO 2 50x200G" u="1"/>
        <s v="FOS ENCENDEDOR FRAGATA MINI 40X25" u="1"/>
        <s v="AMS SHAMPOO BABY STAR 5X30X10ML SIN LAGRIMAS" u="1"/>
        <s v="XHC PFS CENTELLA CHIBOLONA AMARILLO 4X3X400G" u="1"/>
        <s v="BYB MAYONESA PRIMA BOLSA 8/1500g" u="1"/>
        <s v="FOS FOSFOROS FOGATA ECO 12X10" u="1"/>
        <s v="BONI BAÑO 9 LITROS" u="1"/>
        <s v="REXONA STICK FM ANTIBAC  INVISIBLE 12X50G" u="1"/>
        <s v="TERMO GABACHA MINI/PIWI" u="1"/>
        <s v="DCASA GELATINA POLVO FRAMB.25X450g" u="1"/>
        <s v="DCASA GELATINA POLVO MELOC.25X450g" u="1"/>
        <s v="BYB PICAMAS HABANERO 24/155G" u="1"/>
        <s v="KELL FROOT LOOPS MINI SCH 5X12X22G (5)" u="1"/>
        <s v="FOOD KNORR SOPA GAL C/CONCHI 12X12X54G (144)" u="1"/>
        <s v="AMS PAPEL HIG MAX PAP MED VERDE HD 24X1X320" u="1"/>
        <s v="NSK LA MODERNA GALL MALVADISCO 10x624G" u="1"/>
        <s v="REXONA DEO STICK AP BAMBOO 12X50G" u="1"/>
        <s v="BONI ALC ARROZ GALLO DORADO 400g (25)" u="1"/>
        <s v="PONDS CR REJUVENESS DIA 12X400G" u="1"/>
        <s v="AMS ALCOHOL LIQUIDO ANTIBACT. CLT 12X1X850ML (12)" u="1"/>
        <s v="EGO GEL POWER 6/30/12ML" u="1"/>
        <s v="NSK LA MODERNA PASTA SPAGHETTI 60x200G" u="1"/>
        <s v="BONI QUA GALLETA BEST MANI 24X12 (JUGOS YA)" u="1"/>
        <s v="UNS EXTENSION DOMESTICA SPT  8MTS" u="1"/>
        <s v="FOS PALITO CHOCOBANANO EL SOL 36X150u" u="1"/>
        <s v="MA AVENA MOSH ESTRELLA 25X360G" u="1"/>
        <s v="LOT CONSOME CRIOLLO LOTY 225GR (50)" u="1"/>
        <s v="QUA JUGOS YA GUANABA 10X15G" u="1"/>
        <s v="AMS ECO BOX DESIN MUNDO MAGICO 9.5 LTS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NSK COLGATE KIT DE CEPILL 1X24TX6UNDS" u="1"/>
        <s v="DOVE STICK DERMO ACLARANT 12X50G" u="1"/>
        <s v="IAK DUCAL BEB HOJALAT MELOC 154ml (48)" u="1"/>
        <s v="QUA SAVILOE 12X320ML (PAQUETE)" u="1"/>
        <s v="QUA SAVILOE 12X500ML (PAQUETE)" u="1"/>
        <s v="IAK DUCAL FRIJ ROJO DyP 8oz (24)" u="1"/>
        <s v="NSK LYSOL DESINFECTANTE MULTIUSOS SPRAY (18)" u="1"/>
        <s v="BONI ALC HARINA ORO MAYA 400gr (20)" u="1"/>
        <s v="AXE AERO AP DARK TEMP SEC 12X90G" u="1"/>
        <s v="SCH QUA NUTRIBELA 10 9+3 (24)" u="1"/>
        <s v="IPR MIEL MAPLE 360ML (12)" u="1"/>
        <s v="XHC UNOX INTEL P PERF RESULTS 12X12X35G" u="1"/>
        <s v="AXE STICK AP ICE CHILL 12X50G" u="1"/>
        <s v="AXE STICK TRANS DARK TEMP 12X54G" u="1"/>
        <s v="AXE AERO AP DARK TEMP SEC 12X88G" u="1"/>
        <s v="XHC XEDEX P MULTI LIMP ACTIVA 15X900G" u="1"/>
        <s v="EGO GEL URBAN 4x6x110 ML" u="1"/>
        <s v="BONI BIC 1 PAR DE RASURADORA CONFORT 2" u="1"/>
        <s v="MA AVENA MOSH 100X40G" u="1"/>
        <s v="REXONA STICK WOMAN ANTIBAC 12X50G" u="1"/>
        <s v="NSK LA MODERNA SUR GALLETAS 1143KG" u="1"/>
        <s v="PONDS CR  50G CLARANT B3 SECA (24)" u="1"/>
        <s v="ALC CR AVEN HOJUELA 12U 350G" u="1"/>
        <s v="IAK KERNS NECT PERA TETR 250ml (24)" u="1"/>
        <s v="TERMO BOLSA COLOR 5 Lbs (46)" u="1"/>
        <s v="FOS CERILLOS GALLO FAMILIAR (100) 200 L" u="1"/>
        <s v="BONI AMSA TOALLA HUMEDA STAR 24X1X40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TERMO BOLSA DE BASURA NEGRA 24X35 (100)" u="1"/>
        <s v="AXE STICK TRANS COLLISION 12X54G" u="1"/>
        <s v="BONI DIN PLATO PLASTICO" u="1"/>
        <s v="IAK BLISS HAPPY MIX 350ml VIDR (24)" u="1"/>
        <s v="DOVE STICK CLEAR TONE 12X50G" u="1"/>
        <s v="IPR MERMELADA PINA 12OZ (24)" u="1"/>
        <s v="BYB SALSA PICAMAS VERDE BOLSA 8/1750g" u="1"/>
        <s v="AMS TOALLA HUMEDA LUCCA SUPER SEC 12X80" u="1"/>
        <s v="YAES MUCHO NACHO ROSTIZADO 70GR (24)" u="1"/>
        <s v="IAK DUCAL FRIJ NEGR DyP 104oz (6)" u="1"/>
        <s v="BEST BOTE CONITO RELL SUR 70u (12)" u="1"/>
        <s v="FOOD NATURAS SALSA C/QUESO 96X100G" u="1"/>
        <s v="YAES EMPANIZADOR CEREAL 90G (25)" u="1"/>
        <s v="MA CREMA AVENA 50X100G" u="1"/>
        <s v="IAK KERNS TETRA NECT MELOC 1000ml (12)" u="1"/>
        <s v="BEST DAPI GALLETA VAINILLA 48X12X14.5G (48)" u="1"/>
        <s v="MA AVENA STEEL CUT 96X40G" u="1"/>
        <s v="GOMITAS 4 TAPA MENTA 20GR 12X2X10X4" u="1"/>
        <s v="BONI DCAS DETERGENTE 1 . 2 . 3 800g (10)" u="1"/>
        <s v="BONI IAK DUCAL FRIJOL NEGRO DyP 8 ONZ" u="1"/>
        <s v="SCH SAVILE SH ARGAN 12X28X15ML" u="1"/>
        <s v="SCH SAVILE CR ARGAN 24X28X15ML" u="1"/>
        <s v="BYB SALSA PICAMAS VERDE BOLSA 48/110g" u="1"/>
        <s v="FOOD MAIZENA FECULA MAIZ BANANA 16X12X47G" u="1"/>
        <s v="XHC PFS CENTELLA CHIBOLONA AZUL 4X3X400G" u="1"/>
        <s v="SAVILE SH BIOTINA SCH 24X28X15ML" u="1"/>
        <s v="BYB SALSA PICAMAS CHILTEPE 24/155g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NSK LA MODERNA CODO 3 42x200G" u="1"/>
        <s v="IPR CHILE JALAPEÑO ESCABECHE 5.5OZ (48)" u="1"/>
        <s v="ALD PIN POP WATERMELON 16X24 (15G)" u="1"/>
        <s v="DCASA GELATINA POLVO PIÑA 450G (25)" u="1"/>
        <s v="BYB SALSA PICAMAS COBANERO 24/155g" u="1"/>
        <s v="BEST BOTONETA CHOCOLATE 80X6X20G (80)" u="1"/>
        <s v="QUA NUTRIBELA 10 18+6 (12)" u="1"/>
        <s v="AXE AERO AP EPIC FRESH 12X88G" u="1"/>
        <s v="XHC REXONA JAB ANTIBAC FRESH 48X125G" u="1"/>
        <s v="AMS JAB ANTIBAC CLT PINK LIMONADE 12X500" u="1"/>
        <s v="ALC ARROZ GALLO DORADO PRE COCIDO 200GR (20)" u="1"/>
        <s v="XHC XEDEX P PROTECCION COLOR 20X250G" u="1"/>
        <s v="IAK KERNS TETRA NECT MANZ 1000ml (12)" u="1"/>
        <s v="BONI QUA JUGO YA NARANJA" u="1"/>
        <s v="AMS PAPEL HIG MAX PAP. 12X4 MEJOR QUE 1000 HD" u="1"/>
        <s v="MA AVENA INTEGRAL 100X40G" u="1"/>
        <s v="NSK LA MODERNA PLUMA 42x200G" u="1"/>
        <s v="NSK LA MODERNA MACARRON LARGO 20x200G" u="1"/>
        <s v="BONI ALC ARROZ ESTRELLA BLANCO 350g (25)" u="1"/>
        <s v="NSK LYSOL DESINFECTANTE MULTIUSOS DP 500 ML" u="1"/>
        <s v="AXE AERO BS GOLD TEMPTATION 12X90G" u="1"/>
        <s v="DCASA MIRASOL MARG 6X60X35G" u="1"/>
        <s v="NSK BIC RASURADORA CONFORT 3 12+2 (24)" u="1"/>
        <s v="IAK KERNS TE DURAZNO 2500ml (6)" u="1"/>
        <s v="IAK KERNS TE FRAMBUES 2500ml (6)" u="1"/>
        <s v="XHC PFS MAX MB BLANC/NAR DUOX 6X3X540G" u="1"/>
        <s v="EGO GEL ATTRAC 24/110ML" u="1"/>
        <s v="IAK KERNS TE LIMON 2500ML (6)" u="1"/>
        <s v="BYB MOSTAZA ALMOHADITA 48/110 g" u="1"/>
        <s v="GOMITAS 4 OSOS 12X2X20X4" u="1"/>
        <s v="IAK KERNS JUNIOR MANZ TETRA 200ml (24)" u="1"/>
        <s v="IAK KERNS JUNIOR MELOC TETR 200ml (24)" u="1"/>
        <s v="IQUI CLORO BLANCO SOL 1LT (12)" u="1"/>
        <s v="BONI ALC HARINA ORO MAYA 800g (9)" u="1"/>
        <s v="UNS CAR MENTOLADO JAAZZ CLOROFILA 100und (30)" u="1"/>
        <s v="XHC PFS LIMPIOX CILINDRO AVENA 18X320G" u="1"/>
        <s v="DCASA MIRASOL MARG 2X24X90G" u="1"/>
        <s v="IAK DUCAL FRIJ CHUB NEGR ENT 1.82kgs (6)" u="1"/>
        <s v="IAK DUCAL FRIJ CHUB ROJO ENT 1.82kgs (6)" u="1"/>
        <s v="XHC XEDEX P MULTI LIMP ACTIVA 15X1KG" u="1"/>
        <s v="BEST BOTONETA MANÍ 80X6X20G (80)" u="1"/>
        <s v="BONI HERMETICO RECTANGULAR" u="1"/>
        <s v="FOOD KNORR SOPA POLL VERD CODITO 12X12X54G" u="1"/>
        <s v="IAK KERNS TETRA NECT FRUTAS 1000ml (12)" u="1"/>
        <s v="FOOD KNORR SOPA COST CRIOL C/FID 12X12X55G" u="1"/>
        <s v="FOOD KNORR SOPA GAL C/ARROZ CHIP 12X12X55G" u="1"/>
        <s v="BEST CHOCOFRUTA 10X 1600G (10)" u="1"/>
        <s v="AXE AERO BS DARK TEMPT 12X90G" u="1"/>
        <s v="EGO GEL ATTRAC 12/500ML" u="1"/>
        <s v="BEST CHOCOFRUTA TABLETA 24X375G" u="1"/>
        <s v="BEST BOTONETAS MANI 20X24X13G (20)" u="1"/>
        <s v="GOMITAS 5 OSOS PEQUEÑOS 12.5GR 12X2X20X5" u="1"/>
        <s v="EGO GEL POWER 12/500 ML" u="1"/>
        <s v="FOOD MAIZENA FECULA MAIZ VAINILLA 16X12X45G" u="1"/>
        <s v="FOOD KNORR SOPA GAL C/CONCHI 12X12X54G" u="1"/>
        <s v="KELL CHOCO KRISPI SCH 8X6X150G (8)" u="1"/>
        <s v="PONDS CR 100G H (24)" u="1"/>
        <s v="REXONA STICK ACTR BAMBOO 12X50G" u="1"/>
        <s v="SCH SAVILE SH BIOTINA 12X28X15ML" u="1"/>
        <s v="SCH SAVILE SH ANTICASPA 24X28X15ML (24)" u="1"/>
        <s v="AXE AERO BS ICE CHILL 12X90G" u="1"/>
        <s v="BONI AMSA ROLLO MAX PAPPEL MORADO MED 24X1" u="1"/>
        <s v="DOVE MINIROLLON CUIDADO TOTAL 6X30ML" u="1"/>
        <s v="IAK DUCAL FRIJ CARNICOS LAT 28oz (12)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1488"/>
    </cacheField>
    <cacheField name="Columna4" numFmtId="0">
      <sharedItems containsSemiMixedTypes="0" containsString="0" containsNumber="1" minValue="0.01" maxValue="100"/>
    </cacheField>
    <cacheField name="Columna5" numFmtId="0">
      <sharedItems containsSemiMixedTypes="0" containsString="0" containsNumber="1" minValue="0.01" maxValue="295.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27315" createdVersion="8" refreshedVersion="8" minRefreshableVersion="3" recordCount="98" xr:uid="{597AF9EC-ACE7-4B31-B9ED-C5DA085026FD}">
  <cacheSource type="worksheet">
    <worksheetSource name="RUTA479"/>
  </cacheSource>
  <cacheFields count="5">
    <cacheField name="Columna1" numFmtId="0">
      <sharedItems containsMixedTypes="1" containsNumber="1" containsInteger="1" minValue="205" maxValue="10080010002" count="394">
        <n v="10010010010"/>
        <n v="400000158"/>
        <n v="400000160"/>
        <n v="400000161"/>
        <n v="400000221"/>
        <n v="400000411"/>
        <n v="400000542"/>
        <n v="50470111"/>
        <n v="50470118"/>
        <n v="50491107"/>
        <n v="50491108"/>
        <n v="50491109"/>
        <n v="50491133"/>
        <n v="52480086"/>
        <n v="5460400"/>
        <n v="576003"/>
        <n v="578086"/>
        <n v="579407"/>
        <n v="579410"/>
        <n v="579411"/>
        <n v="583415"/>
        <n v="586703"/>
        <n v="588828"/>
        <n v="60000094"/>
        <n v="60000210"/>
        <n v="620500"/>
        <n v="620678"/>
        <n v="620845"/>
        <n v="621330"/>
        <n v="67409831"/>
        <n v="67611010"/>
        <n v="67767705"/>
        <n v="68380352"/>
        <n v="68441503"/>
        <n v="68444066"/>
        <n v="68524861"/>
        <n v="68637162"/>
        <n v="68798139"/>
        <n v="69584500"/>
        <n v="69627014"/>
        <n v="69678218"/>
        <n v="69678219"/>
        <n v="69678220"/>
        <n v="69678225"/>
        <n v="69761861"/>
        <n v="69761870"/>
        <n v="69780941"/>
        <n v="84157362"/>
        <s v="ARE15041"/>
        <s v="BYB00020502"/>
        <s v="BYB00100401"/>
        <s v="BYB00100801"/>
        <s v="BYB00220500"/>
        <s v="BYB00230438"/>
        <s v="CB003461"/>
        <s v="DCAS0425"/>
        <s v="DCAS0533"/>
        <s v="DCAS2310"/>
        <s v="ENV0013"/>
        <s v="GTQ0012"/>
        <s v="GTQ0014"/>
        <s v="IQM1010110"/>
        <s v="K124099"/>
        <s v="K124100"/>
        <s v="K151247"/>
        <s v="K154181"/>
        <s v="K155094"/>
        <s v="K155813"/>
        <s v="K190261"/>
        <s v="K194082"/>
        <s v="K209481"/>
        <s v="K51795"/>
        <s v="K51798"/>
        <s v="K51818"/>
        <s v="K73543"/>
        <s v="N7512"/>
        <s v="N7524"/>
        <s v="N7528"/>
        <s v="N7545"/>
        <s v="N7546"/>
        <s v="PD39248"/>
        <s v="PRC00019"/>
        <s v="PT010836"/>
        <s v="Q000246"/>
        <s v="Q000247"/>
        <s v="Q000249"/>
        <s v="Q000250"/>
        <s v="Q000251"/>
        <s v="Q000252"/>
        <s v="Q000253"/>
        <s v="Q000254"/>
        <s v="Q000256"/>
        <s v="Q1002"/>
        <s v="Q1005"/>
        <s v="Q1008"/>
        <s v="QUA79240105"/>
        <s v="YAES00060"/>
        <s v="YAESSC00028"/>
        <n v="10010020002" u="1"/>
        <n v="1008010073" u="1"/>
        <n v="1008011812" u="1"/>
        <n v="19640304" u="1"/>
        <n v="19640306" u="1"/>
        <n v="400000048" u="1"/>
        <n v="400000127" u="1"/>
        <n v="400000386" u="1"/>
        <n v="400000412" u="1"/>
        <n v="50470107" u="1"/>
        <n v="50491100" u="1"/>
        <n v="50491101" u="1"/>
        <n v="50491102" u="1"/>
        <n v="50491103" u="1"/>
        <n v="50491106" u="1"/>
        <n v="50491131" u="1"/>
        <n v="50491134" u="1"/>
        <n v="52480094" u="1"/>
        <n v="52480095" u="1"/>
        <n v="579235" u="1"/>
        <n v="60000209" u="1"/>
        <n v="620821" u="1"/>
        <n v="621491" u="1"/>
        <n v="640676" u="1"/>
        <n v="642557" u="1"/>
        <n v="68436586" u="1"/>
        <n v="68798140" u="1"/>
        <n v="69584482" u="1"/>
        <n v="69584483" u="1"/>
        <n v="69584486" u="1"/>
        <n v="69678222" u="1"/>
        <n v="69761865" u="1"/>
        <n v="69761868" u="1"/>
        <n v="10020040002" u="1"/>
        <n v="1008071533" u="1"/>
        <n v="1008094293" u="1"/>
        <n v="50470112" u="1"/>
        <n v="50470114" u="1"/>
        <n v="621323" u="1"/>
        <n v="68647716" u="1"/>
        <n v="68647722" u="1"/>
        <n v="68649837" u="1"/>
        <n v="68667235" u="1"/>
        <n v="69584487" u="1"/>
        <n v="69618163" u="1"/>
        <n v="1008010113" u="1"/>
        <n v="1008013091" u="1"/>
        <n v="640959" u="1"/>
        <n v="641833" u="1"/>
        <n v="642359" u="1"/>
        <n v="642366" u="1"/>
        <n v="642373" u="1"/>
        <n v="642380" u="1"/>
        <n v="69714154" u="1"/>
        <n v="5467000" u="1"/>
        <n v="579305" u="1"/>
        <n v="10020010007" u="1"/>
        <n v="20110020" u="1"/>
        <n v="400000033" u="1"/>
        <n v="1008012355" u="1"/>
        <n v="1008014100" u="1"/>
        <n v="69584479" u="1"/>
        <n v="640683" u="1"/>
        <n v="67139177" u="1"/>
        <n v="680078" u="1"/>
        <n v="680092" u="1"/>
        <n v="68441507" u="1"/>
        <n v="68524859" u="1"/>
        <n v="68923657" u="1"/>
        <n v="84157033" u="1"/>
        <n v="50470108" u="1"/>
        <n v="579409" u="1"/>
        <n v="67611013" u="1"/>
        <n v="68193096" u="1"/>
        <n v="68441544" u="1"/>
        <n v="50491104" u="1"/>
        <n v="50491122" u="1"/>
        <n v="576004" u="1"/>
        <n v="621439" u="1"/>
        <n v="642236" u="1"/>
        <n v="68115523" u="1"/>
        <n v="68395025" u="1"/>
        <n v="68436592" u="1"/>
        <n v="68441512" u="1"/>
        <n v="69761866" u="1"/>
        <n v="4040000841" u="1"/>
        <n v="68524852" u="1"/>
        <n v="68775732" u="1"/>
        <n v="67611014" u="1"/>
        <n v="68357624" u="1"/>
        <n v="69714162" u="1"/>
        <n v="60000205" u="1"/>
        <n v="68437778" u="1"/>
        <n v="1008010115" u="1"/>
        <n v="19640305" u="1"/>
        <n v="50491121" u="1"/>
        <n v="68865806" u="1"/>
        <n v="69786713" u="1"/>
        <n v="84159040" u="1"/>
        <n v="68865803" u="1"/>
        <n v="579405" u="1"/>
        <n v="68786597" u="1"/>
        <n v="403000261" u="1"/>
        <n v="60000212" u="1"/>
        <n v="68647714" u="1"/>
        <n v="84163148" u="1"/>
        <n v="84163149" u="1"/>
        <n v="642694" u="1"/>
        <n v="68380364" u="1"/>
        <n v="68444067" u="1"/>
        <n v="2103011672" u="1"/>
        <n v="68170131" u="1"/>
        <n v="680672" u="1"/>
        <n v="68524857" u="1"/>
        <n v="69629500" u="1"/>
        <n v="69714199" u="1"/>
        <n v="50470115" u="1"/>
        <n v="588831" u="1"/>
        <n v="579403" u="1"/>
        <n v="68667239" u="1"/>
        <n v="84171576" u="1"/>
        <n v="68155562" u="1"/>
        <n v="84158961" u="1"/>
        <n v="84158963" u="1"/>
        <n v="50491132" u="1"/>
        <n v="68193098" u="1"/>
        <n v="68524849" u="1"/>
        <n v="652532" u="1"/>
        <n v="68380353" u="1"/>
        <n v="68524850" u="1"/>
        <n v="68874810" u="1"/>
        <n v="10080010002" u="1"/>
        <n v="565119" u="1"/>
        <n v="680214" u="1"/>
        <n v="680689" u="1"/>
        <n v="68780160" u="1"/>
        <n v="579412" u="1"/>
        <n v="84157012" u="1"/>
        <n v="60000215" u="1"/>
        <n v="68874809" u="1"/>
        <n v="84153562" u="1"/>
        <n v="574983" u="1"/>
        <n v="640690" u="1"/>
        <n v="67721092" u="1"/>
        <n v="68524848" u="1"/>
        <n v="69620218" u="1"/>
        <n v="69714198" u="1"/>
        <n v="69717303" u="1"/>
        <n v="579264" u="1"/>
        <n v="67707590" u="1"/>
        <n v="84171222" u="1"/>
        <n v="60000133" u="1"/>
        <n v="67409940" u="1"/>
        <n v="68611972" u="1"/>
        <n v="84162865" u="1"/>
        <n v="67611016" u="1"/>
        <n v="67707595" u="1"/>
        <n v="84158965" u="1"/>
        <n v="579319" u="1"/>
        <n v="68354542" u="1"/>
        <n v="571467" u="1"/>
        <n v="68787808" u="1"/>
        <n v="68754734" u="1"/>
        <n v="84168064" u="1"/>
        <n v="576000" u="1"/>
        <n v="579337" u="1"/>
        <n v="68688972" u="1"/>
        <n v="69629503" u="1"/>
        <n v="84160187" u="1"/>
        <n v="68645445" u="1"/>
        <n v="68875982" u="1"/>
        <n v="579406" u="1"/>
        <n v="84163166" u="1"/>
        <n v="642205" u="1"/>
        <n v="67986539" u="1"/>
        <n v="68193097" u="1"/>
        <n v="68524854" u="1"/>
        <n v="68818454" u="1"/>
        <n v="67409941" u="1"/>
        <n v="68865804" u="1"/>
        <n v="68766039" u="1"/>
        <n v="67409923" u="1"/>
        <n v="67707587" u="1"/>
        <n v="576690" u="1"/>
        <n v="579362" u="1"/>
        <n v="67519203" u="1"/>
        <n v="68354529" u="1"/>
        <n v="68649838" u="1"/>
        <n v="84168418" u="1"/>
        <n v="69629507" u="1"/>
        <n v="84162953" u="1"/>
        <n v="68174780" u="1"/>
        <n v="68436574" u="1"/>
        <n v="68524847" u="1"/>
        <n v="68786560" u="1"/>
        <n v="69629502" u="1"/>
        <n v="579413" u="1"/>
        <n v="586682" u="1"/>
        <n v="68876989" u="1"/>
        <n v="206" u="1"/>
        <n v="1007" u="1"/>
        <n v="68534532" u="1"/>
        <n v="256" u="1"/>
        <n v="579404" u="1"/>
        <n v="50470101" u="1"/>
        <n v="50470105" u="1"/>
        <n v="68401571" u="1"/>
        <n v="84151286" u="1"/>
        <n v="68142902" u="1"/>
        <n v="50470103" u="1"/>
        <n v="68141796" u="1"/>
        <n v="84168063" u="1"/>
        <n v="84168484" u="1"/>
        <n v="1019" u="1"/>
        <n v="1006" u="1"/>
        <n v="68614030" u="1"/>
        <n v="566701" u="1"/>
        <n v="576002" u="1"/>
        <n v="10040010015" u="1"/>
        <n v="246" u="1"/>
        <n v="68802170" u="1"/>
        <n v="254" u="1"/>
        <n v="68354522" u="1"/>
        <n v="576006" u="1"/>
        <n v="1005" u="1"/>
        <n v="50491112" u="1"/>
        <n v="68524851" u="1"/>
        <n v="68399684" u="1"/>
        <n v="404000140" u="1"/>
        <n v="249" u="1"/>
        <n v="207" u="1"/>
        <n v="50491114" u="1"/>
        <n v="84157802" u="1"/>
        <n v="68141797" u="1"/>
        <n v="84168485" u="1"/>
        <n v="571466" u="1"/>
        <n v="67190950" u="1"/>
        <n v="68227509" u="1"/>
        <n v="68864406" u="1"/>
        <n v="68646674" u="1"/>
        <n v="565574" u="1"/>
        <n v="67728485" u="1"/>
        <n v="68614031" u="1"/>
        <n v="589111" u="1"/>
        <n v="68637131" u="1"/>
        <n v="1004" u="1"/>
        <n v="252" u="1"/>
        <n v="573812" u="1"/>
        <n v="50470104" u="1"/>
        <n v="67150066" u="1"/>
        <n v="67883019" u="1"/>
        <n v="67171635" u="1"/>
        <n v="50470102" u="1"/>
        <n v="1008011991" u="1"/>
        <n v="574986" u="1"/>
        <n v="50470106" u="1"/>
        <n v="247" u="1"/>
        <n v="547830" u="1"/>
        <n v="60000262" u="1"/>
        <n v="205" u="1"/>
        <n v="1003" u="1"/>
        <n v="68875985" u="1"/>
        <n v="255" u="1"/>
        <n v="84153470" u="1"/>
        <n v="573818" u="1"/>
        <n v="68141798" u="1"/>
        <n v="60000264" u="1"/>
        <n v="1009" u="1"/>
        <n v="573819" u="1"/>
        <n v="68646675" u="1"/>
        <n v="69620216" u="1"/>
        <n v="250" u="1"/>
        <n v="214902" u="1"/>
        <n v="67952534" u="1"/>
        <n v="1002" u="1"/>
        <n v="641628" u="1"/>
        <n v="68647721" u="1"/>
        <n v="68809921" u="1"/>
        <n v="1021" u="1"/>
        <n v="1008" u="1"/>
        <n v="642304" u="1"/>
        <n v="68524853" u="1"/>
        <n v="253" u="1"/>
        <n v="68564978" u="1"/>
        <n v="68882798" u="1"/>
        <n v="69629504" u="1"/>
        <n v="84153561" u="1"/>
        <n v="68455320" u="1"/>
        <n v="1001" u="1"/>
        <n v="67707584" u="1"/>
        <n v="68534543" u="1"/>
        <n v="67574559" u="1"/>
        <n v="68646586" u="1"/>
        <n v="19166005" u="1"/>
        <n v="67409937" u="1"/>
        <n v="68444073" u="1"/>
      </sharedItems>
    </cacheField>
    <cacheField name="Columna2" numFmtId="0">
      <sharedItems containsBlank="1" count="851">
        <s v="ALC ARROZ GALL DORA PREC 400G (25)"/>
        <s v="FOS FOSFOROS CABALLO ROJO 24x10"/>
        <s v="FOS FOSFOROS FOGATA ECO 12X10"/>
        <s v="FOS CERILLO GALLO 10X10"/>
        <s v="FOS FOSFOROS AGUILA 2X10X5"/>
        <s v="FOS FOSFOROS MADERA GALLO 10X10"/>
        <s v="FOS FOSFOROS GALLO ECO 12X10"/>
        <s v="XHC PFS CENTELLA CHIBOLONA VERDE 4X3X375G"/>
        <s v="XHC PFS CENTELLA CHIBOLONA AVENA 4X3X375G"/>
        <s v="XHC PFS MAX BLANC/NARAN DUOX 6X3X400G"/>
        <s v="XHC PFS MAX BLANC/AZUL DUOX 6X3X400G"/>
        <s v="XHC PFS MAX BLANC/VERDE DUOX 6X3X400G"/>
        <s v="XHC PFS MAX MB BLANC/NARAN DUOX 6X3X500G"/>
        <s v="XHC PFS LIMPIOX AVENA DISCO 108G (72)"/>
        <s v="QUA SAVILOE 12X320ML(UNIDAD)"/>
        <s v="FOOD KNORR SOPA POLLO C/FIDEO 12X12X55G (144)"/>
        <s v="DOVE MINIROLLON ORIGINAL 6X30ML"/>
        <s v="PONDS CR  50G S HUMECTANTE NUTRITIVA (24)"/>
        <s v="PONDS CR  50G CLARANT B3 SECA (24)"/>
        <s v="PONDS CR  50G CLARANT B3 GRASA (24)"/>
        <s v="DOVE AERO ORIGINAL 12X89G"/>
        <s v="AXE AERO VITTO DARK TEMPT 12X58G"/>
        <s v="AXE AERO BS DARK TEMPT 12X97G"/>
        <s v="ALC ORO MAY  HARIN MAIZ BLANC 800 (9)"/>
        <s v="ALC ARROZ ESTRELLA BLANCO 350G (25)"/>
        <s v="DIN MAZOLA ACEITE  BOT 32onz (12)"/>
        <s v="DIN MAZOLA MANTECA 1LB (50)"/>
        <s v="DIN MAZOLA ACEITE DYP 700ml (18)"/>
        <s v="DIN MAZOLA MARGARINA BARRA 400gr (24)"/>
        <s v="EGO GEL ATTRAC 6/30/12ML"/>
        <s v="EGO GEL ATTRAC 4/6/200ML+5 SCH"/>
        <s v="REXONA ROLLON BAMBOO 6X30ML"/>
        <s v="DOVE AERO AP CALENDULA 12X87G"/>
        <s v="AXE AERO BS APOLLO 12X97G"/>
        <s v="AXE AERO AP ICE CHILL 12X88G"/>
        <s v="SCH DOVE SH HIDRA Y SUAVI (ANTICASPA) 24X28X10ML"/>
        <s v="EGO GEL ATTRAC 4X6X110ML"/>
        <s v="REXONA AERO POWER DRY 12X58G"/>
        <s v="FOOD MAIZENA F MAIZ NATURAL 20X20X45G (400)"/>
        <s v="DOVE AERO ORQUIDEA 12X87G"/>
        <s v="SCH SEDAL SH NEGRO LUMINOSO 24X28X9ML"/>
        <s v="SCH SEDAL CR PEIN KERAT 24X28X9ML"/>
        <s v="SCH SEDAL CR LISO PERFECTO 24X28X9ML"/>
        <s v="SCH SEDAL SH LISO PERFECTO 24X28X9ML"/>
        <s v="FOOD NATURAS SALSA TOMATE C/QUESO 96X90G"/>
        <s v="FOOD NATURAS SALSA TOMATE C/CARNE 96X90G"/>
        <s v="FOOD NATURAS JUMB SSA RANCH 24X90G"/>
        <s v="REXONA ROLLON V8 6X30ML"/>
        <s v="ARE SABUESO ADULTO 100 LBS"/>
        <s v="BYB CHILE JALAPEÑO PICANTE LATA 96/5.8oz"/>
        <s v="BYB MAYONESA CLASICA BOLSA 48/100g"/>
        <s v="BYB MAYONESA CLASICA BOLSA 48/200g"/>
        <s v="BYB SALSA SOYA PLASTICA 24/152 ml"/>
        <s v="BYB VINAGRE CLARO 48/100ml"/>
        <s v="BEST CAFE BARISTA SOLUBLE 12X24X8g"/>
        <s v="DCASA PAPEL ENCANTO GDE. 1X12X4 (12)"/>
        <s v="DCASA HEINZ MELOCOTO FLEX 24X113G"/>
        <s v="DCASA MIRASOL MARG 24X5X80G"/>
        <s v="ENV AGUA PURIFICADA SCANDIA 12X600ML"/>
        <s v="BONI SAVILOE UND 320ML (12)"/>
        <s v="BONI QUA FRIJOL NEGRO LAT 5.5 OZ (48)"/>
        <s v="IQUI CLORO MAGICLOR POPULINO 1X12X6 235ML"/>
        <s v="IAK FUN C REFR MANZ 200ML TETR (24)"/>
        <s v="IAK FUN C REFR MELOC 200ML TETR (24)"/>
        <s v="IAK KERNS KETCHUP 24X375gr PET"/>
        <s v="IAK KERNS COCT VEGET 1 LT TETR (12)"/>
        <s v="IAK DUCAL FRIJ NEGR DyP 28oz (12)"/>
        <s v="IAK KERNS COCT VEGET ALMEJA 1LT (12)"/>
        <s v="IAK DUCAL FRIJ NEGR DyP 96oz (6)"/>
        <s v="IAK KERNS 154mL COCTEL VEGETALES (48)"/>
        <s v="IAK DUCAL FRIJ NEGR DyP 4oz (24)"/>
        <s v="IAK DUCAL FRIJ NEGR LAT 10.5oz (48)"/>
        <s v="IAK DUCAL FRIJ NEGR LAT 5.5oz (48)"/>
        <s v="IAK KERNS PASTA TOMATE LATA 48X6oz"/>
        <s v="IAK DUCAL FRIJ NEGR LAT 15oz (24)"/>
        <s v="NSK SUAVITEL COMPL PRIMAV 1X6X12 U"/>
        <s v="NSK JABON PROTEX ALOE 110GR (96)"/>
        <s v="NSK AZISTIN MANZANA 1X6X12U/80ML"/>
        <s v="NSK COLGATE KIT DE CEPILL 1X24TXTIRA 6UNDS"/>
        <s v="NSK COLGATE DOBLE FRESCURA 150ML (72)"/>
        <s v="PD PEDIALYTE CEREZA 30 MEQ 500ML (12)"/>
        <s v="UNS OSITO MIEL QUEENBEE 340gr (24)"/>
        <s v="BEST BOTE CHOCOGOL 150u (12)"/>
        <s v="QUA JUGOS YA FRESA 10X15X18 FIT"/>
        <s v="QUA JUGOS YA JAMAICA 10X15X18 FIT"/>
        <s v="QUA JUGOS YA PINA 10X15X18 FIT"/>
        <s v="QUA JUGOS YA GUANABA 10X15X18 FIT"/>
        <s v="QUA JUGOS YA LIMON 10X15X18 FIT"/>
        <s v="QUA JUGOS YA MORA 10X15X18 FIT"/>
        <s v="QUA JUGOS YA DURAZNO 10X15X18 FIT"/>
        <s v="QUA JUGOS YA HORCHATA 10X15X18 FIT"/>
        <s v="QUA JUGOS YA NARANJA 10X15X18 FIT"/>
        <s v="QUA YUS TAMARINDO 9X15X28g"/>
        <s v="QUA YUS DURAZNO 9X15X28g"/>
        <s v="QUA YUS PIÑA 9X15X28g"/>
        <s v="SCH QUA NUTRIBELA TRAT CAP 24X12X27ML"/>
        <s v="YAES VINAGRE MANZANA CLEMEN 500ml (24)"/>
        <s v="YAES SAL DE MESA REFINADA 25/400G"/>
        <s v="ALC ARROZ MACAREN PREC 400G (25)" u="1"/>
        <s v="KELL CORN FLAKES 28X150G (28)" u="1"/>
        <s v="KELL CHOCO KRISPIS 28X290G (28)" u="1"/>
        <s v="QUA BONTEA DURAZNO 10X12X30G" u="1"/>
        <s v="QUA BONTEA MANZANA 10X12X30G" u="1"/>
        <s v="FOS PALILLOS MADERA 12X12X250u" u="1"/>
        <s v="FOS FOSFOROS FOGATA 10x10" u="1"/>
        <s v="FOS CERILLOS GALLO FAMILIAR (100) 200 L" u="1"/>
        <s v="FOS Fosforos Propasa 10x10" u="1"/>
        <s v="XHC PFS CENTELLA CAMPEON VERDE 6X4X330G" u="1"/>
        <s v="XHC PFS MAX PODER VERDE 6X3X400G" u="1"/>
        <s v="XHC PFS MAX PODER AZUL  6X3X400G" u="1"/>
        <s v="XHC PFS MAX PODER BLANCO 6X3X400G" u="1"/>
        <s v="XHC PFS MAX PODER ROSADO 6X3X400G" u="1"/>
        <s v="XHC PFS MAX PODER AMARILLO 6X3X400G" u="1"/>
        <s v="XHC PFS MAX MB BLANCA 6X3X500G" u="1"/>
        <s v="XHC PFS MAX MB BLANC/VERD DUOX 6X3X500G" u="1"/>
        <s v="XHC PFS LIMPIOX CILINDRO LIMON 18X320G" u="1"/>
        <s v="XHC PFS LIMPIOX CILINDRO ALOE 18X320G" u="1"/>
        <s v="REXONA AERO BAMBOO 12X90G" u="1"/>
        <s v="ALC ARROZ ESTRELLA PRECO 350G (25)" u="1"/>
        <s v="DIN MAZOLA ACEITE DYP 400ml (24)" u="1"/>
        <s v="DIN MAZOLA MARGARINA  AJO/HIERBAS 400GR (24)" u="1"/>
        <s v="XHC DIN ZIXX JAB BLANCO 400G (6)" u="1"/>
        <s v="XHC DIN ZIXX JAB AVENA 400G (6)" u="1"/>
        <s v="REXONA STICK CLIN EXTRA DRY EXP 12X46G" u="1"/>
        <s v="REXONA AERO V8 12X58G" u="1"/>
        <s v="FOOD MAIZENA F MAIZ  FRESA 16X12X45G (192)" u="1"/>
        <s v="FOOD MAIZENA ALMIDON MAIZ NATURAL 80X185G" u="1"/>
        <s v="FOOD MAIZENA FECULA BAN/FRESA/VAIN 16X12X45G" u="1"/>
        <s v="SCH SEDAL CR PEIN RIZ OBED 24X28X9ML" u="1"/>
        <s v="FOOD NATURAS SALSA TOMATE ITALIANA 96X90G" u="1"/>
        <s v="FOOD NATURAS SALSA TOMATE RANCHERA 96X90G" u="1"/>
        <s v="ALD PIN POP SANDIA 16X24 (16)" u="1"/>
        <s v="ALD BIAGI CARAMELO 16X100" u="1"/>
        <s v="ALD YOGUETA SURTIDA RELLENA 16X24  (15G)" u="1"/>
        <s v="ALD YOGUETA CHOCOCARAMEL 16X24 (15G)" u="1"/>
        <s v="ALD PIN POP MANGO 16X24 (15G)" u="1"/>
        <s v="ALD PIN POP THE MOST WANTED 16X24 (15G)" u="1"/>
        <s v="ALD PIN POP ASSORTED 16X24 (15G)" u="1"/>
        <s v="ALD PIN POP KOLA 16X24 (15G)" u="1"/>
        <s v="ALD PIN POP PINTALENGUA 16X24 (15G)" u="1"/>
        <s v="ALD PIN POP X2 16X24 (15G)" u="1"/>
        <s v="ALD YOGUETA MILKY CARAMEL 16X24 (15G)" u="1"/>
        <s v="ALD PIN POP FRESA 16x24 (15G)" u="1"/>
        <s v="ALD PLAY GUSANOS 55g (24)" u="1"/>
        <s v="ALD PLAY CORAZONES 55g (24)" u="1"/>
        <s v="ARE SABUESO CACHORRO 40X420G" u="1"/>
        <s v="ARE SABUESO ADULTO 40X454G" u="1"/>
        <s v="BEST GALLETA MANI 24X12X20G (24)" u="1"/>
        <s v="BEST GALLETA FRESA 24X12X20G (24)" u="1"/>
        <s v="BEST GALLETA CHOCOLATE 24X12X20G (24)" u="1"/>
        <s v="BEST BOTONETAS MANI 20X24X9G (20)" u="1"/>
        <s v="BEST BOTONETAS CHOCOLATE 20X24X9G (20)" u="1"/>
        <s v="BYB CHILE JALAPEÑO SEMIPICANTE LATA 96/5.8oz" u="1"/>
        <s v="BYB CONCENTRADO DE HORCHATA 24/225 ml" u="1"/>
        <s v="BYB CONCENTRADO DE TAMARINDO 24/225 ml" u="1"/>
        <s v="BYB MERMELADA DE FRESA DOY PACK 24/200g" u="1"/>
        <s v="BYB MERMELADA DE FRESA VASO 12/260g" u="1"/>
        <s v="BYB MERMELADA DE MORA VASO 12/260g" u="1"/>
        <s v="BYB MERMELADA DE PIÑA VASO 12/260g" u="1"/>
        <s v="BYB MAYONESA CLASICA BOLSA 32/380g" u="1"/>
        <s v="BYB MOSTAZA BOLSA 48/100g" u="1"/>
        <s v="BYB MOSTAZA BOLSA 48/200g" u="1"/>
        <s v="BYB SALSA PICAMAS VERDE BOLSA 48/100g" u="1"/>
        <s v="BYB SALSA PICAMAS VERDE PLASTICO 48/100g" u="1"/>
        <s v="BYB SALSA PICAMAS VERDE BOLSA 48/223g" u="1"/>
        <s v="BYB SALSA PICAMAS VERDE BOLSA 32/454g" u="1"/>
        <s v="BYB SALSA SOYA PLASTICA 48/3.5oz" u="1"/>
        <s v="BYB VINAGRE CLARO 24/500ml" u="1"/>
        <s v="BYB VINAGRE CLARO BOTE LARGO 12/750ml" u="1"/>
        <s v="BYB CHEEZ DIP DOY PACK 12/200g" u="1"/>
        <s v="BYB SALSA BARBACOA SQUEZZE PLASTICO 24/14oz" u="1"/>
        <s v="DCASA HEINZ BANANO FLEX 24X113G" u="1"/>
        <s v="DCASA GELATINA POLVO UVA 28X400g" u="1"/>
        <s v="DCASA GELATINA POLVO FRESA 28X400g" u="1"/>
        <s v="DCASA GELATINA POLVO PIÑA 28X400g" u="1"/>
        <s v="DCASA GELATINA POLVO NARANJA 28X400g" u="1"/>
        <s v="DCASA GELATINA POLVO LIMON 28X400g" u="1"/>
        <s v="DCASA GELATINA POLVO CHICLE 28X400g" u="1"/>
        <s v="DCASA GELATINA POLVO FRAMB.28X400g" u="1"/>
        <s v="XHC DIN ROKU JAB AMARILLO 375G (4)" u="1"/>
        <s v="XHC DIN ROKU JAB SALMON 375G (4)" u="1"/>
        <s v="XHC DIN ROKU JAB AQUA 375G (4)" u="1"/>
        <s v="DM ESPONJAS (5XBOLSA)" u="1"/>
        <s v="BONI NSK ROLLO PAPEL HIGIENICO" u="1"/>
        <s v="BONI IAK VASO PLASTICO KERNS" u="1"/>
        <s v="IPR LOZANO MANZANA 500ML (12)" u="1"/>
        <s v="IPR LOZANO UVA 500ML (12)" u="1"/>
        <s v="IAK KERNS NECT MANZ TETR 24X250ml" u="1"/>
        <s v="IAK KERNS NECT MELOC TETR 24X250ml" u="1"/>
        <s v="IAK KERNS JUNIOR MANZ TETRA 200ml (24)" u="1"/>
        <s v="IAK KERNS JUNIOR MELOC TETR 200ml (24)" u="1"/>
        <s v="IAK DUCAL FRIJ CHUB ROJO ENT 1.82kgs (6)" u="1"/>
        <s v="IAK DUCAL FRIJ CHUB NEGR ENT 1.82kgs (6)" u="1"/>
        <s v="IAK DUCAL FRIJ NEGR DyP 8oz (24)" u="1"/>
        <s v="IAK DUCAL FRIJ NEGR DyP 14.1oz (18)" u="1"/>
        <s v="IAK DUCAL FRIJ ROJO DyP 8oz (24)" u="1"/>
        <s v="IAK KERNS 330ml COCTEL VEGETALES  (24)" u="1"/>
        <s v="IAK DUCAL BEB ALUMIN PIÑA 330ml (24)" u="1"/>
        <s v="IAK DUCAL BEB HOJALAT MANZ 154ml (48)" u="1"/>
        <s v="IAK DUCAL BEB ALUMIN MANZ 330ml (24)" u="1"/>
        <s v="IAK KERNS 330ml NECT MELOCOTON (24)" u="1"/>
        <s v="IAK KERNS 330ml NECT MANZANA  (24)" u="1"/>
        <s v="IAK DUCAL FRIJ ROJO PICANT DyP 8oz (24)" u="1"/>
        <s v="IAK KERNS TE DURAZNO 2500ml (6)" u="1"/>
        <s v="IAK GOYA MAIZ ENTERO 15.25 ONZ (24)" u="1"/>
        <s v="IAK DUCAL BEB ALUMIN PERA 330ml (24)" u="1"/>
        <s v="IAK DUCAL BEB HOJALAT MELOC 154ml (48)" u="1"/>
        <s v="IAK DUCAL BEB HOJALAT PIÑA 154ml (48)" u="1"/>
        <s v="IAK DUCAL FRIJ NEGR LAT 29oz (12)" u="1"/>
        <s v="IAK DUCAL FRIJ ROJO LAT 5.5oz (48)" u="1"/>
        <s v="IAK KERNS PASTA TOMATE 4 Oz DyP (48)" u="1"/>
        <s v="IAK KERNS 330ml NECT PERA (24)" u="1"/>
        <s v="IAK KERNS 330ml NECT PIÑA (24)" u="1"/>
        <s v="NSK LAV AXION TARRO 235g (48)" u="1"/>
        <s v="NSK VANISH PINK 6X12 U" u="1"/>
        <s v="NSK VANISH WHITE 6X12 U" u="1"/>
        <s v="NSK FABULOSO CITRIC Y FRU 1X6X12U/80ML" u="1"/>
        <s v="NSK FABULOSO LAVANDA 1X6X12U/80ML" u="1"/>
        <s v="NSK SUAVITEL AROM D SOL 1X6X12U/80ML" u="1"/>
        <s v="NSK LAV AXION LIMON TIRA 115g (6)" u="1"/>
        <s v="NSK LAV POTENSOL CIL 400g (20)" u="1"/>
        <s v="NSK TAJIN CLASICO TIRA  DE 12 SCH (44T)" u="1"/>
        <s v="NSK LAV POTENSOL MARQUETA 215g (42)" u="1"/>
        <s v="NSK BIC BOLIGRAFO NEGRO 12 (100)" u="1"/>
        <s v="NSK BIC BOLIGRAFO AZUL 12 (100)" u="1"/>
        <s v="NSK SUAVITEL ROSADO 6X12X80ML" u="1"/>
        <s v="PD PEDIALYTE CLASICO 30 MEQ 500ML (12)" u="1"/>
        <s v="PD PEDIALYTE MANZANA 60 MEQ 500ML (12)" u="1"/>
        <s v="PD PEDIALYTE COCO 30 MEQ 500ML (12)" u="1"/>
        <s v="PD PEDIALYTE FRESA 60 MEQ 500ML (12)" u="1"/>
        <s v="BEST CHOCOPANDA CHOCOLATE 25X12X14G" u="1"/>
        <s v="QUA YUS HORCHATA 9X15X28g" u="1"/>
        <s v="QUA YUS FRUTAS TROPICALES 9x15x28g" u="1"/>
        <s v="SCH QUA NUTRIBELA HIALURONICO 48X6X27ML" u="1"/>
        <s v="TERMO GABACHA #1 (26)" u="1"/>
        <s v="TERMO BOLSA COLOR 2 Lbs (70)" u="1"/>
        <s v="YAES LECHE DE COCO 400ml (24)" u="1"/>
        <s v="YAES ROSTIZADOR EMPAN POLLO 90G (100)" u="1"/>
        <s v="ALC ARROZ MACARE BLANC 400G (25)" u="1"/>
        <s v="KELL FROOT LOOPS 28X180G (28)" u="1"/>
        <s v="KELL ZUCARITAS 28X260G (28)" u="1"/>
        <s v="XHC PFS CENTELLA CHIBOLONA BLANCA 4X3X375G" u="1"/>
        <s v="XHC PFS CENTELLA CHIBOLONA AMARILLA 4X3X375G" u="1"/>
        <s v="DIN ISSIMA MARGARINA 400gr (24)" u="1"/>
        <s v="FOOD NATURAS SSA TOMATE RANCHERA 24X200G" u="1"/>
        <s v="FOOD NATURAS SSA TOMATE QUESO 24X200G" u="1"/>
        <s v="FOOD NATURAS FRIJOL NEGRO VOLT 24X210G" u="1"/>
        <s v="FOOD HELLMANNS MAY DP 12X190G" u="1"/>
        <s v="FOOD MAIZENA F MAIZ VAINILLA 16X12X45G (192)" u="1"/>
        <s v="FOOD NATURAS SALSA SABOR POLLO 96X100G" u="1"/>
        <s v="BEST BOTE CONITO CHOCOLATE 80u (12)" u="1"/>
        <s v="BEST CHOCOFRUTA 50x350G" u="1"/>
        <s v="BYB SALSA T/KETCHUP ALMOHADITA 48/110g" u="1"/>
        <s v="BYB SALSA T/KETCHUP ALMOHADITA 48/215g" u="1"/>
        <s v="BYB SALSA INGLESA PLASTICA 48/3.5onz" u="1"/>
        <s v="DCASA HEINZ PERA FLEX 24X113G" u="1"/>
        <s v="IAK KERNS KETCHUP SCH 52GR (144)" u="1"/>
        <s v="IAK BAMB MOJITO 350ml LATA (24)" u="1"/>
        <s v="IAK BAMB DAIQUIRI FRESA 350ml LT (24)" u="1"/>
        <s v="IAK BAMB PIÑA COLADA 350ml LATA (24)" u="1"/>
        <s v="IAK DUCAL FRIJ ROJO LAT 29oz (12)" u="1"/>
        <s v="IAK KERNS TETRA NECT MELOC 1000ml (12)" u="1"/>
        <s v="NSK TAJIN CLASICO POLVO BOTE 142G (24)" u="1"/>
        <s v="NSK AZISTIN LAVANDA 1X6X12U/80ML" u="1"/>
        <s v="NSK JABON PROTEX FRESH 110GR (96)" u="1"/>
        <s v="NSK JABON PROTEX AVENA 110GR (96)" u="1"/>
        <s v="NSK AZISTIN ALTERNATIVO CLORO 1X6X12U/80ML" u="1"/>
        <s v="QUA YUS GUANABA 9X15X28g)" u="1"/>
        <s v="QUA YUS FRESA 9X15X28g" u="1"/>
        <s v="QUA TOKI SURTIDO 25X24X8G" u="1"/>
        <s v="QUA YUS SABILA 9X15X28G" u="1"/>
        <s v="QUA SAVILOE FRUTOS ROJOS 12X500ML" u="1"/>
        <s v="TERMO BOLSA COLOR 5 Lbs (46)" u="1"/>
        <s v="TERMO BOLSA TRANSPARENTE 5 Lbs (20)" u="1"/>
        <s v="TERMO PAJILLA TRANSPARENTE (50)" u="1"/>
        <s v="YAES MUCHO NACHO BARBACOA 16X12X17gr" u="1"/>
        <s v="YAES MUCHO NACHO QUESO 16X12X17gr" u="1"/>
        <s v="YAES ROSTIZADOR BOLSA 453G (24)" u="1"/>
        <s v="KELL FROOT LOOPS MINI SCH 5X12X15G (5)" u="1"/>
        <s v="KELL CHOCO KRISPIS MINI SCH 5X12X22G (5)" u="1"/>
        <s v="XHC DIN ZIXX JAB ROSADO 400G (6)" u="1"/>
        <s v="XHC DIN ZIXX JAB LILA 400G (6)" u="1"/>
        <s v="XHC DIN VENZA JABON AVENA 110g (72)" u="1"/>
        <s v="XHC DIN VENZA JABON SABILA 110g (72)" u="1"/>
        <s v="XHC DIN VENZA JABON FRESCURA EXTR 110g (72)" u="1"/>
        <s v="XHC DIN VENZA JABON VITAMINA E 110g (72)" u="1"/>
        <s v="XHC XEDEX MAX POD LIMON 13X800G" u="1"/>
        <s v="ALD YOGUETA MILK 16X24 (15G)" u="1"/>
        <s v="ALD PIN POP ICE 16X24 (15G)" u="1"/>
        <s v="ALD PLAY TORTU SPLASH 55g (24)" u="1"/>
        <s v="ALD PLAY BANANAS 55g (24)" u="1"/>
        <s v="ALD PLAY TIBURONES 55g (24)" u="1"/>
        <s v="BEST GALLETA CHAPETIN 24X12 (24)" u="1"/>
        <s v="BYB SALSA PICAMAS ROJA PLASTICO 48/100g" u="1"/>
        <s v="BYB SALSA PICAMAS ALMOHADITA 48/110 g" u="1"/>
        <s v="BYB VINAGRE CLARO 24/200ml" u="1"/>
        <s v="DCASA HEINZ FRUTA MIX FLEX 24X113G" u="1"/>
        <s v="DCASA HEINZ POSTRE  FLEX 24X113G" u="1"/>
        <s v="DCASA HEINZ CIRUELA/PASAS FLEX 24X113G" u="1"/>
        <s v="BONI PROMOV" u="1"/>
        <s v="IAK KERNS 330ml COCTEL VEGETALES ALMEJA  (24)" u="1"/>
        <s v="IAK DUCAL FRIJ CARNICOS LAT 14oz (24)" u="1"/>
        <s v="IAK DUCAL FRIJ CARNICOS LAT 28oz (12)" u="1"/>
        <s v="NSK LAV DOÑA BLANCA CIL 400g (20)" u="1"/>
        <s v="QUA JUGOS YA MANGO 10X15X18 FIT" u="1"/>
        <s v="TERMO GABACHA #2 (12)" u="1"/>
        <s v="TERMO BOLSA DE BASURA NEGRA 24X35 (100)" u="1"/>
        <s v="YAES MUCHO NACHO ROSTIZADO 390G (12)" u="1"/>
        <s v="QUA SAVILOE 12X500ML (UNIDAD)" u="1"/>
        <s v="REXONA AERO V8 12X90G" u="1"/>
        <s v="ALD YOGUETA COOKIES &amp; CREAM 16X24 (15G)" u="1"/>
        <s v="ALD PIN POP BLACK CHERRY 16X24 (15G)" u="1"/>
        <s v="BYB MAYONESA CLASICA BOLSA 16/880g" u="1"/>
        <s v="BYB MAYONESA CLASICA BOLSA 8/1500g" u="1"/>
        <s v="BYB MOSTAZA BOLSA 32/390g" u="1"/>
        <s v="BYB SALSA PICAMAS VERDE JUMBO PLASTICO 24/19oz" u="1"/>
        <s v="DCASA HEINZ MANZANA FLEX 24X113G" u="1"/>
        <s v="IAK DUCAL BEB TETR MELOC 200ml (24)" u="1"/>
        <s v="ALC ARROZ MOLINER BLANC 400G (25)" u="1"/>
        <s v="PORFIN MARGARINA ORISOL 400gr (24)" u="1"/>
        <s v="FOS ENCENDEDOR FRAGATA 40x25" u="1"/>
        <s v="BYB CONCENTRADO DE HORCHATA 12/678 ml" u="1"/>
        <s v="BYB VINAGRE CLARO 24/360ml" u="1"/>
        <s v="BYB VINAGRE CLARO GALÓN PLASTICO 4/3785ml" u="1"/>
        <s v="BONI IAK CUCHARON PLASTICO" u="1"/>
        <s v="IAK DUCAL FRIJ NEGR DyP 40oz (12)" u="1"/>
        <s v="NSK BIC ENCENDEDOR MAXI J6 5+1 (60)" u="1"/>
        <s v="NSK JABON PROTEX BALANCE 110GR (96)" u="1"/>
        <s v="NSK COLGATE TRIP ACCION 75 ML+CEPIL (72)" u="1"/>
        <s v="YAES MUCHO NACHO ROSTIZADO 180G (8)" u="1"/>
        <s v="YAES ROSTIZADOR MARISCO 100G (24)" u="1"/>
        <s v="KELL CHOCO KRISPIS 24X620G (24)" u="1"/>
        <s v="KELL CORN FLAKES 16X500 (16)" u="1"/>
        <s v="FOOD MAIZENA ALMIDON MAIZ NATURAL 40X375G" u="1"/>
        <s v="BYB MIEL DE MAPLE GARRAFA 24/330 ml" u="1"/>
        <s v="IPR LOZANO MANZANA 3.2L (6)" u="1"/>
        <s v="IAK DUCAL BEB TETR  PIÑA 200ML (24)" u="1"/>
        <s v="IAK DUCAL BEB TETR MANZ 200ml (24)" u="1"/>
        <s v="QUA YUS LIMONADA 9X15X28g" u="1"/>
        <s v="QUA YUS JAMAICA 9X15X28g" u="1"/>
        <s v="QUA YUS LIMONADA CON CHAN 9X15X28g" u="1"/>
        <s v="XHC DIN ZIXX JAB VERDE 400G (6)" u="1"/>
        <s v="AXE AERO BS COLLISION 12X97G" u="1"/>
        <s v="DIN SOPA ISSIMA POLLO (12)" u="1"/>
        <s v="DIN SOPA ISSIMA CAMARON (12)" u="1"/>
        <s v="AXE AERO BS EXCITE 12X97G" u="1"/>
        <s v="SCH DOVE SH OLEO NUTRI 24X28X10ML" u="1"/>
        <s v="SCH SEDAL SH HIALURONICO Y VIT C 24X28X15ML" u="1"/>
        <s v="FOOD KNORR SOPA COST CRIOL C/FID 12X12X55G (144)" u="1"/>
        <s v="ALD PLAY GUSANOS AZUCARADOS JARRA 6X200 (3G)" u="1"/>
        <s v="BONI DIN SALSA ISSIMA RANCHERA 106g (96)" u="1"/>
        <s v="IAK KERNS JUNIOR PERA TETR 200ml (24)" u="1"/>
        <s v="IAK DUCAL BEB ALUMIN MELOC 330ml (24)" u="1"/>
        <s v="IAK DUCAL FRIJ CARNICOS LAT 5 oz (48)" u="1"/>
        <s v="XHC PFS CENTELLA CAMPEON BLANCO 6X4X330G" u="1"/>
        <s v="PONDS CR  50G C PEPINO (24)" u="1"/>
        <s v="EGO GEL POWER 4x6x200 ML+5 SCH" u="1"/>
        <s v="REXONA STICK FM ANTIBAC  INVISIBLE 12X50G" u="1"/>
        <s v="AXE AERO BS ICE CHILL 12X97G" u="1"/>
        <s v="BYB SALSA MILTOMATE SEMI SQUEZZE 24/370g" u="1"/>
        <s v="BONI QUA SAVILOE FRUTOS ROJOS UND 500ML (12)" u="1"/>
        <s v="XHC PFS MAX PODER NARANJA 6X3X400G" u="1"/>
        <s v="XHC PFS MAX PODER LILA 6X3X400G" u="1"/>
        <s v="FOOD KNORR SOPA GAL C/ARROZ CHIP 12X12X55G (144)" u="1"/>
        <s v="DIN MAZOLA MARGARINA LIGHT 400GR (24)" u="1"/>
        <s v="XHC DIN ZIXX JAB AMARILLO 400G (6)" u="1"/>
        <s v="DOVE AERO CUIDADO TOTAL 12X89G" u="1"/>
        <s v="XHC DOVE JAB CUIDA PROTEGE 48X90G" u="1"/>
        <s v="REXONA STICK CLIN SPORT STRENGTH 12X46G" u="1"/>
        <s v="AXE AERO BS FUSION 12X97G" u="1"/>
        <s v="FOOD NATURAS PASTA TRADICIONAL 96X90G" u="1"/>
        <s v="ARE SABUESO CACHORRO 44 LBS" u="1"/>
        <s v="BYB CHILE JALAPEÑO SEMIPICANTE BOLSA 12/320g" u="1"/>
        <s v="BYB SALSA INGLESA PLASTICO 4/3850 ml" u="1"/>
        <s v="BONI BANCO PLASTICO" u="1"/>
        <s v="UL CR RIZOS 3 SACHET" u="1"/>
        <s v="UNS EXTENSION DOMESTICA SPT  8MTS" u="1"/>
        <s v="QUA YUS NARANJA 9X15X28g)" u="1"/>
        <s v="QUA YUS TE FRIO DURAZNO 9X15X28g" u="1"/>
        <s v="FOS ENCENDEDOR FRAGATA MINI 40X25" u="1"/>
        <s v="SCH SEDAL SH CERAMIDAS 24X28X10ML" u="1"/>
        <s v="SCH DOVE SUPER AC 60 20X12X12ML (20)" u="1"/>
        <s v="BYB SALSA INGLESA PLASTICA 24/152 ml" u="1"/>
        <s v="ALD COMODATO EXHIBIDOR PIN POP" u="1"/>
        <s v="XHC UNS DETERGENTE PURO SOL 250gr (40)" u="1"/>
        <s v="QUA NUTRIBELA TARRO 12X300ml" u="1"/>
        <s v="EGO GEL POWER 4X6X110ML" u="1"/>
        <s v="DOVE ROLLON CALENDULA 12X50ML" u="1"/>
        <s v="FOOD HELLMANNS  MAY DYP 12X190G" u="1"/>
        <s v="XHC XEDEX MAX POD FRUTOS BOSQUE 13X800G" u="1"/>
        <s v="IAK KERNS TE FRAMBUES 2500ml (6)" u="1"/>
        <s v="IAK DE MI TIERRA FRIJ VOLT NEGRO 35OZ DP (12)" u="1"/>
        <s v="ALC ORO MAY HARIN MAIZ BLANC 400G (20)" u="1"/>
        <s v="REXONA AERO WOMAN TONO PERFECTO 12X90G" u="1"/>
        <s v="IPR LOZANO UVA 3.2L (6)" u="1"/>
        <s v="IAK KERNS TETRA NECT MANZ 1000ml (12)" u="1"/>
        <s v="IAK KERNS TETRA NECT FRUTAS 1000ml (12)" u="1"/>
        <s v="NSK COLGATE DOBLE FRESC 75ML+CEPIL (72)" u="1"/>
        <s v="NSK SUAVITEL COMPL PRIMAV 1X2X36UNDS+6UNDS" u="1"/>
        <s v="YAES MUCHO NACHO SALSA DE QUESO 105 G (30)" u="1"/>
        <s v="KELL ZUCARITAS MINI SCH 5X12X20G" u="1"/>
        <s v="QUA BONTEA LIMON 10X12X30G" u="1"/>
        <s v="XHC PFS MAX PODER ALOE 6X3X400G" u="1"/>
        <s v="XHC XEDEX DESIN CITRICOS DYP 24X425ML" u="1"/>
        <s v="FOOD NATURAS SALSA TOMATE JALAPENO 96X90G" u="1"/>
        <s v="SEDAL SH 340 ML RIZOS DEFINIDOS (12)" u="1"/>
        <s v="BEST CHOCOFRUTA 10X1400G (10)" u="1"/>
        <s v="BYB MAYONESA CLASICA BOLSA 4/3000g" u="1"/>
        <s v="BYB SALSA BARBACOA 4/4,400g" u="1"/>
        <s v="BONI IAK DUCAL FRIJ DyP 4oz (24)" u="1"/>
        <s v="BONI NSK SPAGHETTI 60x200G" u="1"/>
        <s v="BONI QUA SAVILOE UND 500ML (12)" u="1"/>
        <s v="BONI UL PALANGANA" u="1"/>
        <s v="XHC XEDEX DESIN LAVANDA DYP 24X425ML" u="1"/>
        <s v="DM ESCOBA FLASH FIBER (UNIDAD)" u="1"/>
        <s v="PONDS CR 100G S HUMECTANTE NUTRITIVA (24)" u="1"/>
        <s v="REXONA STICK ACTIVE DRY 12X50G" u="1"/>
        <s v="BYB MAYONESA CLASICA ALMOHADITA 48/100g" u="1"/>
        <s v="IAK KERNS TE LIMON 2500ML (6)" u="1"/>
        <s v="NSK BIC ENCENDEDOR MINI J5 (75)" u="1"/>
        <s v="YAES GUENOS BARBACOA 4X12X20gr" u="1"/>
        <s v="YAES GUENOS LIMON 4X12X20gr" u="1"/>
        <s v="FOS PALITO CHOCOBANANO EL SOL 36X150u" u="1"/>
        <s v="ALC CR AVEN HOJUELA 12U 300g" u="1"/>
        <s v="FOOD NATURAS SALSA ITALIANA CL 96X100G" u="1"/>
        <s v="PONDS CR 50G CLARANT B3 GRASA (24)" u="1"/>
        <s v="PONDS CR 50G CLARANT B3 SECA (24)" u="1"/>
        <s v="ALD SONETTO SURTIDO 16X100 (4G)" u="1"/>
        <s v="BONI YAES CHARROS SALSA VERDE" u="1"/>
        <s v="NSK BIC RASURADORA SHAVER SENS 24 (48)" u="1"/>
        <s v="QUA FRUTY FRESCO 6+6 (12)" u="1"/>
        <s v="QUA JUGOS YA FRUTAS TROPICALES 10X15" u="1"/>
        <s v="XHC DIN ZIXX JAB AQUA 400G (6)" u="1"/>
        <s v="BONI DIN CUBETA PLASTICA" u="1"/>
        <s v="BONI PD EXHIBIDOR PEDIALYTE" u="1"/>
        <s v="DOVE AERO AP COCO 12X87G" u="1"/>
        <s v="AXE AERO AP COLLISION 12X90G" u="1"/>
        <s v="BYB CHILE JALAPEÑO PICANTE BOLSA 12/320g" u="1"/>
        <s v="UNS GALLE CAFE COFFEE JOY 6x18x45gr" u="1"/>
        <s v="SCH QUA NUTRIBELA 10 48X6X27ML" u="1"/>
        <s v="KELL CHOCO KRISPIS 54X115G (54)" u="1"/>
        <s v="EGO GEL CONTROL CAIDA 24X230ML (24)" u="1"/>
        <s v="IAK GOYA MAIZ ENTERO 8.75 ONZ (24)" u="1"/>
        <s v="UNS BOMBILLO LED 9 Watt" u="1"/>
        <s v="UNS BOMBILLO LED 12 Watt" u="1"/>
        <s v="TERMO GABACHA MINI/PIWI (26)" u="1"/>
        <s v="DIN SOPA ISSIMA POLLO CON CHILE (12)" u="1"/>
        <s v="SCH SEDAL SH NEGRO LUM 24X28X10ML" u="1"/>
        <s v="XHC XEDEX P MULTIACCION 15X900G" u="1"/>
        <s v="XHC XEDEX MAX POD FRUTOS BOSQUE 30X400G" u="1"/>
        <s v="ALD BIAGI CAFE 16X100" u="1"/>
        <s v="ALD MASTI MINT 16X100 (4G)" u="1"/>
        <s v="BYB CONCENTRADO DE MORA 12/678 ml" u="1"/>
        <s v="BYB CONCENTRADO DE TAMARINDO 12/678 ml" u="1"/>
        <s v="BYB SALSA T/KETCHUP BOLSA 48/100g" u="1"/>
        <s v="BYB SALSA T/KETCHUP BOLSA 32/435g" u="1"/>
        <s v="BYB SALSA T/KETCHUP BOLSA 16/950g" u="1"/>
        <s v="BYB SALSA T/KETCHUP BOLSA 4/3000g" u="1"/>
        <s v="BONI DIN MARGARINA MAZOLA 400G (24)" u="1"/>
        <s v="XHC PFS CENTELLA CHIBOLONA AZUL 4X3X375G" u="1"/>
        <s v="AXE AERO BS GOLD TEMPTATION 12X97G" u="1"/>
        <s v="PONDS CR 100G  C PEPINO (24)" u="1"/>
        <s v="FOOD HELLMANNS MAY DP 12X380G" u="1"/>
        <s v="REXONA STICK WOMAN ANTIBAC INVISIBLE 12X50G" u="1"/>
        <s v="BONI SAVILOE UND 12X320ML" u="1"/>
        <s v="UNS CAR MENTOLADO JAAZZ CLOROFILA 100und (30)" u="1"/>
        <s v="DOVE AERO INVISIBLE DRY MEN 12X89G" u="1"/>
        <s v="SEDAL SH 340 ML LISO PERFECTO (12)" u="1"/>
        <s v="SEDAL SH 340 ML CERAMIDAS (12)" u="1"/>
        <s v="ALD SONETTO CHOCOLATE BLANCO 16X100 (4G)" u="1"/>
        <s v="DCASA GELATINA POLVO MELOC.28X400g" u="1"/>
        <s v="IAK KERNS KETCHUP 776gr PET (12)" u="1"/>
        <s v="QUA YUS TE FRIO FRAMBUESA 9X15X28g" u="1"/>
        <s v="XHC PFS MAX MB NARANJA 6X3X500G" u="1"/>
        <s v="REXONA STICK MEN V8 12X50G" u="1"/>
        <m u="1"/>
        <s v="SCH SEDAL CR PEIN KERAT 24X28X10ML" u="1"/>
        <s v="IAK KERNS 157mL COCTEL VEGETALES (48)" u="1"/>
        <s v="PD PEDIALYTE UVA 60 MEQ 500ML (12)" u="1"/>
        <s v="TERMO BOLSA TRANSPARENTE 2 Lbs (36)" u="1"/>
        <s v="ALD FRUNAS BARRA 18X50 (8,3)" u="1"/>
        <s v="DCASA PAPEL ENCANTO MIL HOJAS ROLLO (24)" u="1"/>
        <s v="NSK BIC ENCENDEDOR HANDY P/ESTUFA (90)" u="1"/>
        <s v="DIN MAZOLA MARGARINA BARRA 6X5X400gr (24)" u="1"/>
        <s v="DOVE AEROSOL AP ROSAS 12X87G" u="1"/>
        <s v="SCH SEDAL CR LISO PERFECTO 24X28X10ML" u="1"/>
        <s v="XHC XEDEX DESIN CITRICOS DYP 12X750ML" u="1"/>
        <s v="BYB MANTEQUILLA DE MANI VASO 24/245g" u="1"/>
        <s v="BYB SALSA BARBACOA DOY PACK 24/95g" u="1"/>
        <s v="ALC ORO MAY HARIN MAIZ BLANC 5LB (6)" u="1"/>
        <s v="DOVE AERO INVISIBLE DRY WOMAN 12X89G" u="1"/>
        <s v="DIN ISSIMA PAST TOMAT ROJITA 106g (96)" u="1"/>
        <s v="DIN SOPA ISSIMA CAMARON/CHILE (12)" u="1"/>
        <s v="AXE AERO BS EPIC FRESH 12X97G" u="1"/>
        <s v="ARE SABUESO ADULTO 50 LBS" u="1"/>
        <s v="BEST CHOCOFRUTA TABLETA 32X300G" u="1"/>
        <s v="PONDS CR 100G CLARANT B3 GRASA (24)" u="1"/>
        <s v="FOOD KNORR SOPA GAL CRIOL C/FIDEOS 12X12X54G (144)" u="1"/>
        <s v="BONI PORFIN LIMPIOX AZUL 85g (72)" u="1"/>
        <s v="ALC CR AVEN MOLIDA 12U 300g" u="1"/>
        <s v="XHC XEDEX DESIN LAVANDA DYP 12X750ML" u="1"/>
        <s v="PONDS POLVO COMP AF CARIBE 16X12G" u="1"/>
        <s v="ALD PLAY OSOS RELLENOS 55g (24)" u="1"/>
        <s v="FOOD HELLMANNS MAY DYP 12X100G" u="1"/>
        <s v="BONI QUA NUTRIBELA 10 HIALURONICO 24X12X72ml" u="1"/>
        <s v="YAES EMPANIZADOR SUKOCINERA 30X6X50G (180)" u="1"/>
        <s v="BEST CHOCOFRUTA 50x400G" u="1"/>
        <s v="BONI QUA NUTRIBELA 10 HIALURONICO (24)" u="1"/>
        <s v="IPR MERMELADA PINA 12OZ (24)" u="1"/>
        <s v="NSK LA MODERNA PASTA SPAGHETTI 60x200G" u="1"/>
        <s v="XHC DIN ZIXX JAB AZUL 400G (6)" u="1"/>
        <s v="BEST MENTAS 50X12X13g (50)" u="1"/>
        <s v="EGO GEL POWER 6X30X15ML" u="1"/>
        <s v="ARE SABUESO CACHORRO 22 LBS" u="1"/>
        <s v="BONI NSK 1 BOLSA KIT CEPILLO" u="1"/>
        <s v="NSK LAVAPLATOS AXION 235G UNIDAD (48)" u="1"/>
        <s v="TERMO BOLSA TRANSPARENTE 3 Lbs (30)" u="1"/>
        <s v="SCH SAVILE SH ARGAN 24X28X15ML" u="1"/>
        <s v="XHC XEDEX P MAXIMO PODER 30X400G" u="1"/>
        <s v="XHC XEDEX MAX POD LIMON 30X400G" u="1"/>
        <s v="XHC XEDEX P MAXIMO PODER 31X115G" u="1"/>
        <s v="BYB CONCENTRADO DE JAMAICA 12/678 ml" u="1"/>
        <s v="BYB SALSA T/KETCHUP PLASTICO 24/400g" u="1"/>
        <s v="NSK BIC RASURADORA CONFORT 2 12 (48)" u="1"/>
        <s v="NSK COLGATE DOBLE FRESCURA 150ML" u="1"/>
        <s v="NSK LAVAPLATOS POTENSOL MARQUETA 215GR (42)" u="1"/>
        <s v="SEDAL CR 300 ML PEIN RIZOS OBEDIENTES (12)" u="1"/>
        <s v="REXONA AERO CLEAN CLASSIC WOMAN 12X91G" u="1"/>
        <s v="REXONA AERO ANTIBAC INVISIBLE MEN 12X90G" u="1"/>
        <s v="BYB CONCENTRADO DE HORCHATA DISPLAY 6/12u" u="1"/>
        <s v="BYB SALSA T/KETCHUP BOLSA 48/215g" u="1"/>
        <s v="BONI COCA COLA 355 ML" u="1"/>
        <s v="BONI SOMBRILLAS PEDIALYTE" u="1"/>
        <s v="NSK LAVAPLATOS DOÑA BCA.CILINDRO 250 GR (24)" u="1"/>
        <s v="NSK LAVAPLATOS DOÑA BCA.CILINDRO TIRA 170GR (6)" u="1"/>
        <s v="NSK LAVAPLATOS POTENSOL CILINDRO 400 GR (20)" u="1"/>
        <s v="ALC ORO MAY HARIN MAIZ BLANC 50LBS (1)" u="1"/>
        <s v="IAK KERNS SALSITA CARNE 106GR DP (24)" u="1"/>
        <s v="ARE ARECANA ADULTO 50 LBS" u="1"/>
        <s v="EGO GEL POWER 6/1000 ML" u="1"/>
        <s v="DOVE STICK ORIGINAL 12X50G" u="1"/>
        <s v="REXONA STICK WOMAN ANTIBAC FRESH 12X50G" u="1"/>
        <s v="BONI ALD EXHIBIDOR RISTRA DE 5 GANCHERAS" u="1"/>
        <s v="BONI SAVILOE UND 12X320ML (NUTRIBELA)" u="1"/>
        <s v="BONI YAES MUCHO NACHO ARTESANAL 150gr" u="1"/>
        <s v="UNS GOMA DE MASCAR TUMIX SURTIDO 30x110x1.4g" u="1"/>
        <s v="EGO GEL ATTRAC 4x6x200ML" u="1"/>
        <s v="REXONA AERO CLIN ANTIBAC W 12X90G" u="1"/>
        <s v="SEDAL SH 340 ML KERATINA C ANTIOX (12)" u="1"/>
        <s v="NSK LAVAPLATOS AXION LIMON TIRA 115GR (6)" u="1"/>
        <s v="REXONA STICK BAMBOO 12X50G" u="1"/>
        <s v="DOVE STICK ROSAS 12X45G" u="1"/>
        <s v="BYB SALSA BARBACOA PLAST 12/32oz" u="1"/>
        <s v="BEST GALLETA FRESA 24X12X22G (24)" u="1"/>
        <s v="BEST CHOCOFRUTA 50X400G (50)" u="1"/>
        <s v="TERMO BOLSA TRANSPARENTE 1 Lbs (60)" u="1"/>
        <s v="REXONA STICK MEN ANTIBAC 12X50G" u="1"/>
        <s v="REXONA STICK AP SPORFAN 12X50G" u="1"/>
        <s v="DOVE MINIROLLON PROTECCION TOTAL 6X30ML" u="1"/>
        <s v="FOOD KNORR SOPA POLL VERD CODITO 12X12X54G (144)" u="1"/>
        <s v="SEDAL CR 300 ML PEIN LISOS PERFEC (12)" u="1"/>
        <s v="SCH DOVE SH RECON COMPL SUP 24X28X10ML" u="1"/>
        <s v="XHC XEDEX P PROTECCION COLOR 15X900G" u="1"/>
        <s v="XHC DOVE JAB BABY HUMECTANTE 48X75G" u="1"/>
        <s v="ARE SABUESO ADULTO 44 LBS" u="1"/>
        <s v="IAK KERNS KETCHUP 8grs SACH 1000u" u="1"/>
        <s v="IAK KERNS KETCHUP SALSA GALON (3)" u="1"/>
        <s v="BYB MAYONESA EXTRAMAYO BOLSA 8/1500g" u="1"/>
        <s v="NSK LAVAPLATOS DOÑA BLANCA CILINDRO 400G (20)" u="1"/>
        <s v="BONI BARRA MARGARINA MAZOLA 80g" u="1"/>
        <s v="IQUI CLORO MAGICLOR POPULINO 1X4X12 220ML" u="1"/>
        <s v="BEST GALLETA MANI 24X12X22G (24)" u="1"/>
        <s v="FOOD NATURAS PASTA TRADICIONAL 96X100G" u="1"/>
        <s v="XHC XEDEX P SUAVIZ B PRIMAV 30X115G" u="1"/>
        <s v="IPR MERMELADA MANZANA 12OZ (24)" u="1"/>
        <s v="PONDS CR  45G C ORIGINAL (24)" u="1"/>
        <s v="PONDS CR 50G REJUVENESS (24)" u="1"/>
        <s v="BYB MAYONESA EXTRAMAYO BOLSA 4/3000g" u="1"/>
        <s v="XHC DIN ROKU JAB SALMON 400G (4)" u="1"/>
        <s v="SEDAL CR 300 ML PEIN KERATINA Y ANTIOX (12)" u="1"/>
        <s v="REXONA STICK MEN INVISIBLE 12X50G" u="1"/>
        <s v="SCH SEDAL SH LISO PERFECTO 24X28X10ML" u="1"/>
        <s v="SEDAL CR CERAMIDAS 12X300ML" u="1"/>
        <s v="IAK DUCAL FRIJ ROJO PICANT DyP 14oz (18)" u="1"/>
        <s v="NSK BIC ENCENDEDOR MAXI J6 CARTON 15+3 (20)" u="1"/>
        <s v="EGO GEL ATTRAC 6/1000ML" u="1"/>
        <s v="XHC XEDEX DESIN CITRICOS SCH 5X12X100ML" u="1"/>
        <s v="BONI BIC 1 PAR DE RASURADORA CONFORT 2" u="1"/>
        <s v="BONI YAES MUCHO NACHO NATURAL 75gr" u="1"/>
        <s v="REXONA AERO AP POWDER DRY 12X89G" u="1"/>
        <s v="CB CAFE BARISTA SOLUBLE 12X24X8g" u="1"/>
        <s v="BONI QUA YUS FRUTAS TROPICALES 9x15x28g" u="1"/>
        <s v="IPR CHILE JALAPEÑO ESCABECHE 5.5OZ (48)" u="1"/>
        <s v="EGO GEL URBAN 24/200 ML" u="1"/>
        <s v="REXONA AERO CLINICAL CLEAN MEN 12X90G" u="1"/>
        <s v="REXONA STICK WOMAN POWDER 12X50G" u="1"/>
        <s v="PONDS CR 100G REJUVENESS DIA (24)" u="1"/>
        <s v="XHC XEDEX P MULTIACCION 20X250G" u="1"/>
        <s v="DOVE STICK CALENDULA 12X50G" u="1"/>
        <s v="FOOD NATURAS FRIJOL NEGRO VOLTEADO 24X380G" u="1"/>
        <s v="XHC XEDEX MAXIMO PODER FRUTOS BOSQUE 13X800G" u="1"/>
        <s v="DOVE STICK CUIDADO TOTAL 12X50G" u="1"/>
        <s v="BEST GALLETA CHOCOLATE 24X12X22G (24)" u="1"/>
        <s v="XHC XEDEX P SUAV B PRIMAV 15X900G" u="1"/>
        <s v="XHC XEDEX P MAXIMO PODER LIMON 13X800G" u="1"/>
        <s v="REXONA STICK MEN ANTIBACT FRESH 12X50G" u="1"/>
        <s v="REXONA AERO CLINICAL EXTRA DRY 12X91G" u="1"/>
        <s v="REXONA STICK CLIN CLASSIC EXPERT 12X46G" u="1"/>
        <s v="SCH SAVILE SH 2EN1 24X28X15ML" u="1"/>
        <s v="REXONA AERO ACTIVE DRY 12X89G" u="1"/>
        <s v="XHC XEDEX P ANTIBAC 15X900G" u="1"/>
        <s v="NSK LA MODERNA SPAGHETTI QUESO 20x200G" u="1"/>
        <s v="PONDS CR 100G CLARANT B3 SECA (24)" u="1"/>
        <s v="NSK COLGATE KIT DE CEPILL 1X24TX6UNDS" u="1"/>
        <s v="FOOD MAIZENA FECULA MAIZ NATURAL 20X20X45G (400)" u="1"/>
        <s v="XHC XEDEX P MAXIMO PODER FRUTOS DEL BOSQUE 13X800G" u="1"/>
        <s v="BEST COCOA CHOCOPANDA 24X12X20G" u="1"/>
        <s v="NSK LAVAPLATOS  POTENSOL MARQUETA 215GR (42)" u="1"/>
        <s v="AXE STICK TRANS DARK TEMP 12X54G" u="1"/>
        <s v="SCH SEDAL CR PEIN KERAT 12X24X10ML+SH" u="1"/>
        <s v="NSK DOÑA BLANCA CILINDRO 400G (20)" u="1"/>
        <s v="NSK SQUIZ MACH FRESA (16)" u="1"/>
        <s v="FOOD MAIZENA FECULA MAIZ  FRESA 16X12X45G (192)" u="1"/>
        <s v="SEDAL AC 340 ML RIZOS DEFINIDOS (12)" u="1"/>
        <s v="DOVE STICK COCO 12X50G" u="1"/>
        <s v="UNS DULCE KOPIKO CAPUCCINO BOTE 200und (6)" u="1"/>
        <s v="NSK LA MODERNA GALL MARIA VAINILLA 20x170G" u="1"/>
        <s v="DCASA GELATINA POLVO CHICLE 450G (25)" u="1"/>
        <s v="SCH SEDAL SH 2EN1 KERAT C/ANTIOX 24X28X10ML" u="1"/>
        <s v="BONI ALC ARROZ MACARENA PRECOCIDO 400g (25)" u="1"/>
        <s v="NSK SQUIZ MACH BLUEBERRY (16)" u="1"/>
        <s v="QUA JUGOS YA LIMON 10X15" u="1"/>
        <s v="BONI QUA JUGO YA HORCHATA" u="1"/>
        <s v="GRECO CHOCOCHIPS GALLETA 240gr (24)" u="1"/>
        <s v="BEST BOTONETAS CHOCOLATE 20X24X11.5G (20)" u="1"/>
        <s v="QUA FRUTY FRESCO 9+9 (8)" u="1"/>
        <s v="BYB CONCENTRADO DE TAMARINDO DISPLAY 6/12u" u="1"/>
        <s v="KMD EL ARTESANO SALSA CHILTEPE 95g" u="1"/>
        <s v="FOOD MAIZENA FECULA MAIZ VAINILLA 16X12X45G (192)" u="1"/>
        <s v="REXONA AERO CLINICAL CLASSIC WOMAN 12X90G" u="1"/>
        <s v="PONDS POLVO COMP PIEL CLARA 16X12G" u="1"/>
        <s v="IAK KERNS JUNIOR UVA TETR 200ml (24)" u="1"/>
        <s v="BONI ALC ARROZ MACARENA BLANCO 400g (25)" u="1"/>
        <s v="BONI ALC ARROZ MOLINERO BLANCO 400g (25)" u="1"/>
        <s v="BONI NSK TAJIN CLASICO 24/45G" u="1"/>
        <s v="AMS TOALLA HUMEDA BABY STAR 12X80" u="1"/>
        <s v="AMS PAPEL HIG MAX PAP 24X1 MEJOR QUE 1000 HD" u="1"/>
        <s v="NSK LA MODERNA MOÑO 42x180G" u="1"/>
        <s v="BONI NSK  KIT DE CEPILLADO COLGATE UND" u="1"/>
        <s v="NSK BIC RASURADORA CONFORT 2 12+2 (48)" u="1"/>
        <s v="XHC XEDEX P MAXIMO PODER 30X450G" u="1"/>
        <s v="FOS ENCENDEDORES FRAGATA MINI 10X12X3 (3 PACK)(10)" u="1"/>
        <s v="GRECO CANASTICAS GALLETA MORA ROJA 270gr (24)" u="1"/>
        <s v="NSK HOT CAKE CAJA 12x500G" u="1"/>
        <s v="DCASA PAPEL ENCANTO MIL HOJAS 12X4" u="1"/>
        <s v="BONI PLAST BANCO" u="1"/>
        <s v="FOOD NATURAS JUMB SSA RANCH 24X100G" u="1"/>
        <s v="FOOD MAIZENA FECULA MAIZ NATURAL 20X20X45G" u="1"/>
        <s v="GOMITAS LIMON Y CHILE 20GR 12X2X10X4" u="1"/>
        <s v="BEST CHOCOPANDA CAJA CHOCOLATE 285G (36)" u="1"/>
        <s v="XHC XEDEX P SUAVIZ YLANG 15X900G" u="1"/>
        <s v="BONI UL NATURAS POLLO 36G (36)" u="1"/>
        <s v="BONI DCAS SOPA LAKY JUMBO (12)" u="1"/>
        <s v="XHC PFS CENTELLA CHIBOLONA BLANCA 6X3X400G" u="1"/>
        <s v="DCASA GELATINA POLVO LIMON 450G (25)" u="1"/>
        <s v="NSK SQUIZ ACIDO BLUEBERRY (16)" u="1"/>
        <s v="SCH SEDAL CR PEIN RIZ OBED 24X28X10ML" u="1"/>
        <s v="BONI QUA GALLETA BEST MANI 24X12" u="1"/>
        <s v="AMS TOALLA HUMEDA LUCCA FRESH 12X350G" u="1"/>
        <s v="PD PEDIALYTE COCO 60 MEQ 500ML (12)" u="1"/>
        <s v="BONI UL AZUCAR MORENA 230G" u="1"/>
        <s v="SCH QUA NUTRIBELA 10 18+6 (12)" u="1"/>
        <s v="XHC DIN ROKU JAB AQUA 400G (4)" u="1"/>
        <s v="XHC XEDEX P MAXIMO PODER 13X900G" u="1"/>
        <s v="BEST BOTE CONITO CHOCOLATE 70u (12)" u="1"/>
        <s v="BONI EGO TARRO 200ML UND" u="1"/>
        <s v="SCH SAVILE CR RIZOS ARGAN 12X28X15ML" u="1"/>
        <s v="BONI QUA NUTRIBELA 10 24X12X27ML" u="1"/>
        <s v="FOOD MAIZENA ALMIDON MAIZ NATURAL 40X380G" u="1"/>
        <s v="XHC XEDEX P MAXIMO PODER 13X800G" u="1"/>
        <s v="NSK LAVAPLATOS AXION 235G UNIDAD  (48)" u="1"/>
        <s v="BONI GORRA ALDOR" u="1"/>
        <s v="NSK BIC RASURADORA SHAVER SENS 24+4 (24)" u="1"/>
        <s v="NSK LA MODERNA PASTA TORNILLO 42x200G" u="1"/>
        <s v="XHC REXONA JAB AVENA 48X125G" u="1"/>
        <s v="FOOD NATURAS SALSA TOMATE RANCHERA 96X100G" u="1"/>
        <s v="QUA JUGOS YA PIÑA 10X15" u="1"/>
        <s v="UNS DULCE KOPIKO CAFE BOTE 200und (6)" u="1"/>
        <s v="NSK LAVAPLATOS DOÑA BCA.CILINDRO 170GR(6)" u="1"/>
        <s v="REXONA AERO CLIN ANTIB MEN 12X91G" u="1"/>
        <s v="AMS PAPEL HIG LUCCA 24X1X168 NARANJA HD" u="1"/>
        <s v="SEDAL SH 340 ML NEGROS LUMINOSOS (12)" u="1"/>
        <s v="BONI AMSA MAX PAPEL NARANJA BASICO HD 24X1" u="1"/>
        <s v="BEST FRUTIBOTONETAS TROPICAL 20Ctx24U 25G" u="1"/>
        <s v="XHC XEDEX JAB LIQ FLORAL DYP 12X450ML" u="1"/>
        <s v="BONI AMSA PAQ TOALLA HUMEDA BEBIN 40 UND" u="1"/>
        <s v="FOOD KNORR SOPA GAL CRIOL C/FIDEOS 12X12X54G" u="1"/>
        <s v="FOOD MAIZENA FECULA MAIZ  FRESA 16X12X45G" u="1"/>
        <s v="BONI QUA GALLO DORADO 400G (25)" u="1"/>
        <s v="LC GOMITAS 10X12X5" u="1"/>
        <s v="FOOD MAIZENA FECULA BAN/FRESA/VAIN 16X12X47G" u="1"/>
        <s v="SCH DOVE SH OLEO NUTRI 12X24X10ML" u="1"/>
        <s v="DCASA MIRASOL 12X4X90G (12)" u="1"/>
        <s v="XHC MAX PODER AZUL 6X4X330G" u="1"/>
        <s v="XHC MAX BLANC/NARAN DUOX 6X4X330G" u="1"/>
        <s v="XHC REXONA JAB ANTIBAC LIMP PROF 48X125G" u="1"/>
        <s v="NSK LA MODERNA CODITOS QUESO 20x200G" u="1"/>
        <s v="DOVE AERO GO FRESH PEPINO 12X89G" u="1"/>
        <s v="FOOD NATURAS SALSA TOMATE C/CARNE 96X100G" u="1"/>
        <s v="AMS SERVILLETA MAX PAPPEL 10X1X100 CUADRADA" u="1"/>
        <s v="NSK BIC MAXI J6 CARTÓN 15+3 (20)" u="1"/>
        <s v="PONDS POLVO COMP AF NATURAL2 16X12G" u="1"/>
        <s v="BONI ALC ARROZ ESTRELLA PRECOCIDO 350g (25)" u="1"/>
        <s v="BONI NSK JABON PROTEX FRESH 110GR (96)" u="1"/>
        <s v="SCH SAVILE SH 2EN1 12X28X15ML" u="1"/>
        <s v="IAK DUCAL FRIJ ROJO DyP 14.1oz (18)" u="1"/>
        <s v="FOOD NATURAS SALSA TOMATE C/CARNES 96X100G" u="1"/>
        <s v="BYB CHILE JALAPEÑO LA CONTENTA LATA 48/180g" u="1"/>
        <s v="NSK MENTOS FLOWPACK MENTA (20)" u="1"/>
        <s v="GOMITAS 10 OSOS 12X2X20X10" u="1"/>
        <s v="FOOD KNORR SOPA POLLO C/FIDEO 12X12X55G" u="1"/>
        <s v="NSK LA MODERNA CARACOL 3 42x200G" u="1"/>
        <s v="ALC ARROZ MOLINERO BLANCO 200GR (20)" u="1"/>
        <s v="BYB MERMELADA DE FRESA TARRO 12/300g" u="1"/>
        <s v="YAES ROSTIZADOR BOLSA 453G (18)" u="1"/>
        <s v="XHC REXONA JAB BAMBOO 48X125G" u="1"/>
        <s v="NSK SQUIZ MACH TUTI FRUTI (16)" u="1"/>
        <s v="NSK LA MODERNA GALL MARIANITA NUEZ 20x185G" u="1"/>
        <s v="EGO GEL URBAN 4X6X200ML" u="1"/>
        <s v="AMS PAPEL HIGENICO LUCCA 24X1X1000 MEJOR HD" u="1"/>
        <s v="XHC XEDEX P ANTIBAC 15X1KG" u="1"/>
        <s v="QUA FRUTY F SURTIDO 8X18X14G" u="1"/>
        <s v="QUA NUTRIBELA TRAT CAP 24X12X27ML" u="1"/>
        <s v="QUA JUGOS YA DURAZNO 10X15" u="1"/>
        <s v="AXE AERO AP COLLISION 12X88G" u="1"/>
        <s v="DCASA GELATINA POLVO NARANJA 450G (25)" u="1"/>
        <s v="GRECO GALL CHOCOCHIPS MINI 16X" u="1"/>
        <s v="BONI QUA FRUTY FRESCO (8)" u="1"/>
        <s v="BYB CHOCONELA 12/273g" u="1"/>
        <s v="NSK LYSOL DESINFECTANTE MULTIUSOS DP 500 ML (18)" u="1"/>
        <s v="NSK SQUIZ ACIDO MANGO (16)" u="1"/>
        <s v="IAK DUCAL FRIJ NEGR LAT 5.5oz PROMO (48)" u="1"/>
        <s v="XHC PFS CENTELLA CHIBOLONA VERDE 6X3X400G" u="1"/>
        <s v="DOVE STICK GO FRESH PEPINO" u="1"/>
        <s v="SCH SEDAL SH 2EN1 CERAMIDAS 12X24X10ML+4 SCH" u="1"/>
        <s v="NSK LA MODERNA CODO 2 50x200G" u="1"/>
        <s v="AMS Pañal Bebin SuperFlexi XXG 4x40" u="1"/>
        <s v="AMS SHAMPOO BABY STAR 5X30X10ML SIN LAGRIMAS" u="1"/>
        <s v="XHC PFS CENTELLA CHIBOLONA AMARILLO 4X3X400G" u="1"/>
        <s v="NSK LYSOL DESINFECTANTE MULTIUSOS SPRAY (12)" u="1"/>
        <s v="DOVE AERO EXTRA FRESH 12X89G" u="1"/>
        <s v="DCASA GELATINA POLVO FRAMB.25X450g" u="1"/>
        <s v="DCASA GELATINA POLVO MELOC.25X450g" u="1"/>
        <s v="KELL FROOT LOOPS MINI SCH 5X12X22G (5)" u="1"/>
        <s v="FOOD KNORR SOPA GAL C/CONCHI 12X12X54G (144)" u="1"/>
        <s v="BONI ALC ARROZ GALLO DORADO 400g (25)" u="1"/>
        <s v="XHC XEDEX P SUAVIZ YLANG 30X115G" u="1"/>
        <s v="AMS ALCOHOL LIQUIDO ANTIBACT. CLT 12X1X850ML (12)" u="1"/>
        <s v="BONI QUA GALLETA BEST MANI 24X12 (JUGOS YA)" u="1"/>
        <s v="MA AVENA MOSH ESTRELLA 25X360G" u="1"/>
        <s v="LOT CONSOME CRIOLLO LOTY 225GR (50)" u="1"/>
        <s v="NSK MENTOS FLOWPACK FRUTA (20)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AMS PAPEL HIG MAX PAP 24X1 NARANJA BASICO HD" u="1"/>
        <s v="NSK LYSOL DESINFECTANTE MULTIUSOS SPRAY (18)" u="1"/>
        <s v="SCH QUA NUTRIBELA 10 9+3 (24)" u="1"/>
        <s v="IPR MIEL MAPLE 360ML (12)" u="1"/>
        <s v="XHC UNOX INTEL P PERF RESULTS 12X12X35G" u="1"/>
        <s v="YAES CHILE JALAPEÑO EN RAJAS 105 GR (40)" u="1"/>
        <s v="AXE AERO AP DARK TEMP SEC 12X88G" u="1"/>
        <s v="MA AVENA MOSH 100X40G" u="1"/>
        <s v="REXONA STICK WOMAN ANTIBAC 12X50G" u="1"/>
        <s v="NSK LA MODERNA SUR GALLETAS 1143KG" u="1"/>
        <s v="ALC CR AVEN HOJUELA 12U 350G" u="1"/>
        <s v="IAK KERNS NECT PERA TETR 250ml (24)" u="1"/>
        <s v="BYB SALSA SOYA PLASTICO 4/3850 ml" u="1"/>
        <s v="FOOD KNORR SOPA TORTILLA 12X12X58G" u="1"/>
        <s v="SCH QUA NUTRIBELA 10 6+6 (24)" u="1"/>
        <s v="XHC XEDEX P MULTI LIMP ACTIVA 20X250G" u="1"/>
        <s v="NSK BIC ENCENDEDOR J6 MAXI (75)" u="1"/>
        <s v="AXE STICK TRANS COLLISION 12X54G" u="1"/>
        <s v="IAK BLISS HAPPY MIX 350ml VIDR (24)" u="1"/>
        <s v="BEST BOTE CONITO RELL SUR 70u (12)" u="1"/>
        <s v="FOOD NATURAS SALSA C/QUESO 96X100G" u="1"/>
        <s v="IAK KERNS TETRA NECT MANGO 1000ml (12)" u="1"/>
        <s v="BEST DAPI GALLETA VAINILLA 48X12X14.5G (48)" u="1"/>
        <s v="NSK LA MODERNA CABELLO DE ANGEL 20x200G" u="1"/>
        <s v="MA AVENA STEEL CUT 96X40G" u="1"/>
        <s v="GOMITAS 4 TAPA MENTA 20GR 12X2X10X4" u="1"/>
        <s v="BONI DCAS DETERGENTE 1 . 2 . 3 800g (10)" u="1"/>
        <s v="BONI IAK DUCAL FRIJOL NEGRO DyP 8 ONZ" u="1"/>
        <s v="SCH SAVILE SH ARGAN 12X28X15ML" u="1"/>
        <s v="FOOD MAIZENA FECULA MAIZ BANANA 16X12X47G" u="1"/>
        <s v="XHC PFS CENTELLA CHIBOLONA AZUL 4X3X400G" u="1"/>
        <s v="SAVILE SH BIOTINA SCH 24X28X15ML" u="1"/>
        <s v="NSK BIC ENCENDEDOR MAXI J6 CARTON 15u (25)" u="1"/>
        <s v="BYB SALSA PICAMAS CHILTEPE 24/155g" u="1"/>
        <s v="XHC XEDEX P ANTIBACT 20X250G" u="1"/>
        <s v="DCASA PAPEL ENCANTO MIL HOJAS ECO 12X4" u="1"/>
        <s v="NSK LA MODERNA CODO 3 42x200G" u="1"/>
        <s v="ALD PIN POP WATERMELON 16X24 (15G)" u="1"/>
        <s v="BONI NSK BIC ENCENDEDOR J6 MAXI (75)" u="1"/>
        <s v="BYB SALSA PICAMAS COBANERO 24/155g" u="1"/>
        <s v="IAK KERNS SALSITA QUESO 106GR DP (24)" u="1"/>
        <s v="BEST BOTONETA CHOCOLATE 80X6X20G (80)" u="1"/>
        <s v="QUA NUTRIBELA 10 18+6 (12)" u="1"/>
        <s v="AXE AERO AP EPIC FRESH 12X88G" u="1"/>
        <s v="XHC REXONA JAB ANTIBAC FRESH 48X125G" u="1"/>
        <s v="AMS JAB ANTIBAC CLT PINK LIMONADE 12X500" u="1"/>
        <s v="ALC ARROZ GALLO DORADO PRE COCIDO 200GR (20)" u="1"/>
        <s v="XHC XEDEX P PROTECCION COLOR 20X250G" u="1"/>
        <s v="BYB SALSA PICAMAS VERDE BOLSA 4/3000g" u="1"/>
        <s v="BONI QUA JUGO YA NARANJA" u="1"/>
        <s v="AMS PAPEL HIG MAX PAP. 12X4 MEJOR QUE 1000 HD" u="1"/>
        <s v="NSK LA MODERNA PLUMA 42x200G" u="1"/>
        <s v="NSK LA MODERNA MACARRON LARGO 20x200G" u="1"/>
        <s v="BONI ALC ARROZ ESTRELLA BLANCO 350g (25)" u="1"/>
        <s v="BYB MOSTAZA ALMOHADITA 48/110 g" u="1"/>
        <s v="GOMITAS 4 OSOS 12X2X20X4" u="1"/>
        <s v="BONI ALC HARINA ORO MAYA 800g (9)" u="1"/>
        <s v="DCASA MIRASOL MARG 2X24X90G" u="1"/>
        <s v="DOVE STICK EXTRA FRESH 12X50G" u="1"/>
        <s v="AMS TOALLA DE COCINA MAX PAPEL 12X2HD" u="1"/>
        <s v="XHC XEDEX P MULTI LIMP ACTIVA 15X1KG" u="1"/>
        <s v="BEST BOTONETA MANÍ 80X6X20G (80)" u="1"/>
        <s v="FOOD HELLMANNS MOST DYP 12X100G" u="1"/>
        <s v="BONI HERMETICO RECTANGULAR" u="1"/>
        <s v="FOOD KNORR SOPA POLL VERD CODITO 12X12X54G" u="1"/>
        <s v="FOOD KNORR SOPA COST CRIOL C/FID 12X12X55G" u="1"/>
        <s v="FOOD KNORR SOPA GAL C/ARROZ CHIP 12X12X55G" u="1"/>
        <s v="BEST CHOCOFRUTA 10X 1600G (10)" u="1"/>
        <s v="XHC DIN ROKU JAB AMARILLO 400G (4)" u="1"/>
        <s v="BONI AMSA SERVILLETA MAX PAPEL 10X1X100" u="1"/>
        <s v="BEST BOTONETAS MANI 20X24X13G (20)" u="1"/>
        <s v="XHC XEDEX DESIN LAVANDA SCH 5X12X100ML" u="1"/>
        <s v="EGO GEL POWER 12/500 ML" u="1"/>
        <s v="FOOD MAIZENA FECULA MAIZ VAINILLA 16X12X45G" u="1"/>
        <s v="FOOD KNORR SOPA GAL C/CONCHI 12X12X54G" u="1"/>
        <s v="KELL CHOCO KRISPI SCH 8X6X150G (8)" u="1"/>
        <s v="ALD PIN POP SENSATIONS 16X24 (17G)" u="1"/>
        <s v="AMS TOALLA DE COCINA MAX PAPEL 24X1 HD" u="1"/>
        <s v="PONDS CR 100G H (24)" u="1"/>
        <s v="SCH SAVILE SH ANTICASPA 24X28X15ML (24)" u="1"/>
        <s v="SCH QUA NUTRIBELA 10 10+2 (24)" u="1"/>
        <s v="DOVE MINIROLLON CUIDADO TOTAL 6X30ML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362"/>
    </cacheField>
    <cacheField name="Columna4" numFmtId="0">
      <sharedItems containsSemiMixedTypes="0" containsString="0" containsNumber="1" minValue="0.03" maxValue="100"/>
    </cacheField>
    <cacheField name="Columna5" numFmtId="0">
      <sharedItems containsSemiMixedTypes="0" containsString="0" containsNumber="1" minValue="0.19166666666666665" maxValue="165.262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504627" createdVersion="8" refreshedVersion="8" minRefreshableVersion="3" recordCount="7" xr:uid="{D3644062-4BA9-47B1-9AEC-354C3A2ECA03}">
  <cacheSource type="worksheet">
    <worksheetSource name="RUTA480"/>
  </cacheSource>
  <cacheFields count="5">
    <cacheField name="Columna1" numFmtId="0">
      <sharedItems containsMixedTypes="1" containsNumber="1" containsInteger="1" minValue="205" maxValue="10080010002" count="241">
        <s v="K51798"/>
        <s v="K51795"/>
        <n v="69761868"/>
        <n v="69761866"/>
        <n v="84157012"/>
        <n v="576003"/>
        <n v="69618163"/>
        <n v="10010010010" u="1"/>
        <n v="10010020002" u="1"/>
        <n v="10020010007" u="1"/>
        <n v="10020040002" u="1"/>
        <n v="10080010002" u="1"/>
        <n v="1008011812" u="1"/>
        <n v="1008012355" u="1"/>
        <n v="1008014100" u="1"/>
        <n v="19640304" u="1"/>
        <n v="19640306" u="1"/>
        <n v="20110020" u="1"/>
        <n v="400000127" u="1"/>
        <n v="400000160" u="1"/>
        <n v="400000221" u="1"/>
        <n v="4040000841" u="1"/>
        <n v="50491100" u="1"/>
        <n v="50491101" u="1"/>
        <n v="50491102" u="1"/>
        <n v="50491104" u="1"/>
        <n v="50491106" u="1"/>
        <n v="50491107" u="1"/>
        <n v="50491108" u="1"/>
        <n v="50491109" u="1"/>
        <n v="50491131" u="1"/>
        <n v="50491132" u="1"/>
        <n v="50491133" u="1"/>
        <n v="50491134" u="1"/>
        <n v="52480086" u="1"/>
        <n v="52480095" u="1"/>
        <n v="5460400" u="1"/>
        <n v="565119" u="1"/>
        <n v="574983" u="1"/>
        <n v="576000" u="1"/>
        <n v="579264" u="1"/>
        <n v="579319" u="1"/>
        <n v="579337" u="1"/>
        <n v="583415" u="1"/>
        <n v="586703" u="1"/>
        <n v="60000094" u="1"/>
        <n v="60000209" u="1"/>
        <n v="60000210" u="1"/>
        <n v="620500" u="1"/>
        <n v="620678" u="1"/>
        <n v="620821" u="1"/>
        <n v="620845" u="1"/>
        <n v="621439" u="1"/>
        <n v="621491" u="1"/>
        <n v="640676" u="1"/>
        <n v="641833" u="1"/>
        <n v="642557" u="1"/>
        <n v="652532" u="1"/>
        <n v="67409831" u="1"/>
        <n v="67611016" u="1"/>
        <n v="67707595" u="1"/>
        <n v="67721092" u="1"/>
        <n v="67986539" u="1"/>
        <n v="68380352" u="1"/>
        <n v="68395025" u="1"/>
        <n v="68436586" u="1"/>
        <n v="68441503" u="1"/>
        <n v="68441507" u="1"/>
        <n v="68441544" u="1"/>
        <n v="68444067" u="1"/>
        <n v="68524848" u="1"/>
        <n v="68524850" u="1"/>
        <n v="68524852" u="1"/>
        <n v="68524857" u="1"/>
        <n v="68524859" u="1"/>
        <n v="68637162" u="1"/>
        <n v="68647716" u="1"/>
        <n v="68667235" u="1"/>
        <n v="68688972" u="1"/>
        <n v="68775732" u="1"/>
        <n v="68798139" u="1"/>
        <n v="68798140" u="1"/>
        <n v="69584483" u="1"/>
        <n v="69584486" u="1"/>
        <n v="69584500" u="1"/>
        <n v="69629503" u="1"/>
        <n v="69714154" u="1"/>
        <n v="69714162" u="1"/>
        <n v="69714198" u="1"/>
        <n v="69714199" u="1"/>
        <n v="69761861" u="1"/>
        <n v="69761870" u="1"/>
        <n v="69780941" u="1"/>
        <n v="84157033" u="1"/>
        <n v="84158963" u="1"/>
        <n v="84158965" u="1"/>
        <n v="84159040" u="1"/>
        <n v="84168484" u="1"/>
        <n v="1008010073" u="1"/>
        <n v="400000411" u="1"/>
        <n v="50470114" u="1"/>
        <n v="50470115" u="1"/>
        <n v="50470118" u="1"/>
        <n v="52480094" u="1"/>
        <n v="206" u="1"/>
        <n v="1007" u="1"/>
        <n v="256" u="1"/>
        <n v="60000133" u="1"/>
        <n v="621330" u="1"/>
        <n v="67611013" u="1"/>
        <n v="68766039" u="1"/>
        <n v="579405" u="1"/>
        <n v="68611972" u="1"/>
        <n v="642205" u="1"/>
        <n v="67409941" u="1"/>
        <n v="68142902" u="1"/>
        <n v="1000" u="1"/>
        <n v="579407" u="1"/>
        <n v="50470107" u="1"/>
        <n v="68444066" u="1"/>
        <n v="68524854" u="1"/>
        <n v="400000048" u="1"/>
        <n v="50491121" u="1"/>
        <n v="1019" u="1"/>
        <n v="68354529" u="1"/>
        <n v="1006" u="1"/>
        <n v="579409" u="1"/>
        <n v="84153562" u="1"/>
        <n v="566701" u="1"/>
        <n v="640683" u="1"/>
        <n v="246" u="1"/>
        <n v="68380364" u="1"/>
        <n v="579305" u="1"/>
        <n v="19640305" u="1"/>
        <n v="67611010" u="1"/>
        <n v="68787808" u="1"/>
        <n v="576004" u="1"/>
        <n v="579412" u="1"/>
        <n v="69620218" u="1"/>
        <n v="254" u="1"/>
        <n v="579413" u="1"/>
        <n v="68354522" u="1"/>
        <n v="68380353" u="1"/>
        <n v="69584479" u="1"/>
        <n v="576006" u="1"/>
        <n v="84157362" u="1"/>
        <n v="1005" u="1"/>
        <n v="68524851" u="1"/>
        <n v="60000205" u="1"/>
        <n v="68399684" u="1"/>
        <n v="84160187" u="1"/>
        <n v="404000140" u="1"/>
        <n v="249" u="1"/>
        <n v="69629502" u="1"/>
        <n v="84163166" u="1"/>
        <n v="400000412" u="1"/>
        <n v="68524847" u="1"/>
        <n v="69678222" u="1"/>
        <n v="207" u="1"/>
        <n v="640690" u="1"/>
        <n v="84158961" u="1"/>
        <n v="642359" u="1"/>
        <n v="68786560" u="1"/>
        <n v="84168485" u="1"/>
        <n v="68227509" u="1"/>
        <n v="68646674" u="1"/>
        <n v="69584487" u="1"/>
        <n v="565574" u="1"/>
        <n v="571467" u="1"/>
        <n v="67728485" u="1"/>
        <n v="68614031" u="1"/>
        <n v="589111" u="1"/>
        <n v="1008071533" u="1"/>
        <n v="1004" u="1"/>
        <n v="588828" u="1"/>
        <n v="50491103" u="1"/>
        <n v="68876989" u="1"/>
        <n v="252" u="1"/>
        <n v="573812" u="1"/>
        <n v="68115523" u="1"/>
        <n v="84163148" u="1"/>
        <n v="576690" u="1"/>
        <n v="588831" u="1"/>
        <n v="50470106" u="1"/>
        <n v="68667239" u="1"/>
        <n v="247" u="1"/>
        <n v="642366" u="1"/>
        <n v="547830" u="1"/>
        <n v="205" u="1"/>
        <n v="1003" u="1"/>
        <n v="68875985" u="1"/>
        <n v="1008010115" u="1"/>
        <n v="1008013091" u="1"/>
        <n v="255" u="1"/>
        <n v="50470108" u="1"/>
        <n v="84153470" u="1"/>
        <n v="50491122" u="1"/>
        <n v="68174780" u="1"/>
        <n v="1009" u="1"/>
        <n v="68646675" u="1"/>
        <n v="69629507" u="1"/>
        <n v="1008094293" u="1"/>
        <n v="250" u="1"/>
        <n v="68155562" u="1"/>
        <n v="403000261" u="1"/>
        <n v="1002" u="1"/>
        <n v="642373" u="1"/>
        <n v="641628" u="1"/>
        <n v="5467000" u="1"/>
        <n v="68809921" u="1"/>
        <n v="1008010113" u="1"/>
        <n v="67139177" u="1"/>
        <n v="68875982" u="1"/>
        <n v="69629500" u="1"/>
        <n v="1021" u="1"/>
        <n v="579362" u="1"/>
        <n v="642694" u="1"/>
        <n v="1008" u="1"/>
        <n v="642304" u="1"/>
        <n v="67519203" u="1"/>
        <n v="68524853" u="1"/>
        <n v="67767705" u="1"/>
        <n v="400000033" u="1"/>
        <n v="253" u="1"/>
        <n v="578086" u="1"/>
        <n v="680078" u="1"/>
        <n v="69629504" u="1"/>
        <n v="84153561" u="1"/>
        <n v="68455320" u="1"/>
        <n v="1001" u="1"/>
        <n v="642236" u="1"/>
        <n v="68647714" u="1"/>
        <n v="640959" u="1"/>
        <n v="68646586" u="1"/>
        <n v="400000158" u="1"/>
        <n v="642380" u="1"/>
        <n v="19166005" u="1"/>
        <n v="68444073" u="1"/>
        <n v="68524861" u="1"/>
        <n v="68780160" u="1"/>
        <n v="84171222" u="1"/>
      </sharedItems>
    </cacheField>
    <cacheField name="Columna2" numFmtId="0">
      <sharedItems containsMixedTypes="1" containsNumber="1" containsInteger="1" minValue="157" maxValue="157" count="8">
        <s v="IAK DUCAL FRIJ NEGR LAT 5.5oz (48)"/>
        <s v="IAK DUCAL FRIJ NEGR LAT 10.5oz (48)"/>
        <s v="FOOD NATURAS SALSA TOMATE RANCHERA 96X90G"/>
        <s v="FOOD NATURAS PASTA TRADICIONAL 96X90G"/>
        <s v="FOOD KNORR SOPA GAL CRIOL C/FIDEOS 12X12X54G (144)"/>
        <s v="FOOD KNORR SOPA POLLO C/FIDEO 12X12X55G (144)"/>
        <s v="FOOD NATURAS SALSA SABOR POLLO 96X100G"/>
        <n v="157" u="1"/>
      </sharedItems>
    </cacheField>
    <cacheField name="Columna3" numFmtId="0">
      <sharedItems containsSemiMixedTypes="0" containsString="0" containsNumber="1" containsInteger="1" minValue="36" maxValue="1200"/>
    </cacheField>
    <cacheField name="Columna4" numFmtId="0">
      <sharedItems containsSemiMixedTypes="0" containsString="0" containsNumber="1" minValue="0.11944444444444444" maxValue="0.65625"/>
    </cacheField>
    <cacheField name="Columna5" numFmtId="0">
      <sharedItems containsSemiMixedTypes="0" containsString="0" containsNumber="1" minValue="4.3" maxValue="412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504627" createdVersion="8" refreshedVersion="8" minRefreshableVersion="3" recordCount="12" xr:uid="{C3F1A05E-75CA-4E7A-A7E0-7E60930BEEE9}">
  <cacheSource type="worksheet">
    <worksheetSource name="Tabla34"/>
  </cacheSource>
  <cacheFields count="3">
    <cacheField name="RUTAS" numFmtId="0">
      <sharedItems count="12">
        <s v="E470"/>
        <s v="E471"/>
        <s v="E472"/>
        <s v="E473"/>
        <s v="E474"/>
        <s v="E475"/>
        <s v="E476"/>
        <s v="E477"/>
        <s v="E478"/>
        <s v="E479"/>
        <s v="E480"/>
        <s v="E481"/>
      </sharedItems>
    </cacheField>
    <cacheField name="PESO LB" numFmtId="0">
      <sharedItems containsMixedTypes="1" containsNumber="1" minValue="937.90333333333342" maxValue="5225.1016329365084"/>
    </cacheField>
    <cacheField name="PESO QUINTALES" numFmtId="0">
      <sharedItems containsMixedTypes="1" containsNumber="1" minValue="9.379033333333334" maxValue="52.251016329365086"/>
    </cacheField>
  </cacheFields>
  <extLst>
    <ext xmlns:x14="http://schemas.microsoft.com/office/spreadsheetml/2009/9/main" uri="{725AE2AE-9491-48be-B2B4-4EB974FC3084}">
      <x14:pivotCacheDefinition pivotCacheId="163675786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736111" createdVersion="7" refreshedVersion="8" minRefreshableVersion="3" recordCount="139" xr:uid="{00000000-000A-0000-FFFF-FFFF36000000}">
  <cacheSource type="worksheet">
    <worksheetSource name="RUTA471"/>
  </cacheSource>
  <cacheFields count="5">
    <cacheField name="Columna1" numFmtId="0">
      <sharedItems containsMixedTypes="1" containsNumber="1" containsInteger="1" minValue="201" maxValue="7401192400143" count="535">
        <n v="10010010010"/>
        <n v="10020040002"/>
        <n v="1008010073"/>
        <n v="1008014100"/>
        <n v="1008071533"/>
        <n v="19640304"/>
        <n v="400000048"/>
        <n v="400000127"/>
        <n v="400000160"/>
        <n v="400000412"/>
        <n v="50470111"/>
        <n v="50491100"/>
        <n v="50491102"/>
        <n v="50491103"/>
        <n v="50491132"/>
        <n v="50491133"/>
        <n v="52480086"/>
        <n v="5460400"/>
        <n v="5467000"/>
        <n v="576003"/>
        <n v="586703"/>
        <n v="60000094"/>
        <n v="60000210"/>
        <n v="620845"/>
        <n v="621330"/>
        <n v="640683"/>
        <n v="641833"/>
        <n v="642557"/>
        <n v="68170124"/>
        <n v="68798139"/>
        <n v="68798140"/>
        <n v="69584486"/>
        <n v="69584500"/>
        <n v="69678219"/>
        <n v="69678222"/>
        <n v="69761861"/>
        <n v="69761868"/>
        <n v="69761870"/>
        <n v="69780941"/>
        <n v="84153562"/>
        <s v="ALD05665"/>
        <s v="ALD06514"/>
        <s v="ALD06515"/>
        <s v="ALD06517"/>
        <s v="ALD06519"/>
        <s v="ALD06520"/>
        <s v="ALD06522"/>
        <s v="ALD06523"/>
        <s v="ALD06524"/>
        <s v="ALD06526"/>
        <s v="ARE15041"/>
        <s v="ARE15052"/>
        <s v="ARE15059"/>
        <s v="BA016439"/>
        <s v="BA016784"/>
        <s v="BA018244"/>
        <s v="BA018615"/>
        <s v="BYB00020500"/>
        <s v="BYB00020502"/>
        <s v="BYB00100401"/>
        <s v="BYB00100801"/>
        <s v="BYB00101601"/>
        <s v="BYB00140401"/>
        <s v="BYB00170440"/>
        <s v="BYB00170441"/>
        <s v="BYB00171940"/>
        <s v="BYB00230438"/>
        <s v="BYB00231238"/>
        <s v="BYB00232538"/>
        <s v="DCAS0425"/>
        <s v="DCAS0533"/>
        <s v="DCAS2310"/>
        <s v="DIN641628"/>
        <s v="DIN642304"/>
        <s v="ENV0013"/>
        <s v="GTARE004"/>
        <s v="GTDIN015"/>
        <s v="GTQ0012"/>
        <s v="GTQ0023"/>
        <s v="IPR338991352M"/>
        <s v="IPR338991352U"/>
        <s v="IQM1010110"/>
        <s v="K124099"/>
        <s v="K124100"/>
        <s v="K126679"/>
        <s v="K150793"/>
        <s v="K150801"/>
        <s v="K150873"/>
        <s v="K151247"/>
        <s v="K154086"/>
        <s v="K154182"/>
        <s v="K155094"/>
        <s v="K161597"/>
        <s v="K167451"/>
        <s v="K167452"/>
        <s v="K172833"/>
        <s v="K186227"/>
        <s v="K194082"/>
        <s v="K201381"/>
        <s v="K209481"/>
        <s v="K51788"/>
        <s v="K51790"/>
        <s v="K51795"/>
        <s v="K51798"/>
        <s v="K64348"/>
        <s v="K73543"/>
        <s v="N3639009"/>
        <s v="N3639134"/>
        <s v="N51810413"/>
        <s v="N5189010"/>
        <s v="N7510"/>
        <s v="N7512"/>
        <s v="N7518"/>
        <s v="N7519"/>
        <s v="N7524"/>
        <s v="N7525"/>
        <s v="N7526"/>
        <s v="N7527"/>
        <s v="N7528"/>
        <s v="N8680"/>
        <s v="N9005"/>
        <s v="PD39206"/>
        <s v="PD39241"/>
        <s v="PD39248"/>
        <s v="PD39360"/>
        <s v="PD39842"/>
        <s v="PT09713"/>
        <s v="Q000249"/>
        <s v="Q000251"/>
        <s v="Q000252"/>
        <s v="Q000253"/>
        <s v="Q1006"/>
        <s v="QUA5460800"/>
        <s v="QUA79240105"/>
        <s v="TRM1002"/>
        <s v="TRM1004"/>
        <s v="TRM1011"/>
        <s v="YAES00001"/>
        <s v="YAESSC00028"/>
        <n v="10020010007" u="1"/>
        <n v="50470114" u="1"/>
        <n v="50470115" u="1"/>
        <n v="50491101" u="1"/>
        <n v="50491104" u="1"/>
        <n v="50491106" u="1"/>
        <n v="50491107" u="1"/>
        <n v="50491108" u="1"/>
        <n v="50491109" u="1"/>
        <n v="50491122" u="1"/>
        <n v="50491131" u="1"/>
        <n v="50491134" u="1"/>
        <n v="574983" u="1"/>
        <n v="60000133" u="1"/>
        <n v="60000205" u="1"/>
        <n v="640959" u="1"/>
        <n v="67767705" u="1"/>
        <n v="68436592" u="1"/>
        <n v="68786597" u="1"/>
        <n v="68787808" u="1"/>
        <n v="69717303" u="1"/>
        <n v="84157362" u="1"/>
        <n v="620500" u="1"/>
        <n v="620821" u="1"/>
        <n v="620678" u="1"/>
        <n v="1008012355" u="1"/>
        <n v="1008094293" u="1"/>
        <n v="579405" u="1"/>
        <n v="69678220" u="1"/>
        <n v="84158963" u="1"/>
        <n v="84158961" u="1"/>
        <n v="84159040" u="1"/>
        <n v="50470108" u="1"/>
        <n v="50470107" u="1"/>
        <n v="10010020002" u="1"/>
        <n v="1008011812" u="1"/>
        <n v="19640306" u="1"/>
        <n v="400000411" u="1"/>
        <n v="400000542" u="1"/>
        <n v="579235" u="1"/>
        <n v="579305" u="1"/>
        <n v="588828" u="1"/>
        <n v="640676" u="1"/>
        <n v="400000221" u="1"/>
        <n v="4040000841" u="1"/>
        <n v="50470112" u="1"/>
        <n v="621439" u="1"/>
        <n v="621491" u="1"/>
        <n v="10080010002" u="1"/>
        <n v="20110020" u="1"/>
        <n v="50491121" u="1"/>
        <n v="576004" u="1"/>
        <n v="640690" u="1"/>
        <n v="642694" u="1"/>
        <n v="67622624" u="1"/>
        <n v="1008013091" u="1"/>
        <n v="400000033" u="1"/>
        <n v="50470118" u="1"/>
        <n v="642236" u="1"/>
        <n v="67611013" u="1"/>
        <n v="68395025" u="1"/>
        <n v="68441507" u="1"/>
        <n v="68865803" u="1"/>
        <n v="68865806" u="1"/>
        <n v="69584482" u="1"/>
        <n v="400000158" u="1"/>
        <n v="68524861" u="1"/>
        <n v="68923657" u="1"/>
        <n v="1008010113" u="1"/>
        <n v="67139177" u="1"/>
        <n v="68441503" u="1"/>
        <n v="68524859" u="1"/>
        <n v="84153470" u="1"/>
        <n v="579403" u="1"/>
        <n v="642366" u="1"/>
        <n v="642373" u="1"/>
        <n v="642380" u="1"/>
        <n v="68667235" u="1"/>
        <n v="69714154" u="1"/>
        <n v="84157033" u="1"/>
        <n v="2103011672" u="1"/>
        <n v="52480094" u="1"/>
        <n v="60000209" u="1"/>
        <n v="60000212" u="1"/>
        <n v="642359" u="1"/>
        <n v="68441544" u="1"/>
        <n v="69584483" u="1"/>
        <n v="1008010115" u="1"/>
        <n v="574986" u="1"/>
        <n v="68115523" u="1"/>
        <n v="68436586" u="1"/>
        <n v="68524852" u="1"/>
        <n v="68775732" u="1"/>
        <n v="69618163" u="1"/>
        <n v="84168418" u="1"/>
        <n v="19640305" u="1"/>
        <n v="68437778" u="1"/>
        <n v="84168484" u="1"/>
        <n v="67611014" u="1"/>
        <n v="680078" u="1"/>
        <n v="680092" u="1"/>
        <n v="68524857" u="1"/>
        <n v="68647716" u="1"/>
        <n v="68647722" u="1"/>
        <n v="68649837" u="1"/>
        <n v="68667239" u="1"/>
        <n v="69761865" u="1"/>
        <n v="68637162" u="1"/>
        <n v="69714162" u="1"/>
        <n v="68193098" u="1"/>
        <n v="69714199" u="1"/>
        <n v="69786713" u="1"/>
        <n v="578086" u="1"/>
        <n v="84153561" u="1"/>
        <n v="84162865" u="1"/>
        <n v="84171576" u="1"/>
        <n v="403000261" u="1"/>
        <n v="84163148" u="1"/>
        <n v="579407" u="1"/>
        <n v="69761866" u="1"/>
        <n v="68380364" u="1"/>
        <n v="84163149" u="1"/>
        <n v="52480083" u="1"/>
        <n v="52480095" u="1"/>
        <n v="588831" u="1"/>
        <n v="68170131" u="1"/>
        <n v="68444067" u="1"/>
        <n v="68524847" u="1"/>
        <n v="68444066" u="1"/>
        <n v="565119" u="1"/>
        <n v="69584487" u="1"/>
        <n v="69627014" u="1"/>
        <n v="68155562" u="1"/>
        <n v="68524849" u="1"/>
        <n v="68380352" u="1"/>
        <n v="68780160" u="1"/>
        <n v="69678218" u="1"/>
        <n v="621323" u="1"/>
        <n v="67611010" u="1"/>
        <n v="583415" u="1"/>
        <n v="652532" u="1"/>
        <n v="67409831" u="1"/>
        <n v="68380353" u="1"/>
        <n v="68524850" u="1"/>
        <n v="84157012" u="1"/>
        <n v="67707590" u="1"/>
        <n v="68874809" u="1"/>
        <n v="52460005" u="1"/>
        <n v="68524848" u="1"/>
        <n v="579412" u="1"/>
        <n v="67140989" u="1"/>
        <n v="67721092" u="1"/>
        <n v="69714198" u="1"/>
        <n v="571467" u="1"/>
        <n v="68357624" u="1"/>
        <n v="84171222" u="1"/>
        <n v="579264" u="1"/>
        <n v="69629500" u="1"/>
        <n v="69620218" u="1"/>
        <n v="67611016" u="1"/>
        <n v="68354542" u="1"/>
        <n v="68611972" u="1"/>
        <n v="67409940" u="1"/>
        <n v="68193096" u="1"/>
        <n v="68688972" u="1"/>
        <n v="68754734" u="1"/>
        <n v="68193097" u="1"/>
        <n v="576000" u="1"/>
        <n v="642205" u="1"/>
        <n v="579319" u="1"/>
        <n v="579337" u="1"/>
        <n v="67986539" u="1"/>
        <n v="68524854" u="1"/>
        <n v="68645445" u="1"/>
        <n v="68818454" u="1"/>
        <n v="69584479" u="1"/>
        <n v="84160187" u="1"/>
        <n v="67707595" u="1"/>
        <n v="68174780" u="1"/>
        <n v="68766039" u="1"/>
        <n v="68865804" u="1"/>
        <n v="68864406" u="1"/>
        <n v="84158965" u="1"/>
        <n v="67409941" u="1"/>
        <n v="67519203" u="1"/>
        <n v="68786560" u="1"/>
        <n v="67707587" u="1"/>
        <n v="60000215" u="1"/>
        <n v="68436574" u="1"/>
        <n v="579413" u="1"/>
        <n v="68354529" u="1"/>
        <n v="68875982" u="1"/>
        <n v="68882798" u="1"/>
        <n v="84163166" u="1"/>
        <n v="576690" u="1"/>
        <n v="69629502" u="1"/>
        <n v="69629503" u="1"/>
        <n v="69629507" u="1"/>
        <n v="84168485" u="1"/>
        <n v="67707584" u="1"/>
        <n v="680214" u="1"/>
        <n v="680689" u="1"/>
        <n v="641628" u="1"/>
        <n v="680672" u="1"/>
        <n v="68649838" u="1"/>
        <n v="68876989" u="1"/>
        <n v="52460025" u="1"/>
        <n v="67190950" u="1"/>
        <n v="60000262" u="1"/>
        <n v="207" u="1"/>
        <n v="68285450" u="1"/>
        <n v="256" u="1"/>
        <n v="400000161" u="1"/>
        <n v="67624575" u="1"/>
        <n v="68802170" u="1"/>
        <n v="579213" u="1"/>
        <n v="67171635" u="1"/>
        <n v="50470101" u="1"/>
        <n v="68614030" u="1"/>
        <n v="68455320" u="1"/>
        <n v="68534543" u="1"/>
        <n v="84157831" u="1"/>
        <n v="68141796" u="1"/>
        <n v="67746868" u="1"/>
        <n v="67885788" u="1"/>
        <n v="69620216" u="1"/>
        <n v="84154860" u="1"/>
        <n v="68647721" u="1"/>
        <n v="579308" u="1"/>
        <n v="579321" u="1"/>
        <n v="50470105" u="1"/>
        <n v="68399684" u="1"/>
        <n v="50491116" u="1"/>
        <n v="68534556" u="1"/>
        <n v="5049280" u="1"/>
        <n v="68565714" u="1"/>
        <n v="50491112" u="1"/>
        <n v="68524841" u="1"/>
        <n v="579362" u="1"/>
        <n v="69629504" u="1"/>
        <n v="579364" u="1"/>
        <n v="84168063" u="1"/>
        <n v="67663498" u="1"/>
        <n v="68534532" u="1"/>
        <n v="19790106" u="1"/>
        <n v="67409938" u="1"/>
        <n v="68564978" u="1"/>
        <n v="579404" u="1"/>
        <n v="579406" u="1"/>
        <n v="84156604" u="1"/>
        <n v="579409" u="1"/>
        <n v="579410" u="1"/>
        <n v="579411" u="1"/>
        <n v="19790102" u="1"/>
        <n v="67411722" u="1"/>
        <n v="67409922" u="1"/>
        <n v="67150066" u="1"/>
        <n v="67466523" u="1"/>
        <n v="588520" u="1"/>
        <n v="588521" u="1"/>
        <n v="50470102" u="1"/>
        <n v="214902" u="1"/>
        <n v="68141798" u="1"/>
        <n v="68637131" u="1"/>
        <n v="571466" u="1"/>
        <n v="560374" u="1"/>
        <n v="1008011991" u="1"/>
        <n v="84162953" u="1"/>
        <n v="1000" u="1"/>
        <n v="67986536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68534542" u="1"/>
        <n v="1003" u="1"/>
        <n v="68142902" u="1"/>
        <n v="50491105" u="1"/>
        <n v="586682" u="1"/>
        <n v="1004" u="1"/>
        <n v="84151286" u="1"/>
        <n v="68809921" u="1"/>
        <n v="586699" u="1"/>
        <n v="1005" u="1"/>
        <n v="247" u="1"/>
        <n v="642168" u="1"/>
        <n v="68227509" u="1"/>
        <n v="79790105" u="1"/>
        <n v="1006" u="1"/>
        <n v="68401571" u="1"/>
        <n v="67279484" u="1"/>
        <n v="84156662" u="1"/>
        <n v="1007" u="1"/>
        <n v="60000264" u="1"/>
        <n v="6777546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0470103" u="1"/>
        <n v="68444073" u="1"/>
        <n v="84161579" u="1"/>
        <n v="84150971" u="1"/>
        <n v="68564993" u="1"/>
        <n v="10080010001" u="1"/>
        <n v="567647" u="1"/>
        <n v="588829" u="1"/>
        <n v="249" u="1"/>
        <n v="67574559" u="1"/>
        <n v="642304" u="1"/>
        <n v="68874810" u="1"/>
        <n v="576774" u="1"/>
        <n v="566701" u="1"/>
        <n v="201" u="1"/>
        <n v="50491118" u="1"/>
        <n v="250" u="1"/>
        <n v="67611021" u="1"/>
        <n v="50491114" u="1"/>
        <n v="68614031" u="1"/>
        <n v="67409830" u="1"/>
        <n v="1019" u="1"/>
        <n v="573809" u="1"/>
        <n v="67611005" u="1"/>
        <n v="84168003" u="1"/>
        <n v="573811" u="1"/>
        <n v="573812" u="1"/>
        <n v="68142904" u="1"/>
        <n v="573816" u="1"/>
        <n v="573817" u="1"/>
        <n v="573818" u="1"/>
        <n v="573819" u="1"/>
        <n v="577853" u="1"/>
        <n v="573820" u="1"/>
        <n v="10040010015" u="1"/>
        <n v="250042" u="1"/>
        <n v="1021" u="1"/>
        <n v="251" u="1"/>
        <n v="50490906" u="1"/>
        <n v="68141797" u="1"/>
        <n v="19790103" u="1"/>
        <n v="67746869" u="1"/>
        <n v="404000140" u="1"/>
        <n v="203" u="1"/>
        <n v="68647714" u="1"/>
        <n v="252" u="1"/>
        <n v="68524853" u="1"/>
        <n v="68466961" u="1"/>
        <n v="67608386" u="1"/>
        <n v="576943" u="1"/>
        <n v="68646674" u="1"/>
        <n v="50470100" u="1"/>
        <n v="84151549" u="1"/>
        <n v="204" u="1"/>
        <n v="253" u="1"/>
        <n v="68646586" u="1"/>
        <n v="557831" u="1"/>
        <n v="574978" u="1"/>
        <n v="574982" u="1"/>
        <n v="67279491" u="1"/>
        <n v="589111" u="1"/>
        <n v="576002" u="1"/>
        <n v="67551222" u="1"/>
        <n v="576006" u="1"/>
        <n v="67409923" u="1"/>
        <n v="205" u="1"/>
        <n v="68466966" u="1"/>
        <n v="50491119" u="1"/>
        <n v="254" u="1"/>
        <n v="50470104" u="1"/>
        <n v="67952534" u="1"/>
        <n v="84157802" u="1"/>
        <n v="67627146" u="1"/>
        <n v="67611015" u="1"/>
        <n v="547830" u="1"/>
        <n v="547832" u="1"/>
        <n v="578100" u="1"/>
        <n v="68661570" u="1"/>
        <n v="206" u="1"/>
        <n v="68875985" u="1"/>
        <n v="547856" u="1"/>
        <n v="400000386" u="1"/>
        <n v="255" u="1"/>
      </sharedItems>
    </cacheField>
    <cacheField name="Columna2" numFmtId="0">
      <sharedItems containsBlank="1" count="1157">
        <s v="ALC ARROZ GALL DORA PREC 400G (25)"/>
        <s v="ALC ARROZ MACARE BLANC 400G (25)"/>
        <s v="KELL CORN FLAKES 28X150G (28)"/>
        <s v="KELL CORN FLAKES 16X500 (16)"/>
        <s v="KELL FROOT LOOPS 28X180G (28)"/>
        <s v="QUA BONTEA DURAZNO 10X12X30G"/>
        <s v="FOS PALILLOS MADERA 12X12X250u"/>
        <s v="FOS FOSFOROS FOGATA 10x10"/>
        <s v="FOS FOSFOROS FOGATA ECO 12X10"/>
        <s v="FOS Fosforos Propasa 10x10"/>
        <s v="XHC PFS CENTELLA CHIBOLONA VERDE 4X3X375G"/>
        <s v="XHC PFS MAX PODER VERDE 6X3X400G"/>
        <s v="XHC PFS MAX PODER BLANCO 6X3X400G"/>
        <s v="XHC PFS MAX PODER ROSADO 6X3X400G"/>
        <s v="XHC PFS MAX MB NARANJA 6X3X500G"/>
        <s v="XHC PFS MAX MB BLANC/NARAN DUOX 6X3X500G"/>
        <s v="XHC PFS LIMPIOX AVENA DISCO 108G (72)"/>
        <s v="QUA SAVILOE 12X320ML(UNIDAD)"/>
        <s v="QUA SAVILOE 12X500ML (UNIDAD)"/>
        <s v="FOOD KNORR SOPA POLLO C/FIDEO 12X12X55G (144)"/>
        <s v="AXE AERO VITTO DARK TEMPT 12X58G"/>
        <s v="ALC ORO MAY  HARIN MAIZ BLANC 800 (9)"/>
        <s v="ALC ARROZ ESTRELLA BLANCO 350G (25)"/>
        <s v="DIN MAZOLA ACEITE DYP 700ml (18)"/>
        <s v="DIN MAZOLA MARGARINA BARRA 400gr (24)"/>
        <s v="XHC DIN ZIXX JAB VERDE 400G (6)"/>
        <s v="XHC DIN ZIXX JAB LILA 400G (6)"/>
        <s v="XHC DIN ZIXX JAB AVENA 400G (6)"/>
        <s v="EGO GEL CONTROL CAIDA 12X450ML"/>
        <s v="REXONA AERO POWER DRY 12X58G"/>
        <s v="REXONA AERO V8 12X58G"/>
        <s v="FOOD MAIZENA FECULA BAN/FRESA/VAIN 16X12X45G"/>
        <s v="FOOD MAIZENA F MAIZ NATURAL 20X20X45G (400)"/>
        <s v="SCH SEDAL CR PEIN KERAT 24X28X9ML"/>
        <s v="SCH SEDAL CR PEIN RIZ OBED 24X28X9ML"/>
        <s v="FOOD NATURAS SALSA TOMATE C/QUESO 96X90G"/>
        <s v="FOOD NATURAS SALSA TOMATE RANCHERA 96X90G"/>
        <s v="FOOD NATURAS SALSA TOMATE C/CARNE 96X90G"/>
        <s v="FOOD NATURAS JUMB SSA RANCH 24X90G"/>
        <s v="PONDS POLVO COMP AF CARIBE 16X12G"/>
        <s v="ALD PIN POP SANDIA 16X24 (16)"/>
        <s v="ALD YOGUETA SURTIDA RELLENA 16X24  (15G)"/>
        <s v="ALD YOGUETA CHOCOCARAMEL 16X24 (15G)"/>
        <s v="ALD PIN POP MANGO 16X24 (15G)"/>
        <s v="ALD PIN POP THE MOST WANTED 16X24 (15G)"/>
        <s v="ALD PIN POP ASSORTED 16X24 (15G)"/>
        <s v="ALD PIN POP PINTALENGUA 16X24 (15G)"/>
        <s v="ALD PIN POP X2 16X24 (15G)"/>
        <s v="ALD YOGUETA MILKY CARAMEL 16X24 (15G)"/>
        <s v="ALD PIN POP FRESA 16x24 (15G)"/>
        <s v="ARE SABUESO ADULTO 100 LBS"/>
        <s v="ARE SABUESO CACHORRO 40X420G"/>
        <s v="ARE SABUESO ADULTO 40X454G"/>
        <s v="BEST GALLETA MANI 24X12X20G (24)"/>
        <s v="BEST GALLETA FRESA 24X12X20G (24)"/>
        <s v="BEST BOTONETAS CHOCOLATE 20X24X9G (20)"/>
        <s v="BEST CHOCOGOL DYP 50X15X4g (50)"/>
        <s v="BYB CHILE JALAPEÑO SEMIPICANTE LATA 96/5.8oz"/>
        <s v="BYB CHILE JALAPEÑO PICANTE LATA 96/5.8oz"/>
        <s v="BYB MAYONESA CLASICA BOLSA 48/100g"/>
        <s v="BYB MAYONESA CLASICA BOLSA 48/200g"/>
        <s v="BYB MAYONESA CLASICA BOLSA 32/380g"/>
        <s v="BYB MOSTAZA BOLSA 48/100g"/>
        <s v="BYB SALSA PICAMAS VERDE PLASTICO 48/100g"/>
        <s v="BYB SALSA PICAMAS ROJA PLASTICO 48/100g"/>
        <s v="BYB SALSA PICAMAS VERDE JUMBO PLASTICO 24/19oz"/>
        <s v="BYB VINAGRE CLARO 48/100ml"/>
        <s v="BYB VINAGRE CLARO 24/360ml"/>
        <s v="BYB VINAGRE CLARO BOTE LARGO 12/750ml"/>
        <s v="DCASA PAPEL ENCANTO GDE. 1X12X4 (12)"/>
        <s v="DCASA HEINZ MELOCOTO FLEX 24X113G"/>
        <s v="DCASA MIRASOL MARG 24X5X80G"/>
        <s v="XHC DIN ROKU JAB AMARILLO 375G (4)"/>
        <s v="XHC DIN ROKU JAB AQUA 375G (4)"/>
        <s v="ENV AGUA PURIFICADA SCANDIA 12X600ML"/>
        <s v="BONI ARE MOCHILA SABUESO"/>
        <s v="BONI DIN MARGARINA MAZOLA 400G (24)"/>
        <s v="BONI SAVILOE UND 320ML (12)"/>
        <s v="BONI QUA SAVILOE FRUTOS ROJOS UND 500ML (12)"/>
        <s v="IPR LOZANO MANZANA 500ML (12)"/>
        <s v="IPR LOZANO UVA 500ML (12)"/>
        <s v="IQUI CLORO MAGICLOR POPULINO 1X12X6 235ML"/>
        <s v="IAK FUN C REFR MANZ 200ML TETR (24)"/>
        <s v="IAK FUN C REFR MELOC 200ML TETR (24)"/>
        <s v="IAK KERNS KETCHUP SCH 52GR (144)"/>
        <s v="IAK DUCAL FRIJ NEGR DyP 8oz (24)"/>
        <s v="IAK DUCAL FRIJ NEGR DyP 14.1oz (18)"/>
        <s v="IAK DUCAL FRIJ ROJO DyP 8oz (24)"/>
        <s v="IAK KERNS KETCHUP 24X375gr PET"/>
        <s v="IAK BAMB MOJITO 350ml LATA (24)"/>
        <s v="IAK KERNS 330ml COCTEL VEGETALES  (24)"/>
        <s v="IAK DUCAL FRIJ NEGR DyP 28oz (12)"/>
        <s v="IAK BAMB DAIQUIRI FRESA 350ml LT (24)"/>
        <s v="IAK KERNS 330ml NECT MELOCOTON (24)"/>
        <s v="IAK KERNS 330ml NECT MANZANA  (24)"/>
        <s v="IAK DUCAL FRIJ ROJO PICANT DyP 8oz (24)"/>
        <s v="IAK GOYA MAIZ ENTERO 15.25 ONZ (24)"/>
        <s v="IAK KERNS 154mL COCTEL VEGETALES (48)"/>
        <s v="IAK BAMB PIÑA COLADA 350ml LATA (24)"/>
        <s v="IAK DUCAL FRIJ NEGR DyP 4oz (24)"/>
        <s v="IAK DUCAL FRIJ NEGR LAT 29oz (12)"/>
        <s v="IAK DUCAL FRIJ ROJO LAT 5.5oz (48)"/>
        <s v="IAK DUCAL FRIJ NEGR LAT 10.5oz (48)"/>
        <s v="IAK DUCAL FRIJ NEGR LAT 5.5oz (48)"/>
        <s v="IAK KERNS 330ml NECT PIÑA (24)"/>
        <s v="IAK DUCAL FRIJ NEGR LAT 15oz (24)"/>
        <s v="NSK BIC ENCENDEDOR J6 MAXI (75)"/>
        <s v="NSK BIC ENCENDEDOR HANDY P/ESTUFA (90)"/>
        <s v="NSK BIC RASURADORA CONFORT 2 12 (48)"/>
        <s v="NSK BIC RASURADORA SHAVER SENS 24 (48)"/>
        <s v="NSK AZISTIN LAVANDA 1X6X12U/80ML"/>
        <s v="NSK SUAVITEL COMPL PRIMAV 1X6X12 U"/>
        <s v="NSK LAV DOÑA BLANCA CIL TIRA 170g (6)"/>
        <s v="NSK JABON PROTEX BALANCE 110GR (96)"/>
        <s v="NSK JABON PROTEX ALOE 110GR (96)"/>
        <s v="NSK JABON PROTEX FRESH 110GR (96)"/>
        <s v="NSK JABON PROTEX AVENA 110GR (96)"/>
        <s v="NSK LAV POTENSOL CIL 400g (20)"/>
        <s v="NSK AZISTIN MANZANA 1X6X12U/80ML"/>
        <s v="NSK TAJIN CLASICO TIRA  DE 12 SCH (44T)"/>
        <s v="NSK BIC BOLIGRAFO NEGRO 12 (100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BEST CHOCOPANDA CHOCOLATE 25X12X14G"/>
        <s v="QUA JUGOS YA PINA 10X15X18 FIT"/>
        <s v="QUA JUGOS YA LIMON 10X15X18 FIT"/>
        <s v="QUA JUGOS YA MORA 10X15X18 FIT"/>
        <s v="QUA JUGOS YA DURAZNO 10X15X18 FIT"/>
        <s v="QUA YUS JAMAICA 9X15X28g"/>
        <s v="QUA SAVILOE FRUTOS ROJOS 12X500ML"/>
        <s v="SCH QUA NUTRIBELA TRAT CAP 24X12X27ML"/>
        <s v="TERMO GABACHA #1 (26)"/>
        <s v="TERMO BOLSA COLOR 5 Lbs (46)"/>
        <s v="TERMO BOLSA COLOR 2 Lbs (70)"/>
        <s v="YAES LECHE DE COCO 400ml (24)"/>
        <s v="YAES SAL DE MESA REFINADA 25/400G"/>
        <s v="ALC ARROZ MOLINER BLANC 400G (25)" u="1"/>
        <s v="XHC PFS CENTELLA CHIBOLONA AMARILLA 4X3X375G" u="1"/>
        <s v="XHC PFS CENTELLA CHIBOLONA AZUL 4X3X375G" u="1"/>
        <s v="XHC PFS MAX PODER AZUL  6X3X400G" u="1"/>
        <s v="XHC PFS MAX PODER NARANJA 6X3X400G" u="1"/>
        <s v="XHC PFS MAX PODER AMARILLO 6X3X400G" u="1"/>
        <s v="XHC PFS MAX BLANC/NARAN DUOX 6X3X400G" u="1"/>
        <s v="XHC PFS MAX BLANC/AZUL DUOX 6X3X400G" u="1"/>
        <s v="XHC PFS MAX BLANC/VERDE DUOX 6X3X400G" u="1"/>
        <s v="XHC PFS MAX PODER LILA 6X3X400G" u="1"/>
        <s v="XHC PFS MAX MB BLANCA 6X3X500G" u="1"/>
        <s v="XHC PFS MAX MB BLANC/VERD DUOX 6X3X500G" u="1"/>
        <s v="FOOD HELLMANNS MAY DP 12X100G" u="1"/>
        <s v="ALC ORO MAY HARIN MAIZ BLANC 50LBS (1)" u="1"/>
        <s v="ALC ORO MAY HARIN MAIZ BLANC 400G (20)" u="1"/>
        <s v="XHC DIN ZIXX JAB ROSADO 400G (6)" u="1"/>
        <s v="REXONA ROLLON BAMBOO 6X30ML" u="1"/>
        <s v="REXONA STICK CLIN SPORT STRENGTH 12X46G" u="1"/>
        <s v="REXONA STICK ACTIVE DRY 12X50G" u="1"/>
        <s v="REXONA STICK AP SPORFAN 12X50G" u="1"/>
        <s v="XHC XEDEX P MAXIMO PODER 31X115G" u="1"/>
        <s v="REXONA ROLLON V8 6X30ML" u="1"/>
        <s v="ALD PIN POP KOLA 16X24 (15G)" u="1"/>
        <s v="ALD PLAY TORTU SPLASH 55g (24)" u="1"/>
        <s v="ARE SABUESO ADULTO 50 LBS" u="1"/>
        <s v="BEST GALLETA CHOCOLATE 24X12X20G (24)" u="1"/>
        <s v="BEST BOTONETAS MANI 20X24X9G (20)" u="1"/>
        <s v="BEST CHOCOFRUTA 50x350G" u="1"/>
        <s v="BYB CONCENTRADO DE HORCHATA 24/225 ml" u="1"/>
        <s v="BYB MERMELADA DE FRESA VASO 12/260g" u="1"/>
        <s v="BYB MAYONESA CLASICA ALMOHADITA 48/100g" u="1"/>
        <s v="BYB MAYONESA CLASICA BOLSA 16/880g" u="1"/>
        <s v="BYB MOSTAZA BOLSA 48/200g" u="1"/>
        <s v="BYB SALSA T/KETCHUP ALMOHADITA 48/110g" u="1"/>
        <s v="BYB SALSA INGLESA PLASTICA 48/3.5onz" u="1"/>
        <s v="BYB SALSA SOYA PLASTICA 48/3.5oz" u="1"/>
        <s v="BYB VINAGRE CLARO 24/200ml" u="1"/>
        <s v="DCASA GELATINA POLVO LIMON 28X400g" u="1"/>
        <s v="DCASA GELATINA POLVO CHICLE 28X400g" u="1"/>
        <s v="BONI NSK ROLLO PAPEL HIGIENICO" u="1"/>
        <s v="BONI ARE PLATO SABUESO" u="1"/>
        <s v="BONI QUA FRIJOL NEGRO LAT 5.5 OZ (48)" u="1"/>
        <s v="IAK KERNS NECT MANZ TETR 24X250ml" u="1"/>
        <s v="IAK KERNS NECT MELOC TETR 24X250ml" u="1"/>
        <s v="IAK DUCAL FRIJ CHUB ROJO ENT 1.82kgs (6)" u="1"/>
        <s v="IAK KERNS 330ml COCTEL VEGETALES ALMEJA  (24)" u="1"/>
        <s v="IAK DUCAL FRIJ NEGR DyP 96oz (6)" u="1"/>
        <s v="NSK LAV DOÑA BLANCA CIL 400g (20)" u="1"/>
        <s v="NSK VANISH WHITE 6X12 U" u="1"/>
        <s v="NSK FABULOSO CITRIC Y FRU 1X6X12U/80ML" u="1"/>
        <s v="NSK FABULOSO LAVANDA 1X6X12U/80ML" u="1"/>
        <s v="NSK SUAVITEL AROM D SOL 1X6X12U/80ML" u="1"/>
        <s v="NSK COLGATE KIT DE CEPILL 1X24TXTIRA 6UNDS" u="1"/>
        <s v="NSK COLGATE DOBLE FRESCURA 150ML (72)" u="1"/>
        <s v="NSK AZISTIN ALTERNATIVO CLORO 1X6X12U/80ML" u="1"/>
        <s v="QUA FRUTY FRESCO 9+9 (8)" u="1"/>
        <s v="QUA JUGOS YA FRESA 10X15X18 FIT" u="1"/>
        <s v="QUA JUGOS YA JAMAICA 10X15X18 FIT" u="1"/>
        <s v="QUA JUGOS YA HORCHATA 10X15X18 FIT" u="1"/>
        <s v="QUA JUGOS YA NARANJA 10X15X18 FIT" u="1"/>
        <s v="QUA YUS GUANABA 9X15X28g)" u="1"/>
        <s v="QUA YUS HORCHATA 9X15X28g" u="1"/>
        <s v="QUA YUS TAMARINDO 9X15X28g" u="1"/>
        <s v="QUA YUS FRESA 9X15X28g" u="1"/>
        <s v="QUA TOKI SURTIDO 25X24X8G" u="1"/>
        <s v="QUA YUS SABILA 9X15X28G" u="1"/>
        <s v="SCH QUA NUTRIBELA HIALURONICO 48X6X27ML" u="1"/>
        <s v="BEST BOTE CHOCOGOL 150u (12)" u="1"/>
        <s v="BEST BOTE CONITO CHOCOLATE 80u (12)" u="1"/>
        <s v="BYB SALSA BARBACOA SQUEZZE PLASTICO 24/14oz" u="1"/>
        <s v="BYB SALSA PICAMAS VERDE BOLSA 32/454g" u="1"/>
        <s v="BYB SALSA T/KETCHUP BOLSA 4/3000g" u="1"/>
        <s v="DCASA HEINZ BANANO FLEX 24X113G" u="1"/>
        <s v="DCASA HEINZ PERA FLEX 24X113G" u="1"/>
        <s v="DIN MAZOLA ACEITE  BOT 32onz (12)" u="1"/>
        <s v="DIN MAZOLA ACEITE DYP 400ml (24)" u="1"/>
        <s v="DIN MAZOLA MANTECA 1LB (50)" u="1"/>
        <s v="IAK DUCAL BEB ALUMIN PIÑA 330ml (24)" u="1"/>
        <s v="KELL CHOCO KRISPIS 24X620G (24)" u="1"/>
        <s v="KELL ZUCARITAS 28X260G (28)" u="1"/>
        <s v="NSK BIC BOLIGRAFO AZUL 12 (100)" u="1"/>
        <s v="PONDS CR 100G S HUMECTANTE NUTRITIVA (24)" u="1"/>
        <s v="QUA YUS DURAZNO 9X15X28g" u="1"/>
        <s v="SCH SEDAL CR LISO PERFECTO 24X28X9ML" u="1"/>
        <s v="SEDAL SH 340 ML CERAMIDAS (12)" u="1"/>
        <s v="SEDAL SH 340 ML LISO PERFECTO (12)" u="1"/>
        <s v="SEDAL SH 340 ML RIZOS DEFINIDOS (12)" u="1"/>
        <s v="TERMO BOLSA TRANSPARENTE 5 Lbs (20)" u="1"/>
        <s v="TERMO PAJILLA TRANSPARENTE (50)" u="1"/>
        <s v="UNS OSITO MIEL QUEENBEE 340gr (24)" u="1"/>
        <s v="XHC DIN ROKU JAB SALMON 375G (4)" u="1"/>
        <s v="XHC PFS CENTELLA CAMPEON BLANCO 6X4X330G" u="1"/>
        <s v="XHC PFS CENTELLA CAMPEON VERDE 6X4X330G" u="1"/>
        <s v="ALC ARROZ MACAREN PREC 400G (25)" u="1"/>
        <s v="KELL CHOCO KRISPIS 28X290G (28)" u="1"/>
        <s v="QUA BONTEA MANZANA 10X12X30G" u="1"/>
        <s v="FOS FOSFOROS MADERA GALLO 10X10" u="1"/>
        <s v="FOS FOSFOROS GALLO ECO 12X10" u="1"/>
        <s v="REXONA AERO BAMBOO 12X90G" u="1"/>
        <s v="REXONA AERO V8 12X90G" u="1"/>
        <s v="AXE AERO BS DARK TEMPT 12X97G" u="1"/>
        <s v="XHC DIN ZIXX JAB BLANCO 400G (6)" u="1"/>
        <s v="ALD BIAGI CARAMELO 16X100" u="1"/>
        <s v="ALD YOGUETA MILK 16X24 (15G)" u="1"/>
        <s v="ALD PIN POP ICE 16X24 (15G)" u="1"/>
        <s v="ALD PLAY GUSANOS 55g (24)" u="1"/>
        <s v="ALD PLAY CORAZONES 55g (24)" u="1"/>
        <s v="ALD PLAY BANANAS 55g (24)" u="1"/>
        <s v="ALD MASTI MINT 16X100 (4G)" u="1"/>
        <s v="ALD PLAY TIBURONES 55g (24)" u="1"/>
        <s v="BEST GALLETA CHAPETIN 24X12 (24)" u="1"/>
        <s v="BYB MAYONESA CLASICA BOLSA 8/1500g" u="1"/>
        <s v="BYB MIEL DE MAPLE GARRAFA 24/330 ml" u="1"/>
        <s v="BYB SALSA T/KETCHUP BOLSA 48/100g" u="1"/>
        <s v="BYB SALSA T/KETCHUP BOLSA 48/215g" u="1"/>
        <s v="BYB SALSA T/KETCHUP BOLSA 32/435g" u="1"/>
        <s v="BYB SALSA T/KETCHUP BOLSA 16/950g" u="1"/>
        <s v="DCASA HEINZ FRUTA MIX FLEX 24X113G" u="1"/>
        <s v="DCASA GELATINA POLVO UVA 28X400g" u="1"/>
        <s v="DCASA GELATINA POLVO FRESA 28X400g" u="1"/>
        <s v="DCASA GELATINA POLVO PIÑA 28X400g" u="1"/>
        <s v="IAK KERNS PASTA TOMATE 4 Oz DyP (48)" u="1"/>
        <s v="NSK VANISH PINK 6X12 U" u="1"/>
        <s v="NSK LAV AXION LIMON TIRA 115g (6)" u="1"/>
        <s v="NSK SUAVITEL ROSADO 6X12X80ML" u="1"/>
        <s v="QUA YUS NARANJA 9X15X28g)" u="1"/>
        <s v="QUA YUS PIÑA 9X15X28g" u="1"/>
        <s v="QUA YUS FRUTAS TROPICALES 9x15x28g" u="1"/>
        <s v="TERMO BOLSA DE BASURA NEGRA 24X35 (100)" u="1"/>
        <s v="YAES ROSTIZADOR EMPAN POLLO 90G (100)" u="1"/>
        <s v="FOS FOSFOROS AGUILA 2X10X5" u="1"/>
        <s v="FOS ENCENDEDOR FRAGATA MINI 40X25" u="1"/>
        <s v="XHC PFS CENTELLA CHIBOLONA BLANCA 4X3X375G" u="1"/>
        <s v="DIN MAZOLA MARGARINA LIGHT 400GR (24)" u="1"/>
        <s v="DIN MAZOLA MARGARINA  AJO/HIERBAS 400GR (24)" u="1"/>
        <s v="ALD PIN POP BLACK CHERRY 16X24 (15G)" u="1"/>
        <s v="ALD PLAY GUSANOS AZUCARADOS JARRA 6X200 (3G)" u="1"/>
        <s v="BYB CONCENTRADO DE HORCHATA 12/678 ml" u="1"/>
        <s v="BEST CAFE BARISTA SOLUBLE 12X24X8g" u="1"/>
        <s v="DCASA HEINZ CIRUELA/PASAS FLEX 24X113G" u="1"/>
        <s v="DCASA GELATINA POLVO FRAMB.28X400g" u="1"/>
        <s v="IAK KERNS JUNIOR MANZ TETRA 200ml (24)" u="1"/>
        <s v="IAK KERNS JUNIOR MELOC TETR 200ml (24)" u="1"/>
        <s v="IAK KERNS TE LIMON 2500ML (6)" u="1"/>
        <s v="NSK BIC ENCENDEDOR MAXI J6 5+1 (60)" u="1"/>
        <s v="NSK COLGATE DOBLE FRESC 75ML+CEPIL (72)" u="1"/>
        <s v="QUA JUGOS YA MANGO 10X15X18 FIT" u="1"/>
        <s v="ALC ORO MAY HARIN MAIZ BLANC 5LB (6)" u="1"/>
        <s v="PORFIN MARGARINA ORISOL 400gr (24)" u="1"/>
        <s v="XHC PFS MAX PODER ALOE 6X3X400G" u="1"/>
        <s v="FOOD KNORR SOPA GAL C/ARROZ CHIP 12X12X55G (144)" u="1"/>
        <s v="XHC DIN ZIXX JAB AZUL 400G (6)" u="1"/>
        <s v="XHC DIN ZIXX JAB AQUA 400G (6)" u="1"/>
        <s v="REXONA ROLLON BAMBOO 12X50ML" u="1"/>
        <s v="ALD YOGUETA COOKIES &amp; CREAM 16X24 (15G)" u="1"/>
        <s v="BYB CONCENTRADO DE JAMAICA 12/678 ml" u="1"/>
        <s v="BYB CONCENTRADO DE MORA 12/678 ml" u="1"/>
        <s v="BYB CONCENTRADO DE TAMARINDO 12/678 ml" u="1"/>
        <s v="BYB SALSA SOYA PLASTICA 24/152 ml" u="1"/>
        <s v="BYB CHEEZ DIP DOY PACK 12/200g" u="1"/>
        <s v="DCASA HEINZ POSTRE  FLEX 24X113G" u="1"/>
        <s v="DCASA GELATINA POLVO NARANJA 28X400g" u="1"/>
        <s v="IAK KERNS KETCHUP 776gr PET (12)" u="1"/>
        <s v="IAK KERNS COCT VEGET 1 LT TETR (12)" u="1"/>
        <s v="IAK KERNS COCT VEGET ALMEJA 1LT (12)" u="1"/>
        <s v="IAK DUCAL FRIJ NEGR DyP 40oz (12)" u="1"/>
        <s v="IAK DUCAL FRIJ CARNICOS LAT 14oz (24)" u="1"/>
        <s v="IAK DUCAL FRIJ CARNICOS LAT 5 oz (48)" u="1"/>
        <s v="NSK TAJIN CLASICO POLVO BOTE 142G (24)" u="1"/>
        <s v="NSK LAV AXION TARRO 235g (48)" u="1"/>
        <s v="TERMO GABACHA #2 (12)" u="1"/>
        <s v="YAES VINAGRE MANZANA CLEMEN 500ml (24)" u="1"/>
        <s v="KELL CHOCO KRISPIS MINI SCH 5X12X22G (5)" u="1"/>
        <s v="FOS ENCENDEDOR FRAGATA 40x25" u="1"/>
        <s v="XHC PFS CENTELLA CHIBOLONA AVENA 4X3X375G" u="1"/>
        <s v="XHC DIN ZIXX JAB AMARILLO 400G (6)" u="1"/>
        <s v="EGO GEL POWER 4x6x200 ML+5 SCH" u="1"/>
        <s v="XHC DOVE JAB CUIDA PROTEGE 48X90G" u="1"/>
        <s v="AXE AERO BS EXCITE 12X97G" u="1"/>
        <s v="XHC XEDEX DESIN LAVANDA DYP 24X425ML" u="1"/>
        <s v="XHC XEDEX DESIN CITRICOS DYP 24X425ML" u="1"/>
        <s v="FOOD MAIZENA F MAIZ  FRESA 16X12X45G (192)" u="1"/>
        <s v="ALD SONETTO SURTIDO 16X100 (4G)" u="1"/>
        <s v="BYB CHILE JALAPEÑO SEMIPICANTE BOLSA 12/320g" u="1"/>
        <s v="DCASA HEINZ MANZANA FLEX 24X113G" u="1"/>
        <s v="DCASA PAPEL ENCANTO MIL HOJAS ROLLO (24)" u="1"/>
        <s v="XHC DIN ZIXX JAB COCO 400G (6)" u="1"/>
        <s v="DM ESCOBA FLASH FIBER (UNIDAD)" u="1"/>
        <s v="BONI UL PALANGANA" u="1"/>
        <s v="IAK DUCAL FRIJ CHUB NEGR ENT 1.82kgs (6)" u="1"/>
        <s v="NSK COLGATE TRIP ACCION 75 ML+CEPIL (72)" u="1"/>
        <s v="NSK LAV POTENSOL MARQUETA 215g (42)" u="1"/>
        <s v="FOS FOSFOROS CABALLO ROJO 24x10" u="1"/>
        <s v="SCH DOVE SH HIDRA Y SUAVI (ANTICASPA) 24X28X10ML" u="1"/>
        <s v="SCH SEDAL SH HIALURONICO Y VIT C 24X28X15ML" u="1"/>
        <s v="KELL FROOT LOOPS MINI SCH 5X12X15G (5)" u="1"/>
        <s v="AXE AERO BS COLLISION 12X97G" u="1"/>
        <s v="AXE AERO BS APOLLO 12X97G" u="1"/>
        <s v="SCH DOVE SH OLEO NUTRI 24X28X10ML" u="1"/>
        <s v="PONDS POLVO COMP PIEL CLARA 16X12G" u="1"/>
        <s v="BEST CHOCOFRUTA 10X1400G (10)" u="1"/>
        <s v="BYB MERMELADA DE FRESA DOY PACK 24/200g" u="1"/>
        <s v="BYB SALSA PICAMAS VERDE BOLSA 48/223g" u="1"/>
        <s v="ALD COMODATO EXHIBIDOR PIN POP" u="1"/>
        <s v="IPR LOZANO MANZANA 3.2L (6)" u="1"/>
        <s v="IAK DUCAL BEB ALUMIN MELOC 330ml (24)" u="1"/>
        <s v="IAK DUCAL BEB ALUMIN MANZ 330ml (24)" u="1"/>
        <s v="IAK DUCAL BEB ALUMIN PERA 330ml (24)" u="1"/>
        <s v="IAK KERNS TETRA NECT MELOC 1000ml (12)" u="1"/>
        <s v="IAK KERNS 330ml NECT PERA (24)" u="1"/>
        <s v="NSK BIC ENCENDEDOR MINI J5 (75)" u="1"/>
        <s v="YAES MUCHO NACHO ROSTIZADO 390G (12)" u="1"/>
        <s v="FOOD HELLMANNS MAY DYP 12X100G" u="1"/>
        <s v="PONDS CR 100G  C PEPINO (24)" u="1"/>
        <s v="XHC DIN VENZA JABON SABILA 110g (72)" u="1"/>
        <s v="XHC DIN VENZA JABON FRESCURA EXTR 110g (72)" u="1"/>
        <s v="XHC DIN VENZA JABON VITAMINA E 110g (72)" u="1"/>
        <s v="FOOD HELLMANNS  MAY DYP 12X190G" u="1"/>
        <s v="XHC XEDEX MAX POD LIMON 13X800G" u="1"/>
        <s v="FOOD KNORR SOPA COST CRIOL C/FID 12X12X55G (144)" u="1"/>
        <s v="BYB MERMELADA DE MORA VASO 12/260g" u="1"/>
        <s v="BYB MANTEQUILLA DE MANI VASO 24/245g" u="1"/>
        <s v="BYB MAYONESA CLASICA BOLSA 4/3000g" u="1"/>
        <s v="BYB VINAGRE CLARO 24/500ml" u="1"/>
        <s v="IAK KERNS PASTA TOMATE LATA 48X6oz" u="1"/>
        <s v="UNS BOMBILLO LED 9 WATTS (50)" u="1"/>
        <s v="UNS BOMBILLO LED 12 WATTS (50)" u="1"/>
        <s v="QUA YUS LIMONADA CON CHAN 9X15X28g" u="1"/>
        <s v="QUA NUTRIBELA TARRO 12X300ml" u="1"/>
        <s v="KELL CHOCO KRISPIS 54X115G (54)" u="1"/>
        <s v="XHC PFS LIMPIOX CILINDRO LIMON 18X320G" u="1"/>
        <s v="ALC ARROZ ESTRELLA PRECO 350G (25)" u="1"/>
        <s v="ALC CR AVEN HOJUELA 12U 300g" u="1"/>
        <s v="XHC DIN VENZA JABON AVENA 110g (72)" u="1"/>
        <s v="AXE AERO BS ICE CHILL 12X97G" u="1"/>
        <s v="FOOD MAIZENA ALMIDON MAIZ NATURAL 80X185G" u="1"/>
        <s v="BYB SALSA T/KETCHUP ALMOHADITA 48/215g" u="1"/>
        <s v="BYB SALSA MILTOMATE SEMI SQUEZZE 24/370g" u="1"/>
        <s v="DCASA GELATINA POLVO MELOC.28X400g" u="1"/>
        <s v="BONI BANCO PLASTICO" u="1"/>
        <s v="BONI IAK CUCHARON PLASTICO" u="1"/>
        <s v="BONI PROMOV" u="1"/>
        <s v="BONI YAES CHARROS SALSA ROJA" u="1"/>
        <s v="IAK DUCAL BEB TETR MELOC 200ml (24)" u="1"/>
        <s v="IAK DUCAL BEB TETR MANZ 200ml (24)" u="1"/>
        <s v="IAK KERNS TE FRAMBUES 2500ml (6)" u="1"/>
        <s v="QUA JUGOS YA GUANABA 10X15X18 FIT" u="1"/>
        <s v="QUA YUS LIMONADA 9X15X28g" u="1"/>
        <s v="YAES MUCHO NACHO BARBACOA 16X12X17gr" u="1"/>
        <s v="YAES MUCHO NACHO QUESO 16X12X17gr" u="1"/>
        <s v="KELL ZUCARITAS MINI SCH 5X12X20G" u="1"/>
        <s v="FOOD HELLMANNS MOST DYP 12X100G" u="1"/>
        <s v="DOVE AERO CUIDADO TOTAL 12X89G" u="1"/>
        <s v="REXONA STICK CLIN EXTRA DRY EXP 12X46G" u="1"/>
        <s v="SCH SEDAL SH CERAMIDAS 24X28X10ML" u="1"/>
        <s v="SCH DOVE SUPER AC 60 20X12X12ML (20)" u="1"/>
        <s v="FOOD NATURAS SALSA SABOR POLLO 96X100G" u="1"/>
        <s v="DOVE STICK CUIDADO TOTAL 12X50G" u="1"/>
        <s v="BYB MERMELADA DE PIÑA VASO 12/260g" u="1"/>
        <s v="BYB VINAGRE CLARO GALÓN PLASTICO 4/3785ml" u="1"/>
        <s v="UL CR RIZOS 3 SACHET" u="1"/>
        <s v="QUA BONTEA LIMON 10X12X30G" u="1"/>
        <s v="REXONA AERO WOMAN TONO PERFECTO 12X90G" u="1"/>
        <s v="DOVE STICK EXTRA FRESH 12X50G" u="1"/>
        <s v="BONI IAK VASO PLASTICO KERNS" u="1"/>
        <s v="BONI IAK FUN C TETRA MELOCOTON 200ML" u="1"/>
        <s v="BONI NSK SPAGHETTI 60x200G" u="1"/>
        <s v="IPR LOZANO UVA 3.2L (6)" u="1"/>
        <s v="XHC UNS DETERGENTE PURO SOL 250gr (40)" u="1"/>
        <s v="QUA YUS TE FRIO DURAZNO 9X15X28g" u="1"/>
        <s v="TERMO BOLSA TRANSPARENTE 2 Lbs (36)" u="1"/>
        <s v="EGO GEL POWER 4X6X110ML" u="1"/>
        <s v="BYB SALSA PICAMAS VERDE BOLSA 48/100g" u="1"/>
        <s v="DIN SOPA ISSIMA POLLO (12)" u="1"/>
        <s v="DIN SOPA ISSIMA CAMARON (12)" u="1"/>
        <s v="BYB SALSA PICAMAS ALMOHADITA 48/110 g" u="1"/>
        <s v="BYB SALSA INGLESA PLASTICA 24/152 ml" u="1"/>
        <s v="BONI DIN SALSA ISSIMA RANCHERA 106g (96)" u="1"/>
        <s v="SCH SEDAL SH NEGRO LUM 24X28X10ML" u="1"/>
        <s v="FOOD NATURAS SSA TOMATE RANCHERA 24X200G" u="1"/>
        <s v="FOOD NATURAS SSA TOMATE QUESO 24X200G" u="1"/>
        <s v="FOOD NATURAS FRIJOL NEGRO VOLT 24X210G" u="1"/>
        <s v="FOOD HELLMANNS MAY DP 12X380G" u="1"/>
        <s v="FOOD NATURAS SALSA TOMATE ITALIANA 96X90G" u="1"/>
        <s v="BEST CHOCOFRUTA TABLETA 32X300G" u="1"/>
        <s v="BONI IAK DUCAL FRIJ DyP 4oz (24)" u="1"/>
        <s v="IAK KERNS JUNIOR PERA TETR 200ml (24)" u="1"/>
        <s v="IAK DE MI TIERRA FRIJ VOLT NEGRO 35OZ DP (12)" u="1"/>
        <s v="EGO GEL ATTRAC 4X6X110ML" u="1"/>
        <s v="XHC XEDEX MAX POD FRUTOS BOSQUE 13X800G" u="1"/>
        <s v="BYB SALSA INGLESA PLASTICO 4/3850 ml" u="1"/>
        <s v="BYB SALSA BARBACOA 4/4,400g" u="1"/>
        <s v="IAK DUCAL BEB TETR  PIÑA 200ML (24)" u="1"/>
        <s v="NSK SUAVITEL COMPL PRIMAV 1X2X36UNDS+6UNDS" u="1"/>
        <s v="REXONA STICK MEN V8 12X50G" u="1"/>
        <s v="BONI IAK PALETA DE MADERA" u="1"/>
        <s v="XHC XEDEX MAX POD FRUTOS BOSQUE 30X400G" u="1"/>
        <s v="FOOD NATURAS SALSA TOMATE JALAPENO 96X90G" u="1"/>
        <s v="YAES MUCHO NACHO ROSTIZADO 180G (8)" u="1"/>
        <s v="DOVE MINIROLLON ORIGINAL 6X30ML" u="1"/>
        <s v="PONDS POLVO COMP AF NATURAL2 16X12G" u="1"/>
        <s v="REXONA STICK WOMAN ANTIBAC FRESH 12X50G" u="1"/>
        <s v="REXONA STICK WOMAN ANTIBAC INVISIBLE 12X50G" u="1"/>
        <s v="BYB CHILE JALAPEÑO PICANTE BOLSA 12/320g" u="1"/>
        <s v="FOS PALITO CHOCOBANANO EL SOL 36X150u" u="1"/>
        <s v="PONDS CR 50G CLARANT B3 GRASA (24)" u="1"/>
        <s v="BONI ARE PALITA SABUESO" u="1"/>
        <s v="ALD FRUNAS BARRA 18X50 (8,3)" u="1"/>
        <s v="PONDS CR  50G S HUMECTANTE NUTRITIVA (24)" u="1"/>
        <s v="FOOD NATURAS PASTA TRADICIONAL 96X90G" u="1"/>
        <s v="BONI YAES CHARROS SALSA VERDE" u="1"/>
        <s v="ARE SABUESO CACHORRO 22 LBS" u="1"/>
        <s v="BYB CONCENTRADO DE TAMARINDO DISPLAY 6/12u" u="1"/>
        <s v="BYB SALSA BARBACOA PLAST 12/32oz" u="1"/>
        <s v="BONI DIN CUBETA PLASTICA" u="1"/>
        <s v="IAK BLISS HAPPY MIX 350ml VIDR (24)" u="1"/>
        <s v="QUA FRUTY FRESCO 6+6 (12)" u="1"/>
        <s v="QUA JUGOS YA FRUTAS TROPICALES 10X15" u="1"/>
        <s v="TERMO GABACHA MINI/PIWI (26)" u="1"/>
        <s v="DOVE AERO AP COCO 12X87G" u="1"/>
        <s v="PONDS CR 50G CLARANT B3 SECA (24)" u="1"/>
        <s v="IAK DUCAL FRIJ ROJO LAT 29oz (12)" u="1"/>
        <s v="IAK KERNS TETRA NECT FRUTAS 1000ml (12)" u="1"/>
        <s v="IAK KERNS TE DURAZNO 2500ml (6)" u="1"/>
        <s v="SCH QUA NUTRIBELA 10 48X6X27ML" u="1"/>
        <s v="QUA YUS TE FRIO FRAMBUESA 9X15X28g" u="1"/>
        <s v="YAES GUENOS LIMON 4X12X20gr" u="1"/>
        <s v="BYB SALSA T/KETCHUP PLASTICO 24/400g" u="1"/>
        <s v="UNS GOMA DE MASCAR TUMIX MENTA 30x110x1.4g" u="1"/>
        <s v="XHC PFS LIMPIOX CILINDRO AVENA 18X320G" u="1"/>
        <s v="XHC PFS LIMPIOX CILINDRO ALOE 18X320G" u="1"/>
        <s v="AXE AERO BS GOLD TEMPTATION 12X97G" u="1"/>
        <s v="EGO GEL CONTROL CAIDA 24X230ML (24)" u="1"/>
        <s v="AXE AERO AP COLLISION 12X90G" u="1"/>
        <s v="BYB MOSTAZA BOLSA 32/390g" u="1"/>
        <s v="IAK GOYA MAIZ ENTERO 8.75 ONZ (24)" u="1"/>
        <s v="SCH SAVILE SH 2EN1 24X28X15ML" u="1"/>
        <s v="UNS BOMBILLO LED 9 Watt" u="1"/>
        <s v="YAES GUENOS BARBACOA 4X12X20gr" u="1"/>
        <s v="AXE AERO AP ICE CHILL 12X88G" u="1"/>
        <s v="ALD BIAGI CAFE 16X100" u="1"/>
        <s v="IAK KERNS KETCHUP 8grs SACH 1000u" u="1"/>
        <s v="UNS EXTENSION DOMESTICA SPT  8MTS" u="1"/>
        <s v="DOVE AERO INVISIBLE DRY WOMAN 12X89G" u="1"/>
        <s v="FOOD MAIZENA F MAIZ VAINILLA 16X12X45G (192)" u="1"/>
        <s v="DOVE AERO ORQUIDEA 12X87G" u="1"/>
        <s v="BEST GALLETA FRESA 24X12X22G (24)" u="1"/>
        <s v="DOVE AERO INVISIBLE DRY MEN 12X89G" u="1"/>
        <s v="SCH SEDAL CR PEIN KERAT 24X28X10ML" u="1"/>
        <s v="ARE SABUESO CACHORRO 44 LBS" u="1"/>
        <s v="BONI SAVILOE UND 12X320ML" u="1"/>
        <s v="IAK KERNS SALSITA CARNE 106GR DP (24)" u="1"/>
        <s v="DOVE AERO AP CALENDULA 12X87G" u="1"/>
        <s v="AXE AERO BS EPIC FRESH 12X97G" u="1"/>
        <s v="BYB SALSA BARBACOA DOY PACK 24/95g" u="1"/>
        <s v="ALD SONETTO CHOCOLATE BLANCO 16X100 (4G)" u="1"/>
        <s v="BYB CONCENTRADO DE TAMARINDO 24/225 ml" u="1"/>
        <s v="BONI PD EXHIBIDOR PEDIALYTE" u="1"/>
        <s v="IAK DUCAL BEB HOJALAT MANZ 154ml (48)" u="1"/>
        <s v="UNS GOMA DE MASCAR TUMIX SURTIDO 30x110x1.4g" u="1"/>
        <s v="SCH SEDAL SH NEGRO LUMINOSO 24X28X9ML" u="1"/>
        <s v="IAK KERNS 157mL COCTEL VEGETALES (48)" u="1"/>
        <s v="BYB CONCENTRADO DE NARANJA 12/678 ml" u="1"/>
        <s v="UNS GALLE CAFE COFFEE JOY 6x18x45gr" u="1"/>
        <s v="DIN ISSIMA MARGARINA 400gr (24)" u="1"/>
        <s v="BEST MENTAS 50X12X13g (50)" u="1"/>
        <s v="IPR MERMELADA MANZANA 12OZ (24)" u="1"/>
        <s v="IAK KERNS KETCHUP SALSA GALON (3)" u="1"/>
        <s v="PD PEDIALYTE UVA 60 MEQ 500ML (12)" u="1"/>
        <s v="NSK BIC ENCENDEDOR MAXI J6 CARTON 15+3 (20)" u="1"/>
        <s v="EGO GEL ATTRAC 4/6/200ML+5 SCH" u="1"/>
        <s v="UNS BOMBILLO LED 12 Watt" u="1"/>
        <s v="DOVE AERO ORIGINAL 12X89G" u="1"/>
        <s v="DIN MAZOLA MARGARINA BARRA 6X5X400gr (24)" u="1"/>
        <s v="EGO GEL ATTRAC 6/30/12ML" u="1"/>
        <s v="DOVE AEROSOL AP ROSAS 12X87G" u="1"/>
        <s v="SCH SEDAL CR LISO PERFECTO 24X28X10ML" u="1"/>
        <s v="DM ESPONJAS (5XBOLSA)" u="1"/>
        <s v="FOOD KNORR SOPA GAL CRIOL C/FIDEOS 12X12X54G (144)" u="1"/>
        <s v="BONI COCA COLA 355 ML" u="1"/>
        <s v="REXONA AERO CLEAN CLASSIC WOMAN 12X91G" u="1"/>
        <s v="ALD PLAY OSOS RELLENOS 55g (24)" u="1"/>
        <s v="BONI PORFIN LIMPIOX AZUL 85g (72)" u="1"/>
        <s v="YAES ROSTIZADOR MARISCO 100G (24)" u="1"/>
        <s v="IPR MERMELADA PINA 12OZ (24)" u="1"/>
        <s v="XHC XEDEX DESIN LAVANDA DYP 12X750ML" u="1"/>
        <s v="YAES EMPANIZADOR SUKOCINERA 30X6X50G (180)" u="1"/>
        <s v="XHC COLOSO CILINDRO 20X495G" u="1"/>
        <s v="BONI QUA NUTRIBELA 10 HIALURONICO 24X12X72ml" u="1"/>
        <s v="SCH SAVILE SH ARGAN 24X28X15ML" u="1"/>
        <s v="ARE ARECANA ADULTO 50 LBS" u="1"/>
        <s v="NSK LAV DOÑA BLANCA CIL 250g (24)" u="1"/>
        <s v="BEST CHOCOFRUTA 50x400G" u="1"/>
        <s v="BONI QUA NUTRIBELA 10 HIALURONICO (24)" u="1"/>
        <s v="PONDS CR 100G CLARANT B3 GRASA (24)" u="1"/>
        <s v="FOOD LIPTON TE VERDE C/MENTA 20X20BLS" u="1"/>
        <s v="EGO GEL POWER 6X30X15ML" u="1"/>
        <s v="XHC XEDEX MAX POD LIMON 30X400G" u="1"/>
        <s v="BONI NSK 1 BOLSA KIT CEPILLO" u="1"/>
        <s v="TERMO BOLSA TRANSPARENTE 3 Lbs (30)" u="1"/>
        <s v="YAES MUCHO NACHO SALSA DE QUESO 105 G (30)" u="1"/>
        <s v="NSK LAVAPLATOS AXION 235G UNIDAD (48)" u="1"/>
        <s v="NSK LAVAPLATOS AXION LIMON TIRA 115GR (6)" u="1"/>
        <s v="NSK LAVAPLATOS POTENSOL CILINDRO 400 GR (20)" u="1"/>
        <s v="NSK COLGATE DOBLE FRESCURA 150ML" u="1"/>
        <s v="REXONA STICK MEN ANTIBAC 12X50G" u="1"/>
        <s v="DOVE ROLLON CALENDULA 12X50ML" u="1"/>
        <s v="REXONA AERO ANTIBAC INVISIBLE MEN 12X90G" u="1"/>
        <s v="NSK LAVAPLATOS POTENSOL MARQUETA 215GR (42)" u="1"/>
        <s v="SEDAL CR 300 ML PEIN RIZOS OBEDIENTES (12)" u="1"/>
        <s v="XHC XEDEX P MULTIACCION 15X900G" u="1"/>
        <s v="BONI SOMBRILLAS PEDIALYTE" u="1"/>
        <s v="NSK LAVAPLATOS DOÑA BCA.CILINDRO TIRA 170GR (6)" u="1"/>
        <s v="XHC XEDEX P MAXIMO PODER 30X400G" u="1"/>
        <s v="EGO GEL ATTRAC 4x6x200ML" u="1"/>
        <s v="DOVE STICK ROSAS 12X45G" u="1"/>
        <s v="DOVE STICK ORIGINAL 12X50G" u="1"/>
        <s v="BONI SAVILOE UND 12X320ML (NUTRIBELA)" u="1"/>
        <s v="UNS EXTENSION DOMESTICA SPT  6MTS" u="1"/>
        <s v="EGO GEL POWER 6/1000 ML" u="1"/>
        <s v="NSK LAVAPLATOS DOÑA BCA.CILINDRO 250 GR (24)" u="1"/>
        <s v="REXONA STICK FM ANTIBAC  INVISIBLE 12X50G" u="1"/>
        <s v="TERMO BOLSA TRANSPARENTE 1 Lbs (60)" u="1"/>
        <s v="SCH DOVE SH RECON COMPL SUP 24X28X10ML" u="1"/>
        <s v="DOVE MINIROLLON PROTECCION TOTAL 6X30ML" u="1"/>
        <s v="UNS CAR MENTOLADO JAAZZ CLOROFILA 100und (30)" u="1"/>
        <s v="REXONA STICK MEN INVISIBLE 12X50G" u="1"/>
        <s v="BYB MAYONESA EXTRAMAYO BOLSA 4/3000g" u="1"/>
        <s v="NSK LAVAPLATOS DOÑA BLANCA CILINDRO 400G (20)" u="1"/>
        <s v="FOOD KNORR SOPA POLL VERD CODITO 12X12X54G (144)" u="1"/>
        <s v="BYB CONCENTRADO DE HORCHATA DISPLAY 6/12u" u="1"/>
        <s v="IAK DUCAL FRIJ ROJO PICANT DyP 14oz (18)" u="1"/>
        <s v="BONI BARRA MARGARINA MAZOLA 80g" u="1"/>
        <s v="BEST GALLETA MANI 24X12X22G (24)" u="1"/>
        <s v="XHC DIN ROKU JAB SALMON 400G (4)" u="1"/>
        <s v="REXONA STICK BAMBOO 12X50G" u="1"/>
        <s v="SEDAL CR 300 ML PEIN LISOS PERFEC (12)" u="1"/>
        <s v="SEDAL CR 300 ML PEIN KERATINA Y ANTIOX (12)" u="1"/>
        <s v="SCH SEDAL SH LISO PERFECTO 24X28X10ML" u="1"/>
        <s v="FOOD NATURAS PASTA TRADICIONAL 96X100G" u="1"/>
        <s v="SEDAL CR CERAMIDAS 12X300ML" u="1"/>
        <s v="FOOD MAIZENA ALMIDON MAIZ NATURAL 40X375G" u="1"/>
        <s v="XHC DOVE JAB BABY HUMECTANTE 48X75G" u="1"/>
        <s v="REXONA AERO CLIN ANTIBAC W 12X90G" u="1"/>
        <s v="REXONA AERO CLINICAL EXTRA DRY 12X91G" u="1"/>
        <s v="REXONA AERO AP POWDER DRY 12X89G" u="1"/>
        <s v="XHC XEDEX DESIN CITRICOS SCH 5X12X100ML" u="1"/>
        <s v="BONI QUA YUS FRUTAS TROPICALES 9x15x28g" u="1"/>
        <s v="XHC XEDEX DESIN LAVANDA SCH 5X12X100ML" u="1"/>
        <s v="SEDAL SH 340 ML KERATINA C ANTIOX (12)" u="1"/>
        <s v="BYB MAYONESA EXTRAMAYO 32/375g" u="1"/>
        <s v="EGO GEL ATTRAC 6/1000ML" u="1"/>
        <s v="XHC XEDEX P MULTIACCION 20X250G" u="1"/>
        <s v="REXONA AERO ACTIVE DRY 12X89G" u="1"/>
        <s v="BYB MAYONESA EXTRAMAYO BOLSA 8/1500g" u="1"/>
        <s v="CB CAFE BARISTA SOLUBLE 12X24X8g" u="1"/>
        <s v="BONI YAES MUCHO NACHO ARTESANAL 150gr" u="1"/>
        <s v="REXONA AERO CLINICAL CLEAN MEN 12X90G" u="1"/>
        <s v="ALC CR AVEN MOLIDA 12U 300g" u="1"/>
        <s v="REXONA STICK CLIN CLASSIC EXPERT 12X46G" u="1"/>
        <s v="PONDS CR 100G CLARANT B3 SECA (24)" u="1"/>
        <s v="DOVE STICK CALENDULA 12X50G" u="1"/>
        <s v="XHC XEDEX P SUAVIZ B PRIMAV 30X115G" u="1"/>
        <s v="XHC XEDEX MULTIACCION PVO 30x115G" u="1"/>
        <s v="XHC XEDEX P MAXIMO PODER LIMON 13X800G" u="1"/>
        <s v="PONDS CR 50G REJUVENESS (24)" u="1"/>
        <s v="XHC XEDEX MAXIMO PODER FRUTOS BOSQUE 13X800G" u="1"/>
        <s v="REXONA STICK WOMAN POWDER 12X50G" u="1"/>
        <s v="NSK LA MODERNA SPAGHETTI QUESO 20x200G" u="1"/>
        <s v="BEST GALLETA CHOCOLATE 24X12X22G (24)" u="1"/>
        <s v="XHC XEDEX P ANTIBAC 15X900G" u="1"/>
        <s v="XHC XEDEX P PROTECCION COLOR 15X900G" u="1"/>
        <s v="XHC XEDEX P SUAV B PRIMAV 15X900G" u="1"/>
        <s v="DOVE STICK GO FRESH PEPINO" u="1"/>
        <s v="BEST CHOCOGOL DYP 50X15X5g (50)" u="1"/>
        <s v="NSK COLGATE KIT DE CEPILL 1X24TX6UNDS" u="1"/>
        <s v="REXONA AERO CLIN ANTIB MEN 12X91G" u="1"/>
        <s v="DIN ISSIMA PAST TOMAT ROJITA 106g (96)" u="1"/>
        <s v="DIN SOPA ISSIMA CAMARON/CHILE (12)" u="1"/>
        <s v="BYB CONCENTRADO DE HORCHATA 4/3786 ml" u="1"/>
        <s v="BONI ALD EXHIBIDOR RISTRA DE 5 GANCHERAS" u="1"/>
        <s v="NSK LAVAPLATOS DOÑA BCA.CILINDRO 170GR(6)" u="1"/>
        <s v="NSK LAVAPLATOS  POTENSOL MARQUETA 215GR (42)" u="1"/>
        <s v="XHC DIN ROKU JAB AMARILLO 400G (4)" u="1"/>
        <s v="DIN SOPA ISSIMA POLLO CON CHILE (12)" u="1"/>
        <s v="FOOD NATURAS FRIJOL NEGRO VOLTEADO 24X380G" u="1"/>
        <s v="IQUI CLORO MAGICLOR POPULINO 1X4X12 220ML" u="1"/>
        <s v="FOOD MAIZENA FECULA MAIZ NATURAL 20X20X45G (400)" u="1"/>
        <s v="XHC XEDEX P MAXIMO PODER FRUTOS DEL BOSQUE 13X800G" u="1"/>
        <s v="SCH SEDAL CR PEIN KERAT 12X24X10ML+SH" u="1"/>
        <s v="BONI QUA SAVILOE UND 500ML (12)" u="1"/>
        <s v="NSK LA MODERNA CODO 2 50x200G" u="1"/>
        <m u="1"/>
        <s v="AXE AERO BS COLLISION 12X90G" u="1"/>
        <s v="BONI EGO POWER 110ML TARRO (24)" u="1"/>
        <s v="ALC ORO MAY HARIN MAIZ BLANC 2LB (9)" u="1"/>
        <s v="NSK BANDIDO VAINILLA DOCENA (24)" u="1"/>
        <s v="SEDAL AC 340 ML RIZOS DEFINIDOS (12)" u="1"/>
        <s v="XHC XEDEX DESIN FRUTOS CITRICOS SCH 5X12X100ML" u="1"/>
        <s v="DOVE STICK COCO 12X50G" u="1"/>
        <s v="BYB CHILE JALAPEÑO LA CONTENTA 48/180g" u="1"/>
        <s v="UNS DULCE KOPIKO CAPUCCINO BOTE 200und (6)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BONI ALC ARROZ MACARENA PRECOCIDO 400g (25)" u="1"/>
        <s v="GRIPETIN GRIPE Y TOS - 12 SOBRES" u="1"/>
        <s v="XHC LIMPIOX CILINDRO ALOE 18X320G" u="1"/>
        <s v="XHC MAX PODER BLANCO 6X4X350G" u="1"/>
        <s v="AXE AERO AP URBAN 48H ABP 12X90G" u="1"/>
        <s v="FOS CERILLO GALLO 10X10" u="1"/>
        <s v="QUA JUGOS YA LIMON 10X15" u="1"/>
        <s v="ALD SONETTO CHOCOLATE BLANCO 16X110u (16)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EGO GEL CONTROL CAIDA 6X30X12ML" u="1"/>
        <s v="BEST BOTONETAS CHOCOLATE 20X24X11.5G (20)" u="1"/>
        <s v="EGO GEL CONTROL CAIDA 3X8X110ML" u="1"/>
        <s v="BEST CHOCOFRUTA TABLETA 410 GRS 1X24" u="1"/>
        <s v="GOMITAS 4 OSOS GRANDES 14GR 12X2X20X4" u="1"/>
        <s v="KMD EL ARTESANO SALSA CHILTEPE 95g" u="1"/>
        <s v="BEST CARAMELO DURO SURTIDO 30 X 100 UND" u="1"/>
        <s v="XHC PFS MAX MB BLANC/VERD DUOX 6X3X540G" u="1"/>
        <s v="IPR MIEL MAPLE 360ML" u="1"/>
        <s v="QUA JUGOS YA MORA 10X15" u="1"/>
        <s v="REXONA AERO CLINICAL CLASSIC WOMAN 12X90G" u="1"/>
        <s v="EGO GEL CONTROL CAIDA 2X6X200ML" u="1"/>
        <s v="BONI XTREME GEL 100g" u="1"/>
        <s v="IAK KERNS JUNIOR UVA TETR 200ml (24)" u="1"/>
        <s v="REXONA CLINICAL MEN 12X48G" u="1"/>
        <s v="BYB MAYONESA EXTRAMAYO 48/100g" u="1"/>
        <s v="AMS ECO SUAV CASA LIMPIA LIBRE DE ENJUAGUE 1x20 LT" u="1"/>
        <s v="PONDS CR  50G CLARANT B3 GRASA (24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ONI QUA AVENA ESTRELLA 360G" u="1"/>
        <s v="MA AVENA INTEGRAL 25X300G" u="1"/>
        <s v="BONI ALC ARROZ MACARENA BLANCO 400g (25)" u="1"/>
        <s v="BONI ALC ARROZ MOLINERO BLANCO 400g (25)" u="1"/>
        <s v="BONI NSK TAJIN CLASICO 24/45G" u="1"/>
        <s v="QUA JUGOS YA SABILA 10X15" u="1"/>
        <s v="AMS PAPEL HIG MAX PAP 24X1 MEJOR QUE 1000 HD" u="1"/>
        <s v="BONI GORRAS PEDIALYTE" u="1"/>
        <s v="XHC CENTELLA CHIBOLONA VERDE 4X3X400G" u="1"/>
        <s v="SCH SEDAL SH SOS CASPA 12X24X10ML+4" u="1"/>
        <s v="BONI ALC ORO MAYA 400GR" u="1"/>
        <s v="NSK LA MODERNA MOÑO 42x180G" u="1"/>
        <s v="BEST CONITO DYP 90X10X5G (90)" u="1"/>
        <s v="REXONA AERO ANTIBAC INVISIBLE MEN ADVANCE 12/90G" u="1"/>
        <s v="XHC LIMPIOX CILINDRO LIMON 18X320G" u="1"/>
        <s v="BONI NSK  KIT DE CEPILLADO COLGATE UND" u="1"/>
        <s v="NSK BIC RASURADORA CONFORT 2 12+2 (48)" u="1"/>
        <s v="XHC XEDEX P MAXIMO PODER 30X450G" u="1"/>
        <s v="NSK FRUTY DULCE BOLSA 17" u="1"/>
        <s v="FOS ENCENDEDORES FRAGATA MINI 10X12X3 (3 PACK)(10)" u="1"/>
        <s v="ALD YOGUETA CHOCOCARAMEL 1x24u (16)" u="1"/>
        <s v="BONI NSK BANDIDO UNIDAD" u="1"/>
        <s v="GRECO CANASTICAS GALLETA MORA ROJA 270gr (24)" u="1"/>
        <s v="NSK HOT CAKE CAJA 12x500G" u="1"/>
        <s v="XHC PFS MAX PODER VERDE LIMON 6X3X400G" u="1"/>
        <s v="DCASA PAPEL ENCANTO MIL HOJAS 12X4" u="1"/>
        <s v="BYB MAYONESA EXTRAMAYO 48/200g" u="1"/>
        <s v="BONI IAK KERNS COCTEL VEGETALES 157ML" u="1"/>
        <s v="BONI PLAST BANCO" u="1"/>
        <s v="REXONA CLINICAL CLEAN SCENT 12X48G" u="1"/>
        <s v="BONI DINANT PLATO PLASTICO" u="1"/>
        <s v="FOOD NATURAS JUMB SSA RANCH 24X100G" u="1"/>
        <s v="EGO GEL POWER 8X30X15ML+GEL 200ML" u="1"/>
        <s v="FOOD MAIZENA FECULA MAIZ NATURAL 20X20X45G" u="1"/>
        <s v="YAES EMPANIZADOR CEREAL 90G" u="1"/>
        <s v="FOOD MAIZENA FECULA MAIZ NATURAL 20X20X47G" u="1"/>
        <s v="DOVE STICK GO FRESH PEPINO 12X50G" u="1"/>
        <s v="GOMITAS LIMON Y CHILE 20GR 12X2X10X4" u="1"/>
        <s v="GRECO INTEGRAL AVENA FRUTOS ROJOS 156gr (24)" u="1"/>
        <s v="BEST CHOCOPANDA CAJA CHOCOLATE 285G (36)" u="1"/>
        <s v="YAES ROSTIZADOR 18/453G" u="1"/>
        <s v="XHC XEDEX P SUAVIZ YLANG 15X900G" u="1"/>
        <s v="BONI UL NATURAS POLLO 36G (36)" u="1"/>
        <s v="XHC PFS CENTELLA CHIBOLONA BLANCA 6X3X400G" u="1"/>
        <s v="DCASA GELATINA POLVO FRESA 450G (25)" u="1"/>
        <s v="DCASA GELATINA POLVO LIMON 450G (25)" u="1"/>
        <s v="BONI UL MAYO HELLMANS 70G" u="1"/>
        <s v="AMS PAPEL HIG MAX PAP 8X6 DORADO NEGRO HT" u="1"/>
        <s v="IAK ADAN Y EVA FRUTOS ROJOS 350ML LAT (24)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XHC DIN ROKU JAB AQUA 400G (4)" u="1"/>
        <s v="XHC XEDEX DESIN CITRICOS DYP 12X750ML" u="1"/>
        <s v="BONI IAK FUN C TETRA MANZANA 200ML" u="1"/>
        <s v="IAK KERNS SALSITA RANCHERA 106GR DP (24)" u="1"/>
        <s v="EGO GEL POWER 4x6x200 ML" u="1"/>
        <s v="IPR LOZANO UVA 500ML" u="1"/>
        <s v="XHC PFS COLOSO MARQUETA 40X225G" u="1"/>
        <s v="XHC XEDEX P MAXIMO PODER 13X900G" u="1"/>
        <s v="BEST BOTE CONITO CHOCOLATE 70u (12)" u="1"/>
        <s v="AMS ECO DESIN CASA LIMPIA MUNDO MAGICO 1x20 LT" u="1"/>
        <s v="REXONA AERO SPORFAN 12X90G" u="1"/>
        <s v="BONI SH SAVILE BIOTINA DISPLAY" u="1"/>
        <s v="FRV GRIPETIN GRIPE Y TOS - 12 SOBRES" u="1"/>
        <s v="SCH SAVILE CR RIZOS ARGAN 12X28X15ML" u="1"/>
        <s v="IPR MERMELADA PINA 12OZ" u="1"/>
        <s v="BONI QUA NUTRIBELA 10 24X12X27ML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BYB DISPLAY DE CONCENTRADO DE HORCHATA 6/12u" u="1"/>
        <s v="BONI GORRA ALDOR" u="1"/>
        <s v="NSK BIC RASURADORA SHAVER SENS 24+4 (24)" u="1"/>
        <s v="BEST COCOA CHOCOPANDA 24X12X20G" u="1"/>
        <s v="NSK LA MODERNA PASTA TORNILLO 42x200G" u="1"/>
        <s v="IAK ADAN Y EVA LIMON JEMGIBRE 355ML LAT (24)" u="1"/>
        <s v="XHC XEDEX P SUAVIZ B PRIMAV 30X125G" u="1"/>
        <s v="FOOD LIPTON TE YELLOW LABEL 20X20BLS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BEST CARAMELO BLANDO ZUMO SURTIDO 16 X 100 UND" u="1"/>
        <s v="AMS TOALLA HUMEDA LUCCA FAMILIAR 12X80" u="1"/>
        <s v="IAK KERNS KETCHUP PICANTE MEDIO 375GR (24)" u="1"/>
        <s v="UNS DULCE KOPIKO CAFE BOTE 200und (6)" u="1"/>
        <s v="BYB MAYONESA BOLSA 48/100g" u="1"/>
        <s v="IQUI CLORO MAGICLOR POPULINO 1X4X12 235ML" u="1"/>
        <s v="XHC PFS MAX MB BLANCA 6X3X540G" u="1"/>
        <s v="AMS PAPEL HIG LUCCA 24X1X168 NARANJA HD" u="1"/>
        <s v="AMS TOALLA DE COCINA MAX PAPEL 12X2X240HD BAJA" u="1"/>
        <s v="BYB SALSA PICAMAS VERDE PLASTICO 24/200g" u="1"/>
        <s v="NSK LAVAPLATOS AXION MAQUETAS 250 GR (42)" u="1"/>
        <s v="NSK LAVAPLATOS AXION MARQUETA 250 GR (42)" u="1"/>
        <s v="UNS GOMA DE MASC. AGOGO CENT. LIQ.SURT. 16x44x8.3gr" u="1"/>
        <s v="SEDAL SH 340 ML NEGROS LUMINOSOS (12)" u="1"/>
        <s v="XHC VENZA JABON AVENA 110g (72)" u="1"/>
        <s v="MA AVENA FORTIFICADA 25X454G" u="1"/>
        <s v="TERMO BOLSA DE BASURA NEGRA 24X35" u="1"/>
        <s v="TERMO GABACHA #1" u="1"/>
        <s v="XHC MAX PODER AMARILLO 6X3X400G" u="1"/>
        <s v="BONI ROLLO PAPEL HIGIENICO" u="1"/>
        <s v="BONI PLAST VASO 16 ONZ" u="1"/>
        <s v="BONI NSK LAPICERO BIC" u="1"/>
        <s v="IAK DUCAL BEB HOJALAT PIÑA 154ml (48)" u="1"/>
        <s v="BEST FRUTIBOTONETAS TROPICAL 20Ctx24U 25G" u="1"/>
        <s v="BYB MAYONESA BOLSA 48/200g" u="1"/>
        <s v="BEST CHOCOFRUTA 50X400G (50)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LC GOMITAS 10X12X5" u="1"/>
        <s v="XHC DIN SUAVISSIMO TOQ DE CUID 80ml  (6)" u="1"/>
        <s v="FOOD MAIZENA FECULA BAN/FRESA/VAIN 16X12X47G" u="1"/>
        <s v="UNS CHOC. TUBITO CHOKI CHOKI CHOCMAR 6x20" u="1"/>
        <s v="BEST MENTA GLACIAL 30 BOLSAS DE 100 UNIDADES" u="1"/>
        <s v="XHC VENZA JABON SABILA 110g (72)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AMS ECO DESEN MULTI CASA LIMPIA PODER LIMON 1x20 LT" u="1"/>
        <s v="IQUI CLORO BLANCO SOL 1/2 GALON (6)" u="1"/>
        <s v="SCH REXONA CLIN DEO CLAS W 12X8X8G+SCH (12)" u="1"/>
        <s v="PONDS CR  50G REJUVENESS (24)" u="1"/>
        <s v="BEST CHOCOFRUTA TABLETA  24X400G" u="1"/>
        <s v="AMS ALCOHOL GEL ANTIBAC. CLT 12X440ML (12)" u="1"/>
        <s v="XHC MAX BLANC/NARAN DUOX 6X4X330G" u="1"/>
        <s v="XHC REXONA JAB ANTIBAC LIMP PROF 48X125G" u="1"/>
        <s v="BEST FRUTI BOTONETAS TROPICAL 20X24X25G (20)" u="1"/>
        <s v="REXONA CLINICAL SPORT STRENGTH 12X48G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AXE AERO AP ICE CHILL 12X90G/152ML" u="1"/>
        <s v="NSK TAJIN SALSA LIQ CHAMOY 475MLl (12)" u="1"/>
        <s v="SCH REXONA CLIN DEO CLAS MIX S6X10X8G+SCH (6)" u="1"/>
        <s v="AMS SERVILLETA MAX PAPPEL 10X1X100 CUADRADA" u="1"/>
        <s v="NSK BIC MAXI J6 CARTÓN 15+3 (20)" u="1"/>
        <s v="BIOKLAR SPRAY DESIN SIN FRAG 250ML (24)" u="1"/>
        <s v="BONI ALC ARROZ ESTRELLA PRECOCIDO 350g (25)" u="1"/>
        <s v="TERMO BOLSA TRANSPARENTE 1 Lbs" u="1"/>
        <s v="BONI NSK JABON PROTEX FRESH 110GR (96)" u="1"/>
        <s v="SCH SAVILE SH 2EN1 12X28X15ML" u="1"/>
        <s v="TERMO BOLSA TRANSPARENTE 2 Lbs" u="1"/>
        <s v="IAK DUCAL FRIJ ROJO DyP 14.1oz (18)" u="1"/>
        <s v="TERMO BOLSA TRANSPARENTE 3 Lbs" u="1"/>
        <s v="FOOD NATURAS SALSA TOMATE C/CARNES 96X100G" u="1"/>
        <s v="TERMO BOLSA TRANSPARENTE 5 Lbs" u="1"/>
        <s v="NSK TAJIN SALSA LIQ CLASICA 475ML (12)" u="1"/>
        <s v="AMS TOALLAS HUMEDAS BABY STAR 24X40" u="1"/>
        <s v="BYB CHILE JALAPEÑO LA CONTENTA LATA 48/180g" u="1"/>
        <s v="BYB MAYONESA EXTRAMAYO BOLSA 16/880g" u="1"/>
        <s v="BONI DCASA ORO MAYA 400GR" u="1"/>
        <s v="BONI DIN JABONERA VENZA" u="1"/>
        <s v="XHC CENTELLA CHIBOLONA AZUL 4X3X400G" u="1"/>
        <s v="XHC MAX BLANC/AZUL DUOX 6X3X400G" u="1"/>
        <s v="GOMITAS 10 OSOS 12X2X20X10" u="1"/>
        <s v="REXONA STICK MEN ANTIBACT FRESH 12X50G" u="1"/>
        <s v="BONI BAÑO 10 LITROS" u="1"/>
        <s v="FOOD KNORR SOPA POLLO C/FIDEO 12X12X55G" u="1"/>
        <s v="NSK LA MODERNA CARACOL 3 42x200G" u="1"/>
        <s v="ALC ARROZ MOLINERO BLANCO 200GR (20)" u="1"/>
        <s v="ALD YOGUETA SURTIDA 1x24u (16)" u="1"/>
        <s v="AXE AERO BS BLACK 12X90G" u="1"/>
        <s v="BYB MERMELADA DE FRESA TARRO 12/300g" u="1"/>
        <s v="ALD YOGUETA MILK 16X24u (16)" u="1"/>
        <s v="XHC XEDEX P SUAVIZ YLANG 15X1KG" u="1"/>
        <s v="AMS PAPEL HIG MAX PAP. 6X4 MEJOR QUE 1000HD" u="1"/>
        <s v="YAES ROSTIZADOR BOLSA 453G (18)" u="1"/>
        <s v="ALD PIN POP BLACK CHERRY CON CHICLE 16x24u (16)" u="1"/>
        <s v="GOMITAS 4 TAPA Y CORAZONES FRUTA 20GR 12X2X10X4" u="1"/>
        <s v="XHC REXONA JAB BAMBOO 48X125G" u="1"/>
        <s v="ALD PIN POP MIX ASSORTED 16X24u (16)" u="1"/>
        <s v="PONDS CR  45G C ORIGINAL (24)" u="1"/>
        <s v="AMS ENVASE DE PLASTICO ALMSA" u="1"/>
        <s v="ALD FRUNAS DUO COLOR 16X100u (16)" u="1"/>
        <s v="NSK LA MODERNA GALL MARIANITA NUEZ 20x185G" u="1"/>
        <s v="DCASA MIRASOL MARG 36X5+1/80G" u="1"/>
        <s v="EGO GEL URBAN 24/200 ML" u="1"/>
        <s v="EGO GEL URBAN 4X6X200ML" u="1"/>
        <s v="AMS PAPEL HIGENICO LUCCA 24X1X1000 MEJOR HD" u="1"/>
        <s v="BYB MAYONESA BOLSA 32/380g" u="1"/>
        <s v="XHC XEDEX P ANTIBAC 15X1KG" u="1"/>
        <s v="QUA FRUTY F SURTIDO 8X18X14G" u="1"/>
        <s v="QUA NUTRIBELA TRAT CAP 24X12X27ML" u="1"/>
        <s v="QUA JUGOS YA DURAZNO 10X15" u="1"/>
        <s v="XHC MAX PODER VERDE 6X4X330G" u="1"/>
        <s v="IPR CHIIPR CHILE JALAPEÑO 5.5OZLE JALAPEÑO 5.5OZ" u="1"/>
        <s v="AXE AERO AP COLLISION 12X88G" u="1"/>
        <s v="DCASA GELATINA POLVO NARANJA 450G (25)" u="1"/>
        <s v="FOOD NATURAS SALSA ITALIANA CL 96X100G" u="1"/>
        <s v="QUA JUGOS YA FRESA 10X15" u="1"/>
        <s v="FOOD LIPTON TE INFUS MANZANILLA 24X20BLS" u="1"/>
        <s v="SCH REXONA CLIN DEO CLEAN MEN 12X8X8G+SCH (12)" u="1"/>
        <s v="DOVE AERO CLEAR TONE 12X89G" u="1"/>
        <s v="GRECO GALL CHOCOCHIPS MINI 16X" u="1"/>
        <s v="BEST GALLETA MICHOKO 24X12X22G (24)" u="1"/>
        <s v="BONI IAK PASTA TOMATE 4 OZ DYP" u="1"/>
        <s v="AMS TOALLA DE COCINA MAX PAPEL 8X3X120" u="1"/>
        <s v="FOSFORO QUETZAL 10X10" u="1"/>
        <s v="PONDS CR DPL CLARANT B3 SECA 12X10X10G" u="1"/>
        <s v="BONI QUA FRUTY FRESCO (8)" u="1"/>
        <s v="BYB CHOCONELA 12/273g" u="1"/>
        <s v="NSK LYSOL DESINFECTANTE MULTIUSOS DP 500 ML (18)" u="1"/>
        <s v="BONI DIN SOPA ISSIMA" u="1"/>
        <s v="TERMO GABACHA #2" u="1"/>
        <s v="BYB PICAMAS CHILTEPE 24/155g" u="1"/>
        <s v="IAK DUCAL FRIJ NEGR LAT 5.5oz PROMO (48)" u="1"/>
        <s v="BEST RODAJAS JAL EN ESCAB 24/170G" u="1"/>
        <s v="BONI PLAST CUBETA 1.5 LT" u="1"/>
        <s v="XHC PFS CENTELLA CHIBOLONA VERDE 4X3X400G" u="1"/>
        <s v="AMS PAPEL HIG MAX PAP. SUPER ECON 4X12 (4)" u="1"/>
        <s v="XHC PFS CENTELLA CHIBOLONA VERDE 6X3X400G" u="1"/>
        <s v="AMS TOALLA FEM FEELING MAXI NOCTURNA 12X8" u="1"/>
        <s v="BONI QUA JUGOS YA FRUTAS TROPICALES" u="1"/>
        <s v="XHC CENTELLA CAMPEON BLANCO 6X4X330G" u="1"/>
        <s v="SCH SEDAL SH 2EN1 CERAMIDAS 12X24X10ML+4 SCH" u="1"/>
        <s v="AMS SHAMPOO BABY STAR 5X30X10ML SIN LAGRIMAS" u="1"/>
        <s v="XHC PFS CENTELLA CHIBOLONA AMARILLO 4X3X400G" u="1"/>
        <s v="BYB MAYONESA PRIMA BOLSA 8/1500g" u="1"/>
        <s v="NSK LYSOL DESINFECTANTE MULTIUSOS SPRAY (12)" u="1"/>
        <s v="NSK BIC RASURADORA TWIN LADY 12+2 KIT CEP (24)" u="1"/>
        <s v="BONI BAÑO 9 LITROS" u="1"/>
        <s v="AMS Pañal Bebin SuperFlexi Pequeño 4x40" u="1"/>
        <s v="XHC MAX BLANC/NARAN DUOX 6X4X350G" u="1"/>
        <s v="XHC MAX BLANC/VERDE DUOX 6X4X350G" u="1"/>
        <s v="DOVE AERO EXTRA FRESH 12X89G" u="1"/>
        <s v="TERMO GABACHA MINI/PIWI" u="1"/>
        <s v="PONDS CR 100G REJUVENESS DIA (24)" u="1"/>
        <s v="DCASA GELATINA POLVO FRAMB.25X450g" u="1"/>
        <s v="BYB SALSA PICAMAS VERDE 8g SACH 500u" u="1"/>
        <s v="BYB MAYONESA ALMOHADITA 48/100g" u="1"/>
        <s v="DCASA GELATINA POLVO MELOC.25X450g" u="1"/>
        <s v="BYB PICAMAS COBANERO 24/155g" u="1"/>
        <s v="KELL FROOT LOOPS MINI SCH 5X12X22G (5)" u="1"/>
        <s v="FOOD KNORR SOPA GAL C/CONCHI 12X12X54G (144)" u="1"/>
        <s v="AMS PAPEL HIG MAX PAP MED VERDE HD 24X1X320" u="1"/>
        <s v="NSK LA MODERNA GALL MALVADISCO 10x624G" u="1"/>
        <s v="BONI ALC ARROZ GALLO DORADO 400g (25)" u="1"/>
        <s v="XHC XEDEX P SUAVIZ YLANG 30X115G" u="1"/>
        <s v="BYB DISPLAY DE CONCENTRADO DE TAMARINDO 6/12u" u="1"/>
        <s v="XHC XEDEX P SUAVIZ YLANG 30X125G" u="1"/>
        <s v="BONI PFS CLORO MAGICLOR UND" u="1"/>
        <s v="SEDAL SH 2EN1 SOS CERAM 12X24X10ML+4 SCH" u="1"/>
        <s v="EGO GEL POWER 6/30/12ML" u="1"/>
        <s v="AMS JAB ANTIBAC CLT NARANJA JUGOSA 12X440" u="1"/>
        <s v="BONI VANISH 3X100ML" u="1"/>
        <s v="SCH SEDAL SH NEGR LUM 12X24X10ML+4" u="1"/>
        <s v="NSK LA MODERNA PASTA SPAGHETTI 60x200G" u="1"/>
        <s v="BONI QUA GALLETA BEST MANI 24X12 (JUGOS YA)" u="1"/>
        <s v="BONI PALANGANA #3" u="1"/>
        <s v="MA AVENA MOSH ESTRELLA 25X360G" u="1"/>
        <s v="LOT CONSOME CRIOLLO LOTY 225GR (50)" u="1"/>
        <s v="QUA JUGOS YA GUANABA 10X15G" u="1"/>
        <s v="BONI IAK DUCAL FRIJOL LATA 5.5 ONZ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IAK DUCAL BEB HOJALAT MELOC 154ml (48)" u="1"/>
        <s v="XHC MAX PODER VERDE LIMON 6X3X425G" u="1"/>
        <s v="QUA SAVILOE 12X320ML (PAQUETE)" u="1"/>
        <s v="QUA SAVILOE 12X500ML (PAQUETE)" u="1"/>
        <s v="AMS PAPEL HIG MAX PAP 24X1 NARANJA BASICO HD" u="1"/>
        <s v="QUA PROMOCION SAVILOE 500ML 9+3 (PAQUETE)" u="1"/>
        <s v="BONI ALC HARINA ORO MAYA 400gr (20)" u="1"/>
        <s v="IAK ADAN Y EVA COCO LIMON 355ML LAT (24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XHC XEDEX P MULTI LIMP ACTIVA 15X900G" u="1"/>
        <s v="EGO GEL URBAN 4x6x110 ML" u="1"/>
        <s v="XHC MAX PODER BLANCO 6X3X400G" u="1"/>
        <s v="XHC MAX PODER ROSADO 6X3X400G" u="1"/>
        <s v="IAK FRIJOLES CARNICOS 5OZ HL (48)" u="1"/>
        <s v="BONI BIC 1 PAR DE RASURADORA CONFORT 2" u="1"/>
        <s v="MA AVENA MOSH 100X4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ALC CR AVEN HOJUELA 12U 350G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FOS CERILLOS GALLO FAMILIAR (100) 200 L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UL SAVILE ANTICASPA UNIDAD" u="1"/>
        <s v="BONI ARROZ MOLINERO BLANCO 400G" u="1"/>
        <s v="AXE STICK TRANS COLLISION 12X54G" u="1"/>
        <s v="BONI DIN PLATO PLASTICO" u="1"/>
        <s v="BYB CHILE JALAPEÑO PICANTE 96/5.8oz" u="1"/>
        <s v="DOVE STICK CLEAR TONE 12X50G" u="1"/>
        <s v="BONI BEST GALLETA MANI 12X12" u="1"/>
        <s v="BYB SALSA PICAMAS VERDE BOLSA 8/1750g" u="1"/>
        <s v="AMS TOALLA HUMEDA LUCCA SUPER SEC 12X80" u="1"/>
        <s v="YAES MUCHO NACHO ROSTIZADO 70GR (24)" u="1"/>
        <s v="AMS SERVILLETA JAPPYKLUB 10X1X100" u="1"/>
        <s v="IAK DUCAL FRIJ NEGR DyP 104oz (6)" u="1"/>
        <s v="BEST BOTE CONITO RELL SUR 70u (12)" u="1"/>
        <s v="FOOD NATURAS SALSA C/QUESO 96X100G" u="1"/>
        <s v="YAES EMPANIZADOR CEREAL 90G (25)" u="1"/>
        <s v="MA CREMA AVENA 50X100G" u="1"/>
        <s v="IAK KERNS TETRA NECT MANGO 1000ml (12)" u="1"/>
        <s v="BEST DAPI GALLETA VAINILLA 48X12X14.5G (48)" u="1"/>
        <s v="NSK LA MODERNA CABELLO DE ANGEL 20x200G" u="1"/>
        <s v="GOMITAS 4 TAPA MENTA 20GR 12X2X10X4" u="1"/>
        <s v="BONI SAVILE ANTICASPA 7 und" u="1"/>
        <s v="PONDS CR  50G C PEPINO (24)" u="1"/>
        <s v="BONI DCAS DETERGENTE 1 . 2 . 3 800g (10)" u="1"/>
        <s v="BONI IAK DUCAL FRIJOL NEGRO DyP 8 ONZ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PR CHILE JALAPEÑO ESCABECHE 5.5OZ (48)" u="1"/>
        <s v="IAK BAMB MARGARITA 350ml LATA (24)" u="1"/>
        <s v="ALD PIN POP WATERMELON 16X24 (15G)" u="1"/>
        <s v="BONI AMSA TOALLAS HUMEDAS STAR 24X1X40" u="1"/>
        <s v="BONI PLAST PACHON 1.2 CON CLIP" u="1"/>
        <s v="DCASA GELATINA POLVO PIÑA 450G (25)" u="1"/>
        <s v="BYB SALSA PICAMAS COBANERO 24/155g" u="1"/>
        <s v="BONI QUA GALLETA BEST MANI MINI 24X12" u="1"/>
        <s v="IAK KERNS SALSITA QUESO 106GR DP (24)" u="1"/>
        <s v="BEST BOTONETA CHOCOLATE 80X6X20G (80)" u="1"/>
        <s v="GRIPETIN MULTISINTOMAS - 12 SOBRES" u="1"/>
        <s v="QUA NUTRIBELA 10 18+6 (12)" u="1"/>
        <s v="AXE AERO AP EPIC FRESH 12X88G" u="1"/>
        <s v="BEST CHOCO PANDA COCOA 6X50X20G (6)" u="1"/>
        <s v="FOOD NATURAS FRIJ NEGR VOLT 24X400GR" u="1"/>
        <s v="XHC REXONA JAB ANTIBAC FRESH 48X125G" u="1"/>
        <s v="AMS JAB ANTIBAC CLT PINK LIMONADE 12X500" u="1"/>
        <s v="ALC ARROZ GALLO DORADO PRE COCIDO 200GR (20)" u="1"/>
        <s v="XHC MAX MB NARANJA 6X3X540G" u="1"/>
        <s v="BYB SALSA PICANTE FRONTERA 32/16onz" u="1"/>
        <s v="XHC XEDEX P PROTECCION COLOR 20X250G" u="1"/>
        <s v="BYB SALSA PICAMAS VERDE BOLSA 4/3000g" u="1"/>
        <s v="IAK KERNS TETRA NECT MANZ 1000ml (12)" u="1"/>
        <s v="BONI QUA JUGO YA NARANJA" u="1"/>
        <s v="XHC MAX MB BLANCA 6X3X540G" u="1"/>
        <s v="AMS PAPEL HIG MAX PAP. 12X4 MEJOR QUE 1000 HD" u="1"/>
        <s v="MA AVENA INTEGRAL 100X40G" u="1"/>
        <s v="NSK LA MODERNA PLUMA 42x200G" u="1"/>
        <s v="NSK LA MODERNA MACARRON LARGO 20x200G" u="1"/>
        <s v="BONI ALC ARROZ ESTRELLA BLANCO 350g (25)" u="1"/>
        <s v="IPR MERMELADA MANZANA 12OZ" u="1"/>
        <s v="XHC MAX PODER LILA 6X3X400G" u="1"/>
        <s v="NSK LYSOL DESINFECTANTE MULTIUSOS DP 500 ML" u="1"/>
        <s v="AXE AERO BS GOLD TEMPTATION 12X90G" u="1"/>
        <s v="DCASA MIRASOL MARG 6X60X35G" u="1"/>
        <s v="NSK BIC RASURADORA CONFORT 3 12+2 (24)" u="1"/>
        <s v="XHC PFS MAX MB BLANC/NAR DUOX 6X3X540G" u="1"/>
        <s v="XHC CENTELLA CHIBOLONA BLANCO 4X3X400G" u="1"/>
        <s v="XHC CENTELLA CHIBOLONA ROSADO 4X3X400G" u="1"/>
        <s v="EGO GEL ATTRAC 24/110ML" u="1"/>
        <s v="BYB MOSTAZA ALMOHADITA 48/110 g" u="1"/>
        <s v="GOMITAS 4 OSOS 12X2X20X4" u="1"/>
        <s v="BONI PLAST PALANGANA XEDEX" u="1"/>
        <s v="XHC SURF P ROSAS 15X1KG" u="1"/>
        <s v="AMS SERVILLETA LUCCA 10X1X100" u="1"/>
        <s v="IQUI CLORO BLANCO SOL 1LT (12)" u="1"/>
        <s v="BONI ALC HARINA ORO MAYA 800g (9)" u="1"/>
        <s v="BONI ARROZ GALLO DORADO 400G" u="1"/>
        <s v="DCASA MIRASOL MARG 2X24X90G" u="1"/>
        <s v="BYB MAYONESA PRIMA 32/375g" u="1"/>
        <s v="AMS TOALLA DE COCINA MAX PAPEL 12X2HD" u="1"/>
        <s v="BONI TOPPER RECTANGULAR #2 1000ML" u="1"/>
        <s v="BONI IAK DUCAL FRIJOL LATA 10.5 OZ (48)" u="1"/>
        <s v="XHC XEDEX P MULTI LIMP ACTIVA 15X1KG" u="1"/>
        <s v="BEST BOTONETA MANÍ 80X6X20G (80)" u="1"/>
        <s v="BONI HERMETICO RECTANGULAR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EST BOTONETAS MANI 20X24X13G (20)" u="1"/>
        <s v="XHC MAX BLANC/NARAN DUOX 6X3X400G" u="1"/>
        <s v="XHC MAX BLANC/VERDE DUOX 6X3X400G" u="1"/>
        <s v="FOOD NATURAS FRIJ NEGR VOLT 24X210G" u="1"/>
        <s v="GOMITAS 5 OSOS PEQUEÑOS 12.5GR 12X2X20X5" u="1"/>
        <s v="FOOD MAIZENA FECULA MAIZ VAINILLA 16X12X45G" u="1"/>
        <s v="FOOD KNORR SOPA GAL C/CONCHI 12X12X54G" u="1"/>
        <s v="KELL CHOCO KRISPI SCH 8X6X150G (8)" u="1"/>
        <s v="ALD PIN POP SENSATIONS 16X24 (17G)" u="1"/>
        <s v="AMS TOALLA DE COCINA MAX PAPEL 24X1 HD" u="1"/>
        <s v="PONDS CR 100G H (24)" u="1"/>
        <s v="MA AVENA FORTIFICADA 100X40G" u="1"/>
        <s v="FOOD HELLMANNS MAY DYP 12X200G" u="1"/>
        <s v="SCH SAVILE SH BIOTINA 12X28X15ML" u="1"/>
        <s v="XHC CENTELLA CAMPEON VERDE 6X4X330G" u="1"/>
        <s v="XHC SURF P FUERZA SOLAR 15X1KG" u="1"/>
        <s v="SCH SAVILE SH ANTICASPA 24X28X15ML (24)" u="1"/>
        <s v="AXE AERO BS ICE CHILL 12X90G" u="1"/>
        <s v="BONI AMSA ROLLO MAX PAPPEL MORADO MED 24X1" u="1"/>
        <s v="NSK BANDIDO CHOCOLATE DOCENA (24)" u="1"/>
        <s v="DOVE MINIROLLON CUIDADO TOTAL 6X30ML" u="1"/>
        <s v="BONI 1 BOLSA KIT CEPILLO" u="1"/>
        <s v="IAK DUCAL FRIJ CARNICOS LAT 28oz (12)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1159"/>
    </cacheField>
    <cacheField name="Columna4" numFmtId="0">
      <sharedItems containsSemiMixedTypes="0" containsString="0" containsNumber="1" minValue="1.5714285714285715E-2" maxValue="100"/>
    </cacheField>
    <cacheField name="Columna5" numFmtId="0">
      <sharedItems containsSemiMixedTypes="0" containsString="0" containsNumber="1" minValue="2.6875E-2" maxValue="950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6967596" createdVersion="7" refreshedVersion="8" minRefreshableVersion="3" recordCount="124" xr:uid="{00000000-000A-0000-FFFF-FFFF3A000000}">
  <cacheSource type="worksheet">
    <worksheetSource name="RUTA472"/>
  </cacheSource>
  <cacheFields count="5">
    <cacheField name="Columna1" numFmtId="0">
      <sharedItems containsMixedTypes="1" containsNumber="1" containsInteger="1" minValue="201" maxValue="7401192400143" count="525">
        <n v="10010010010"/>
        <n v="10010020002"/>
        <n v="10020010007"/>
        <n v="10020040002"/>
        <n v="1008010073"/>
        <n v="2103011672"/>
        <n v="400000127"/>
        <n v="400000221"/>
        <n v="400000412"/>
        <n v="50491100"/>
        <n v="50491102"/>
        <n v="50491131"/>
        <n v="52480086"/>
        <n v="5460400"/>
        <n v="5467000"/>
        <n v="576003"/>
        <n v="579407"/>
        <n v="579409"/>
        <n v="586703"/>
        <n v="60000094"/>
        <n v="60000210"/>
        <n v="621330"/>
        <n v="640676"/>
        <n v="642366"/>
        <n v="68436586"/>
        <n v="68436592"/>
        <n v="68798139"/>
        <n v="69584500"/>
        <n v="69678219"/>
        <n v="69678222"/>
        <n v="69717303"/>
        <n v="69761861"/>
        <n v="69761868"/>
        <n v="69780941"/>
        <n v="84158961"/>
        <s v="ALD05665"/>
        <s v="ALD06514"/>
        <s v="ALD06515"/>
        <s v="ALD06520"/>
        <s v="ALD06521"/>
        <s v="ALD06522"/>
        <s v="ALD06523"/>
        <s v="ALD06524"/>
        <s v="ALD06526"/>
        <s v="ALD07266"/>
        <s v="ALD07273"/>
        <s v="ARE15052"/>
        <s v="ARE15059"/>
        <s v="BA016439"/>
        <s v="BA016784"/>
        <s v="BA017850"/>
        <s v="BA018243"/>
        <s v="BA018244"/>
        <s v="BA019820"/>
        <s v="BYB00020500"/>
        <s v="BYB00020502"/>
        <s v="BYB00100401"/>
        <s v="BYB00100801"/>
        <s v="BYB00101601"/>
        <s v="BYB00140401"/>
        <s v="BYB00140801"/>
        <s v="BYB00170340"/>
        <s v="BYB00170440"/>
        <s v="BYB00220400"/>
        <s v="BYB00230438"/>
        <s v="BYB00230939"/>
        <s v="BYB00234138"/>
        <s v="CB003461"/>
        <s v="DCAS0533"/>
        <s v="DCAS2310"/>
        <s v="DCAS5260610"/>
        <s v="GTQ0012"/>
        <s v="GTQ0023"/>
        <s v="IQM1010110"/>
        <s v="K124099"/>
        <s v="K124100"/>
        <s v="K126679"/>
        <s v="K129027"/>
        <s v="K129029"/>
        <s v="K129032"/>
        <s v="K129033"/>
        <s v="K150793"/>
        <s v="K150801"/>
        <s v="K154181"/>
        <s v="K154182"/>
        <s v="K155094"/>
        <s v="K156745"/>
        <s v="K167451"/>
        <s v="K167452"/>
        <s v="K177507"/>
        <s v="K186227"/>
        <s v="K194082"/>
        <s v="K209481"/>
        <s v="K51788"/>
        <s v="K51795"/>
        <s v="K51798"/>
        <s v="K51818"/>
        <s v="K64347"/>
        <s v="K64348"/>
        <s v="K73543"/>
        <s v="N3639161"/>
        <s v="N7508"/>
        <s v="N7509"/>
        <s v="N7511"/>
        <s v="N7512"/>
        <s v="N7546"/>
        <s v="N8680"/>
        <s v="N8767"/>
        <s v="PD39206"/>
        <s v="PD39241"/>
        <s v="PD39248"/>
        <s v="PD39360"/>
        <s v="PD39842"/>
        <s v="PT09713"/>
        <s v="Q000247"/>
        <s v="Q000252"/>
        <s v="Q000253"/>
        <s v="Q000254"/>
        <s v="Q000256"/>
        <s v="Q1002"/>
        <s v="QUA21240003"/>
        <s v="QUA5460800"/>
        <s v="TRM1002"/>
        <s v="TRM1008"/>
        <n v="1008014100" u="1"/>
        <n v="400000048" u="1"/>
        <n v="400000158" u="1"/>
        <n v="400000160" u="1"/>
        <n v="50491101" u="1"/>
        <n v="50491103" u="1"/>
        <n v="50491104" u="1"/>
        <n v="50491106" u="1"/>
        <n v="50491108" u="1"/>
        <n v="50491132" u="1"/>
        <n v="50491133" u="1"/>
        <n v="52480095" u="1"/>
        <n v="579235" u="1"/>
        <n v="579305" u="1"/>
        <n v="620500" u="1"/>
        <n v="620821" u="1"/>
        <n v="620845" u="1"/>
        <n v="640959" u="1"/>
        <n v="641833" u="1"/>
        <n v="642557" u="1"/>
        <n v="69584479" u="1"/>
        <n v="69584483" u="1"/>
        <n v="69678220" u="1"/>
        <n v="69761870" u="1"/>
        <n v="84159040" u="1"/>
        <n v="1008013091" u="1"/>
        <n v="19640306" u="1"/>
        <n v="4040000841" u="1"/>
        <n v="50491109" u="1"/>
        <n v="50491122" u="1"/>
        <n v="50491134" u="1"/>
        <n v="60000133" u="1"/>
        <n v="60000205" u="1"/>
        <n v="60000209" u="1"/>
        <n v="620678" u="1"/>
        <n v="640683" u="1"/>
        <n v="640690" u="1"/>
        <n v="642236" u="1"/>
        <n v="68667235" u="1"/>
        <n v="84157033" u="1"/>
        <n v="19640304" u="1"/>
        <n v="400000411" u="1"/>
        <n v="50491107" u="1"/>
        <n v="621491" u="1"/>
        <n v="642359" u="1"/>
        <n v="680078" u="1"/>
        <n v="68798140" u="1"/>
        <n v="69714154" u="1"/>
        <n v="588828" u="1"/>
        <n v="67767705" u="1"/>
        <n v="84157362" u="1"/>
        <n v="50491121" u="1"/>
        <n v="68667239" u="1"/>
        <n v="69584482" u="1"/>
        <n v="69584487" u="1"/>
        <n v="69714162" u="1"/>
        <n v="1008011812" u="1"/>
        <n v="1008012355" u="1"/>
        <n v="19640305" u="1"/>
        <n v="574983" u="1"/>
        <n v="579405" u="1"/>
        <n v="69761865" u="1"/>
        <n v="1008094293" u="1"/>
        <n v="20110020" u="1"/>
        <n v="400000033" u="1"/>
        <n v="50470112" u="1"/>
        <n v="50470115" u="1"/>
        <n v="10080010002" u="1"/>
        <n v="50470111" u="1"/>
        <n v="50470114" u="1"/>
        <n v="52480083" u="1"/>
        <n v="67139177" u="1"/>
        <n v="68524861" u="1"/>
        <n v="68647716" u="1"/>
        <n v="1008071533" u="1"/>
        <n v="50470118" u="1"/>
        <n v="642694" u="1"/>
        <n v="68170124" u="1"/>
        <n v="68923657" u="1"/>
        <n v="60000212" u="1"/>
        <n v="67611013" u="1"/>
        <n v="68441507" u="1"/>
        <n v="68441512" u="1"/>
        <n v="68441544" u="1"/>
        <n v="68524859" u="1"/>
        <n v="68865803" u="1"/>
        <n v="576004" u="1"/>
        <n v="68115523" u="1"/>
        <n v="68865806" u="1"/>
        <n v="642373" u="1"/>
        <n v="68441503" u="1"/>
        <n v="68787808" u="1"/>
        <n v="69618163" u="1"/>
        <n v="68524852" u="1"/>
        <n v="68775732" u="1"/>
        <n v="68193096" u="1"/>
        <n v="68437778" u="1"/>
        <n v="84162865" u="1"/>
        <n v="1008010113" u="1"/>
        <n v="60000215" u="1"/>
        <n v="67611014" u="1"/>
        <n v="68395025" u="1"/>
        <n v="574986" u="1"/>
        <n v="68637162" u="1"/>
        <n v="1008010115" u="1"/>
        <n v="621439" u="1"/>
        <n v="680672" u="1"/>
        <n v="50470107" u="1"/>
        <n v="52480094" u="1"/>
        <n v="84153470" u="1"/>
        <n v="84153561" u="1"/>
        <n v="84153562" u="1"/>
        <n v="642380" u="1"/>
        <n v="68874809" u="1"/>
        <n v="69786713" u="1"/>
        <n v="578086" u="1"/>
        <n v="68524857" u="1"/>
        <n v="68647722" u="1"/>
        <n v="68874810" u="1"/>
        <n v="69584486" u="1"/>
        <n v="571467" u="1"/>
        <n v="579403" u="1"/>
        <n v="68193098" u="1"/>
        <n v="84163148" u="1"/>
        <n v="84163149" u="1"/>
        <n v="403000261" u="1"/>
        <n v="400000161" u="1"/>
        <n v="68380364" u="1"/>
        <n v="68444067" u="1"/>
        <n v="588831" u="1"/>
        <n v="68170131" u="1"/>
        <n v="69714199" u="1"/>
        <n v="680092" u="1"/>
        <n v="68444066" u="1"/>
        <n v="565119" u="1"/>
        <n v="68155562" u="1"/>
        <n v="68380352" u="1"/>
        <n v="69627014" u="1"/>
        <n v="583415" u="1"/>
        <n v="68524849" u="1"/>
        <n v="84168418" u="1"/>
        <n v="621323" u="1"/>
        <n v="68780160" u="1"/>
        <n v="69629500" u="1"/>
        <n v="69678218" u="1"/>
        <n v="67611010" u="1"/>
        <n v="680214" u="1"/>
        <n v="68193097" u="1"/>
        <n v="680689" u="1"/>
        <n v="68649837" u="1"/>
        <n v="652532" u="1"/>
        <n v="67409831" u="1"/>
        <n v="68524850" u="1"/>
        <n v="84171576" u="1"/>
        <n v="68380353" u="1"/>
        <n v="579412" u="1"/>
        <n v="84157012" u="1"/>
        <n v="50470108" u="1"/>
        <n v="69761866" u="1"/>
        <n v="84168484" u="1"/>
        <n v="84158963" u="1"/>
        <n v="67721092" u="1"/>
        <n v="68524848" u="1"/>
        <n v="84158965" u="1"/>
        <n v="67707590" u="1"/>
        <n v="67707595" u="1"/>
        <n v="69714198" u="1"/>
        <n v="69620218" u="1"/>
        <n v="68354542" u="1"/>
        <n v="579362" u="1"/>
        <n v="68611972" u="1"/>
        <n v="84168064" u="1"/>
        <n v="84171222" u="1"/>
        <n v="67611016" u="1"/>
        <n v="576000" u="1"/>
        <n v="67409940" u="1"/>
        <n v="579264" u="1"/>
        <n v="579319" u="1"/>
        <n v="68754734" u="1"/>
        <n v="68688972" u="1"/>
        <n v="69629507" u="1"/>
        <n v="84163166" u="1"/>
        <n v="68875982" u="1"/>
        <n v="84160187" u="1"/>
        <n v="642205" u="1"/>
        <n v="67707587" u="1"/>
        <n v="68786560" u="1"/>
        <n v="68524854" u="1"/>
        <n v="68645445" u="1"/>
        <n v="68766039" u="1"/>
        <n v="68882798" u="1"/>
        <n v="579337" u="1"/>
        <n v="68174780" u="1"/>
        <n v="579413" u="1"/>
        <n v="67986539" u="1"/>
        <n v="68354529" u="1"/>
        <n v="69629503" u="1"/>
        <n v="84162953" u="1"/>
        <n v="67409941" u="1"/>
        <n v="67519203" u="1"/>
        <n v="84163138" u="1"/>
        <n v="68865804" u="1"/>
        <n v="84168485" u="1"/>
        <n v="67409923" u="1"/>
        <n v="68455320" u="1"/>
        <n v="68524847" u="1"/>
        <n v="68864406" u="1"/>
        <n v="68875985" u="1"/>
        <n v="641628" u="1"/>
        <n v="68818454" u="1"/>
        <n v="566030" u="1"/>
        <n v="67190950" u="1"/>
        <n v="67279488" u="1"/>
        <n v="68436589" u="1"/>
        <n v="60000262" u="1"/>
        <n v="207" u="1"/>
        <n v="256" u="1"/>
        <n v="67624575" u="1"/>
        <n v="68802170" u="1"/>
        <n v="579213" u="1"/>
        <n v="67171635" u="1"/>
        <n v="50470101" u="1"/>
        <n v="68614030" u="1"/>
        <n v="68534543" u="1"/>
        <n v="84157831" u="1"/>
        <n v="68141796" u="1"/>
        <n v="68170130" u="1"/>
        <n v="67746868" u="1"/>
        <n v="67885788" u="1"/>
        <n v="69620216" u="1"/>
        <n v="84154860" u="1"/>
        <n v="68647721" u="1"/>
        <n v="579308" u="1"/>
        <n v="579321" u="1"/>
        <n v="50470105" u="1"/>
        <n v="68399684" u="1"/>
        <n v="50491116" u="1"/>
        <n v="68534556" u="1"/>
        <n v="5049280" u="1"/>
        <n v="68565714" u="1"/>
        <n v="50491112" u="1"/>
        <n v="68524841" u="1"/>
        <n v="69629504" u="1"/>
        <n v="579364" u="1"/>
        <n v="84168063" u="1"/>
        <n v="67663498" u="1"/>
        <n v="68534532" u="1"/>
        <n v="19790106" u="1"/>
        <n v="67409938" u="1"/>
        <n v="68564978" u="1"/>
        <n v="579404" u="1"/>
        <n v="579406" u="1"/>
        <n v="84156604" u="1"/>
        <n v="579410" u="1"/>
        <n v="579411" u="1"/>
        <n v="19790102" u="1"/>
        <n v="67411722" u="1"/>
        <n v="67409922" u="1"/>
        <n v="67150066" u="1"/>
        <n v="67466523" u="1"/>
        <n v="68649838" u="1"/>
        <n v="588520" u="1"/>
        <n v="588521" u="1"/>
        <n v="50470102" u="1"/>
        <n v="67707584" u="1"/>
        <n v="214902" u="1"/>
        <n v="68141798" u="1"/>
        <n v="68357624" u="1"/>
        <n v="68637131" u="1"/>
        <n v="571466" u="1"/>
        <n v="560374" u="1"/>
        <n v="1008011991" u="1"/>
        <n v="1000" u="1"/>
        <n v="67986536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68534542" u="1"/>
        <n v="1003" u="1"/>
        <n v="68142902" u="1"/>
        <n v="50491105" u="1"/>
        <n v="586682" u="1"/>
        <n v="1004" u="1"/>
        <n v="84151286" u="1"/>
        <n v="68809921" u="1"/>
        <n v="586699" u="1"/>
        <n v="1005" u="1"/>
        <n v="247" u="1"/>
        <n v="642168" u="1"/>
        <n v="68227509" u="1"/>
        <n v="84150507" u="1"/>
        <n v="68170129" u="1"/>
        <n v="79790105" u="1"/>
        <n v="1006" u="1"/>
        <n v="68401571" u="1"/>
        <n v="68876989" u="1"/>
        <n v="67279484" u="1"/>
        <n v="84156662" u="1"/>
        <n v="1007" u="1"/>
        <n v="60000264" u="1"/>
        <n v="67775462" u="1"/>
        <n v="6000013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76690" u="1"/>
        <n v="50470103" u="1"/>
        <n v="68444073" u="1"/>
        <n v="84161579" u="1"/>
        <n v="84150971" u="1"/>
        <n v="68564993" u="1"/>
        <n v="10080010001" u="1"/>
        <n v="588829" u="1"/>
        <n v="249" u="1"/>
        <n v="67409937" u="1"/>
        <n v="67574559" u="1"/>
        <n v="642304" u="1"/>
        <n v="576774" u="1"/>
        <n v="84159547" u="1"/>
        <n v="566701" u="1"/>
        <n v="201" u="1"/>
        <n v="68436574" u="1"/>
        <n v="50491118" u="1"/>
        <n v="67611021" u="1"/>
        <n v="50491114" u="1"/>
        <n v="68614031" u="1"/>
        <n v="67409830" u="1"/>
        <n v="1019" u="1"/>
        <n v="573809" u="1"/>
        <n v="67611005" u="1"/>
        <n v="573811" u="1"/>
        <n v="573812" u="1"/>
        <n v="68142904" u="1"/>
        <n v="573817" u="1"/>
        <n v="573818" u="1"/>
        <n v="573819" u="1"/>
        <n v="573820" u="1"/>
        <n v="10040010015" u="1"/>
        <n v="250042" u="1"/>
        <n v="1021" u="1"/>
        <n v="251" u="1"/>
        <n v="50490906" u="1"/>
        <n v="68141797" u="1"/>
        <n v="19790103" u="1"/>
        <n v="67746869" u="1"/>
        <n v="404000140" u="1"/>
        <n v="203" u="1"/>
        <n v="68647714" u="1"/>
        <n v="252" u="1"/>
        <n v="68524853" u="1"/>
        <n v="68466961" u="1"/>
        <n v="68646674" u="1"/>
        <n v="68534549" u="1"/>
        <n v="50470100" u="1"/>
        <n v="84151549" u="1"/>
        <n v="204" u="1"/>
        <n v="253" u="1"/>
        <n v="68646586" u="1"/>
        <n v="557831" u="1"/>
        <n v="574978" u="1"/>
        <n v="574982" u="1"/>
        <n v="67279491" u="1"/>
        <n v="589111" u="1"/>
        <n v="576002" u="1"/>
        <n v="67551222" u="1"/>
        <n v="576006" u="1"/>
        <n v="205" u="1"/>
        <n v="68466966" u="1"/>
        <n v="50491119" u="1"/>
        <n v="254" u="1"/>
        <n v="50470104" u="1"/>
        <n v="67952534" u="1"/>
        <n v="84157802" u="1"/>
        <n v="67627146" u="1"/>
        <n v="67611015" u="1"/>
        <n v="547830" u="1"/>
        <n v="547832" u="1"/>
        <n v="52460005" u="1"/>
        <n v="578100" u="1"/>
        <n v="68661570" u="1"/>
        <n v="69629502" u="1"/>
        <n v="206" u="1"/>
        <n v="547856" u="1"/>
        <n v="400000386" u="1"/>
        <n v="255" u="1"/>
      </sharedItems>
    </cacheField>
    <cacheField name="Columna2" numFmtId="0">
      <sharedItems containsBlank="1" count="1137">
        <s v="ALC ARROZ GALL DORA PREC 400G (25)"/>
        <s v="ALC ARROZ MACAREN PREC 400G (25)"/>
        <s v="ALC ARROZ MOLINER BLANC 400G (25)"/>
        <s v="ALC ARROZ MACARE BLANC 400G (25)"/>
        <s v="KELL CORN FLAKES 28X150G (28)"/>
        <s v="KELL CHOCO KRISPIS 54X115G (54)"/>
        <s v="FOS FOSFOROS FOGATA 10x10"/>
        <s v="FOS FOSFOROS AGUILA 2X10X5"/>
        <s v="FOS Fosforos Propasa 10x10"/>
        <s v="XHC PFS MAX PODER VERDE 6X3X400G"/>
        <s v="XHC PFS MAX PODER BLANCO 6X3X400G"/>
        <s v="XHC PFS MAX MB BLANCA 6X3X500G"/>
        <s v="XHC PFS LIMPIOX AVENA DISCO 108G (72)"/>
        <s v="QUA SAVILOE 12X320ML(UNIDAD)"/>
        <s v="QUA SAVILOE 12X500ML (UNIDAD)"/>
        <s v="FOOD KNORR SOPA POLLO C/FIDEO 12X12X55G (144)"/>
        <s v="PONDS CR  50G S HUMECTANTE NUTRITIVA (24)"/>
        <s v="PONDS CR  50G C PEPINO (24)"/>
        <s v="AXE AERO VITTO DARK TEMPT 12X58G"/>
        <s v="ALC ORO MAY  HARIN MAIZ BLANC 800 (9)"/>
        <s v="ALC ARROZ ESTRELLA BLANCO 350G (25)"/>
        <s v="DIN MAZOLA MARGARINA BARRA 400gr (24)"/>
        <s v="XHC DIN ZIXX JAB BLANCO 400G (6)"/>
        <s v="XHC DIN VENZA JABON SABILA 110g (72)"/>
        <s v="REXONA STICK CLIN EXTRA DRY EXP 12X46G"/>
        <s v="REXONA STICK CLIN SPORT STRENGTH 12X46G"/>
        <s v="REXONA AERO POWER DRY 12X58G"/>
        <s v="FOOD MAIZENA F MAIZ NATURAL 20X20X45G (400)"/>
        <s v="SCH SEDAL CR PEIN KERAT 24X28X9ML"/>
        <s v="SCH SEDAL CR PEIN RIZ OBED 24X28X9ML"/>
        <s v="XHC XEDEX P MAXIMO PODER 31X115G"/>
        <s v="FOOD NATURAS SALSA TOMATE C/QUESO 96X90G"/>
        <s v="FOOD NATURAS SALSA TOMATE RANCHERA 96X90G"/>
        <s v="FOOD NATURAS JUMB SSA RANCH 24X90G"/>
        <s v="SEDAL SH 340 ML LISO PERFECTO (12)"/>
        <s v="ALD PIN POP SANDIA 16X24 (16)"/>
        <s v="ALD YOGUETA SURTIDA RELLENA 16X24  (15G)"/>
        <s v="ALD YOGUETA CHOCOCARAMEL 16X24 (15G)"/>
        <s v="ALD PIN POP ASSORTED 16X24 (15G)"/>
        <s v="ALD PIN POP KOLA 16X24 (15G)"/>
        <s v="ALD PIN POP PINTALENGUA 16X24 (15G)"/>
        <s v="ALD PIN POP X2 16X24 (15G)"/>
        <s v="ALD YOGUETA MILKY CARAMEL 16X24 (15G)"/>
        <s v="ALD PIN POP FRESA 16x24 (15G)"/>
        <s v="ALD PLAY GUSANOS 55g (24)"/>
        <s v="ALD PLAY CORAZONES 55g (24)"/>
        <s v="ARE SABUESO CACHORRO 40X420G"/>
        <s v="ARE SABUESO ADULTO 40X454G"/>
        <s v="BEST GALLETA MANI 24X12X20G (24)"/>
        <s v="BEST GALLETA FRESA 24X12X20G (24)"/>
        <s v="BEST BOTE CONITO CHOCOLATE 80u (12)"/>
        <s v="BEST BOTONETAS MANI 20X24X9G (20)"/>
        <s v="BEST BOTONETAS CHOCOLATE 20X24X9G (20)"/>
        <s v="BEST CHOCOFRUTA 50x350G"/>
        <s v="BYB CHILE JALAPEÑO SEMIPICANTE LATA 96/5.8oz"/>
        <s v="BYB CHILE JALAPEÑO PICANTE LATA 96/5.8oz"/>
        <s v="BYB MAYONESA CLASICA BOLSA 48/100g"/>
        <s v="BYB MAYONESA CLASICA BOLSA 48/200g"/>
        <s v="BYB MAYONESA CLASICA BOLSA 32/380g"/>
        <s v="BYB MOSTAZA BOLSA 48/100g"/>
        <s v="BYB MOSTAZA BOLSA 48/200g"/>
        <s v="BYB SALSA PICAMAS VERDE BOLSA 48/100g"/>
        <s v="BYB SALSA PICAMAS VERDE PLASTICO 48/100g"/>
        <s v="BYB SALSA SOYA PLASTICA 48/3.5oz"/>
        <s v="BYB VINAGRE CLARO 48/100ml"/>
        <s v="BYB VINAGRE CLARO 24/200ml"/>
        <s v="BYB VINAGRE CLARO GALÓN PLASTICO 4/3785ml"/>
        <s v="BEST CAFE BARISTA SOLUBLE 12X24X8g"/>
        <s v="DCASA HEINZ MELOCOTO FLEX 24X113G"/>
        <s v="DCASA MIRASOL MARG 24X5X80G"/>
        <s v="DCASA PAPEL ENCANTO MIL HOJAS ROLLO (24)"/>
        <s v="BONI SAVILOE UND 320ML (12)"/>
        <s v="BONI QUA SAVILOE FRUTOS ROJOS UND 500ML (12)"/>
        <s v="IQUI CLORO MAGICLOR POPULINO 1X12X6 235ML"/>
        <s v="IAK FUN C REFR MANZ 200ML TETR (24)"/>
        <s v="IAK FUN C REFR MELOC 200ML TETR (24)"/>
        <s v="IAK KERNS KETCHUP SCH 52GR (144)"/>
        <s v="IAK KERNS NECT MANZ TETR 24X250ml"/>
        <s v="IAK KERNS NECT MELOC TETR 24X250ml"/>
        <s v="IAK KERNS JUNIOR MANZ TETRA 200ml (24)"/>
        <s v="IAK KERNS JUNIOR MELOC TETR 200ml (24)"/>
        <s v="IAK DUCAL FRIJ NEGR DyP 8oz (24)"/>
        <s v="IAK DUCAL FRIJ NEGR DyP 14.1oz (18)"/>
        <s v="IAK KERNS COCT VEGET 1 LT TETR (12)"/>
        <s v="IAK KERNS 330ml COCTEL VEGETALES  (24)"/>
        <s v="IAK DUCAL FRIJ NEGR DyP 28oz (12)"/>
        <s v="IAK DUCAL BEB TETR MELOC 200ml (24)"/>
        <s v="IAK KERNS 330ml NECT MELOCOTON (24)"/>
        <s v="IAK KERNS 330ml NECT MANZANA  (24)"/>
        <s v="IAK KERNS TE DURAZNO 2500ml (6)"/>
        <s v="IAK GOYA MAIZ ENTERO 15.25 ONZ (24)"/>
        <s v="IAK KERNS 154mL COCTEL VEGETALES (48)"/>
        <s v="IAK DUCAL FRIJ NEGR DyP 4oz (24)"/>
        <s v="IAK DUCAL FRIJ NEGR LAT 29oz (12)"/>
        <s v="IAK DUCAL FRIJ NEGR LAT 10.5oz (48)"/>
        <s v="IAK DUCAL FRIJ NEGR LAT 5.5oz (48)"/>
        <s v="IAK KERNS PASTA TOMATE LATA 48X6oz"/>
        <s v="IAK KERNS 330ml NECT PERA (24)"/>
        <s v="IAK KERNS 330ml NECT PIÑA (24)"/>
        <s v="IAK DUCAL FRIJ NEGR LAT 15oz (24)"/>
        <s v="NSK BIC ENCENDEDOR MINI J5 (75)"/>
        <s v="NSK FABULOSO CITRIC Y FRU 1X6X12U/80ML"/>
        <s v="NSK FABULOSO LAVANDA 1X6X12U/80ML"/>
        <s v="NSK SUAVITEL AROM D SOL 1X6X12U/80ML"/>
        <s v="NSK SUAVITEL COMPL PRIMAV 1X6X12 U"/>
        <s v="NSK COLGATE DOBLE FRESCURA 150ML (72)"/>
        <s v="NSK TAJIN CLASICO TIRA  DE 12 SCH (44T)"/>
        <s v="NSK LAV POTENSOL MARQUETA 215g (42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BEST CHOCOPANDA CHOCOLATE 25X12X14G"/>
        <s v="QUA JUGOS YA JAMAICA 10X15X18 FIT"/>
        <s v="QUA JUGOS YA MORA 10X15X18 FIT"/>
        <s v="QUA JUGOS YA DURAZNO 10X15X18 FIT"/>
        <s v="QUA JUGOS YA HORCHATA 10X15X18 FIT"/>
        <s v="QUA JUGOS YA NARANJA 10X15X18 FIT"/>
        <s v="QUA YUS TAMARINDO 9X15X28g"/>
        <s v="SCH QUA NUTRIBELA HIALURONICO 48X6X27ML"/>
        <s v="QUA SAVILOE FRUTOS ROJOS 12X500ML"/>
        <s v="TERMO GABACHA #1 (26)"/>
        <s v="TERMO BOLSA DE BASURA NEGRA 24X35 (100)"/>
        <s v="KELL CORN FLAKES 16X500 (16)" u="1"/>
        <s v="FOS PALILLOS MADERA 12X12X250u" u="1"/>
        <s v="FOS FOSFOROS CABALLO ROJO 24x10" u="1"/>
        <s v="FOS FOSFOROS FOGATA ECO 12X10" u="1"/>
        <s v="XHC PFS MAX PODER AZUL  6X3X400G" u="1"/>
        <s v="XHC PFS MAX PODER ROSADO 6X3X400G" u="1"/>
        <s v="XHC PFS MAX PODER NARANJA 6X3X400G" u="1"/>
        <s v="XHC PFS MAX PODER AMARILLO 6X3X400G" u="1"/>
        <s v="XHC PFS MAX BLANC/AZUL DUOX 6X3X400G" u="1"/>
        <s v="XHC PFS MAX MB NARANJA 6X3X500G" u="1"/>
        <s v="XHC PFS MAX MB BLANC/NARAN DUOX 6X3X500G" u="1"/>
        <s v="XHC PFS LIMPIOX CILINDRO ALOE 18X320G" u="1"/>
        <s v="REXONA AERO BAMBOO 12X90G" u="1"/>
        <s v="REXONA AERO V8 12X90G" u="1"/>
        <s v="DIN MAZOLA ACEITE  BOT 32onz (12)" u="1"/>
        <s v="DIN MAZOLA ACEITE DYP 400ml (24)" u="1"/>
        <s v="DIN MAZOLA ACEITE DYP 700ml (18)" u="1"/>
        <s v="XHC DIN ZIXX JAB ROSADO 400G (6)" u="1"/>
        <s v="XHC DIN ZIXX JAB LILA 400G (6)" u="1"/>
        <s v="XHC DIN ZIXX JAB AVENA 400G (6)" u="1"/>
        <s v="FOOD MAIZENA ALMIDON MAIZ NATURAL 40X375G" u="1"/>
        <s v="FOOD MAIZENA ALMIDON MAIZ NATURAL 80X185G" u="1"/>
        <s v="SCH SEDAL CR LISO PERFECTO 24X28X9ML" u="1"/>
        <s v="FOOD NATURAS SALSA TOMATE C/CARNE 96X90G" u="1"/>
        <s v="SEDAL SH 340 ML RIZOS DEFINIDOS (12)" u="1"/>
        <s v="ALD PIN POP MANGO 16X24 (15G)" u="1"/>
        <s v="ALD PIN POP THE MOST WANTED 16X24 (15G)" u="1"/>
        <s v="ALD MASTI MINT 16X100 (4G)" u="1"/>
        <s v="ARE SABUESO ADULTO 100 LBS" u="1"/>
        <s v="BEST CHOCOGOL DYP 50X15X4g (50)" u="1"/>
        <s v="BEST CHOCOFRUTA 10X1400G (10)" u="1"/>
        <s v="BYB CHILE JALAPEÑO PICANTE BOLSA 12/320g" u="1"/>
        <s v="BYB CHILE JALAPEÑO SEMIPICANTE BOLSA 12/320g" u="1"/>
        <s v="BYB MERMELADA DE FRESA DOY PACK 24/200g" u="1"/>
        <s v="BYB MERMELADA DE FRESA VASO 12/260g" u="1"/>
        <s v="BYB MERMELADA DE MORA VASO 12/260g" u="1"/>
        <s v="BYB MERMELADA DE PIÑA VASO 12/260g" u="1"/>
        <s v="BYB MAYONESA CLASICA BOLSA 16/880g" u="1"/>
        <s v="BYB SALSA PICAMAS ROJA PLASTICO 48/100g" u="1"/>
        <s v="BYB SALSA T/KETCHUP ALMOHADITA 48/110g" u="1"/>
        <s v="BYB SALSA INGLESA PLASTICA 48/3.5onz" u="1"/>
        <s v="BYB SALSA SOYA PLASTICA 24/152 ml" u="1"/>
        <s v="BYB VINAGRE CLARO 24/360ml" u="1"/>
        <s v="BYB SALSA BARBACOA SQUEZZE PLASTICO 24/14oz" u="1"/>
        <s v="BYB SALSA BARBACOA 4/4,400g" u="1"/>
        <s v="DCASA PAPEL ENCANTO GDE. 1X12X4 (12)" u="1"/>
        <s v="DCASA HEINZ BANANO FLEX 24X113G" u="1"/>
        <s v="DCASA GELATINA POLVO UVA 28X400g" u="1"/>
        <s v="DCASA GELATINA POLVO FRESA 28X400g" u="1"/>
        <s v="DCASA GELATINA POLVO NARANJA 28X400g" u="1"/>
        <s v="DCASA GELATINA POLVO CHICLE 28X400g" u="1"/>
        <s v="XHC DIN ROKU JAB AMARILLO 375G (4)" u="1"/>
        <s v="XHC DIN ROKU JAB AQUA 375G (4)" u="1"/>
        <s v="DM ESPONJAS (5XBOLSA)" u="1"/>
        <s v="BONI NSK ROLLO PAPEL HIGIENICO" u="1"/>
        <s v="BONI QUA FRIJOL NEGRO LAT 5.5 OZ (48)" u="1"/>
        <s v="IAK DUCAL FRIJ ROJO DyP 8oz (24)" u="1"/>
        <s v="IAK KERNS KETCHUP 24X375gr PET" u="1"/>
        <s v="IAK DUCAL BEB ALUMIN MELOC 330ml (24)" u="1"/>
        <s v="IAK DUCAL BEB ALUMIN PIÑA 330ml (24)" u="1"/>
        <s v="IAK DUCAL BEB TETR MANZ 200ml (24)" u="1"/>
        <s v="IAK DUCAL BEB ALUMIN MANZ 330ml (24)" u="1"/>
        <s v="IAK DUCAL FRIJ ROJO PICANT DyP 8oz (24)" u="1"/>
        <s v="IAK KERNS TE LIMON 2500ML (6)" u="1"/>
        <s v="IAK DUCAL FRIJ NEGR DyP 96oz (6)" u="1"/>
        <s v="IAK DUCAL FRIJ CARNICOS LAT 5 oz (48)" u="1"/>
        <s v="IAK KERNS KETCHUP SALSA GALON (3)" u="1"/>
        <s v="NSK BIC ENCENDEDOR J6 MAXI (75)" u="1"/>
        <s v="NSK VANISH PINK 6X12 U" u="1"/>
        <s v="NSK VANISH WHITE 6X12 U" u="1"/>
        <s v="NSK AZISTIN LAVANDA 1X6X12U/80ML" u="1"/>
        <s v="NSK JABON PROTEX BALANCE 110GR (96)" u="1"/>
        <s v="NSK JABON PROTEX ALOE 110GR (96)" u="1"/>
        <s v="NSK JABON PROTEX FRESH 110GR (96)" u="1"/>
        <s v="NSK JABON PROTEX AVENA 110GR (96)" u="1"/>
        <s v="NSK LAV POTENSOL CIL 400g (20)" u="1"/>
        <s v="NSK AZISTIN MANZANA 1X6X12U/80ML" u="1"/>
        <s v="NSK COLGATE KIT DE CEPILL 1X24TXTIRA 6UNDS" u="1"/>
        <s v="NSK AZISTIN ALTERNATIVO CLORO 1X6X12U/80ML" u="1"/>
        <s v="QUA FRUTY FRESCO 9+9 (8)" u="1"/>
        <s v="BEST BOTE CHOCOGOL 150u (12)" u="1"/>
        <s v="QUA JUGOS YA FRESA 10X15X18 FIT" u="1"/>
        <s v="QUA JUGOS YA PINA 10X15X18 FIT" u="1"/>
        <s v="QUA JUGOS YA GUANABA 10X15X18 FIT" u="1"/>
        <s v="QUA JUGOS YA LIMON 10X15X18 FIT" u="1"/>
        <s v="QUA JUGOS YA MANGO 10X15X18 FIT" u="1"/>
        <s v="QUA YUS FRESA 9X15X28g" u="1"/>
        <s v="QUA YUS JAMAICA 9X15X28g" u="1"/>
        <s v="QUA YUS NARANJA 9X15X28g)" u="1"/>
        <s v="QUA YUS LIMONADA CON CHAN 9X15X28g" u="1"/>
        <s v="QUA YUS FRUTAS TROPICALES 9x15x28g" u="1"/>
        <s v="QUA NUTRIBELA TARRO 12X300ml" u="1"/>
        <s v="SCH QUA NUTRIBELA TRAT CAP 24X12X27ML" u="1"/>
        <s v="TERMO BOLSA COLOR 5 Lbs (46)" u="1"/>
        <s v="TERMO BOLSA COLOR 2 Lbs (70)" u="1"/>
        <s v="YAES SAL DE MESA REFINADA 25/400G" u="1"/>
        <s v="KELL CHOCO KRISPIS MINI SCH 5X12X22G (5)" u="1"/>
        <s v="QUA BONTEA MANZANA 10X12X30G" u="1"/>
        <s v="FOS ENCENDEDOR FRAGATA MINI 40X25" u="1"/>
        <s v="XHC PFS MAX BLANC/VERDE DUOX 6X3X400G" u="1"/>
        <s v="XHC PFS MAX PODER LILA 6X3X400G" u="1"/>
        <s v="XHC PFS MAX MB BLANC/VERD DUOX 6X3X500G" u="1"/>
        <s v="ALC ORO MAY HARIN MAIZ BLANC 50LBS (1)" u="1"/>
        <s v="ALC ORO MAY HARIN MAIZ BLANC 400G (20)" u="1"/>
        <s v="ALC ARROZ ESTRELLA PRECO 350G (25)" u="1"/>
        <s v="DIN MAZOLA MANTECA 1LB (50)" u="1"/>
        <s v="XHC DIN ZIXX JAB VERDE 400G (6)" u="1"/>
        <s v="XHC DIN ZIXX JAB AZUL 400G (6)" u="1"/>
        <s v="XHC DIN ZIXX JAB AMARILLO 400G (6)" u="1"/>
        <s v="FOOD HELLMANNS MAY DP 12X190G" u="1"/>
        <s v="FOOD KNORR SOPA COST CRIOL C/FID 12X12X55G (144)" u="1"/>
        <s v="BEST GALLETA CHOCOLATE 24X12X20G (24)" u="1"/>
        <s v="BEST CHOCOFRUTA TABLETA 32X300G" u="1"/>
        <s v="BYB CONCENTRADO DE HORCHATA 12/678 ml" u="1"/>
        <s v="BYB MAYONESA CLASICA BOLSA 4/3000g" u="1"/>
        <s v="BYB SALSA PICAMAS VERDE JUMBO PLASTICO 24/19oz" u="1"/>
        <s v="BYB VINAGRE CLARO BOTE LARGO 12/750ml" u="1"/>
        <s v="BYB CHEEZ DIP DOY PACK 12/200g" u="1"/>
        <s v="DCASA HEINZ PERA FLEX 24X113G" u="1"/>
        <s v="DCASA GELATINA POLVO PIÑA 28X400g" u="1"/>
        <s v="DCASA GELATINA POLVO LIMON 28X400g" u="1"/>
        <s v="XHC DIN ROKU JAB SALMON 375G (4)" u="1"/>
        <s v="DM ESCOBA FLASH FIBER (UNIDAD)" u="1"/>
        <s v="IAK DUCAL FRIJ CHUB ROJO ENT 1.82kgs (6)" u="1"/>
        <s v="IAK DUCAL FRIJ CHUB NEGR ENT 1.82kgs (6)" u="1"/>
        <s v="IAK KERNS KETCHUP 776gr PET (12)" u="1"/>
        <s v="IAK KERNS COCT VEGET ALMEJA 1LT (12)" u="1"/>
        <s v="IAK KERNS 330ml COCTEL VEGETALES ALMEJA  (24)" u="1"/>
        <s v="IAK KERNS PASTA TOMATE 4 Oz DyP (48)" u="1"/>
        <s v="NSK LAV DOÑA BLANCA CIL 400g (20)" u="1"/>
        <s v="NSK BIC RASURADORA SHAVER SENS 24 (48)" u="1"/>
        <s v="NSK LAV AXION TARRO 235g (48)" u="1"/>
        <s v="NSK BIC BOLIGRAFO NEGRO 12 (100)" u="1"/>
        <s v="NSK BIC BOLIGRAFO AZUL 12 (100)" u="1"/>
        <s v="NSK SUAVITEL ROSADO 6X12X80ML" u="1"/>
        <s v="UNS OSITO MIEL QUEENBEE 340gr (24)" u="1"/>
        <s v="QUA YUS PIÑA 9X15X28g" u="1"/>
        <s v="QUA TOKI SURTIDO 25X24X8G" u="1"/>
        <s v="YAES MUCHO NACHO ROSTIZADO 180G (8)" u="1"/>
        <s v="YAES MUCHO NACHO BARBACOA 16X12X17gr" u="1"/>
        <s v="YAES MUCHO NACHO QUESO 16X12X17gr" u="1"/>
        <s v="YAES MUCHO NACHO VERDE 16X12X17gr" u="1"/>
        <s v="YAES ROSTIZADOR EMPAN POLLO 90G (100)" u="1"/>
        <s v="QUA BONTEA DURAZNO 10X12X30G" u="1"/>
        <s v="FOS FOSFOROS MADERA GALLO 10X10" u="1"/>
        <s v="XHC PFS MAX BLANC/NARAN DUOX 6X3X400G" u="1"/>
        <s v="DIN MAZOLA MARGARINA  AJO/HIERBAS 400GR (24)" u="1"/>
        <s v="XHC DIN VENZA JABON AVENA 110g (72)" u="1"/>
        <s v="DIN SOPA ISSIMA POLLO (12)" u="1"/>
        <s v="REXONA AERO V8 12X58G" u="1"/>
        <s v="XHC XEDEX MAX POD LIMON 13X800G" u="1"/>
        <s v="ALD YOGUETA MILK 16X24 (15G)" u="1"/>
        <s v="ALD PLAY GUSANOS AZUCARADOS JARRA 6X200 (3G)" u="1"/>
        <s v="ALD PIN POP ICE 16X24 (15G)" u="1"/>
        <s v="ALD PLAY TORTU SPLASH 55g (24)" u="1"/>
        <s v="ALD PLAY BANANAS 55g (24)" u="1"/>
        <s v="ALD PLAY TIBURONES 55g (24)" u="1"/>
        <s v="BYB CONCENTRADO DE TAMARINDO 24/225 ml" u="1"/>
        <s v="BYB MANTEQUILLA DE MANI VASO 24/245g" u="1"/>
        <s v="BYB SALSA T/KETCHUP ALMOHADITA 48/215g" u="1"/>
        <s v="DCASA HEINZ FRUTA MIX FLEX 24X113G" u="1"/>
        <s v="DCASA HEINZ POSTRE  FLEX 24X113G" u="1"/>
        <s v="ENV AGUA PURIFICADA SCANDIA 12X600ML" u="1"/>
        <s v="BONI PROMOV" u="1"/>
        <s v="BONI DIN SALSA ISSIMA RANCHERA 106g (96)" u="1"/>
        <s v="IAK DUCAL BEB ALUMIN PERA 330ml (24)" u="1"/>
        <s v="QUA YUS TE FRIO DURAZNO 9X15X28g" u="1"/>
        <s v="TERMO GABACHA #2 (12)" u="1"/>
        <s v="ALD BIAGI CARAMELO 16X100" u="1"/>
        <s v="ALD PIN POP BLACK CHERRY 16X24 (15G)" u="1"/>
        <s v="AXE AERO BS DARK TEMPT 12X97G" u="1"/>
        <s v="BEST GALLETA CHAPETIN 24X12 (24)" u="1"/>
        <s v="BONI BANCO PLASTICO" u="1"/>
        <s v="BONI IAK VASO PLASTICO KERNS" u="1"/>
        <s v="DCASA HEINZ CIRUELA/PASAS FLEX 24X113G" u="1"/>
        <s v="IAK BAMB DAIQUIRI FRESA 350ml LT (24)" u="1"/>
        <s v="NSK BIC ENCENDEDOR HANDY P/ESTUFA (90)" u="1"/>
        <s v="NSK BIC ENCENDEDOR MAXI J6 5+1 (60)" u="1"/>
        <s v="NSK BIC RASURADORA CONFORT 2 12 (48)" u="1"/>
        <s v="NSK COLGATE DOBLE FRESC 75ML+CEPIL (72)" u="1"/>
        <s v="NSK TAJIN CLASICO POLVO BOTE 142G (24)" u="1"/>
        <s v="QUA YUS SABILA 9X15X28G" u="1"/>
        <s v="REXONA ROLLON BAMBOO 6X30ML" u="1"/>
        <s v="REXONA ROLLON V8 6X30ML" u="1"/>
        <s v="XHC PFS MAX PODER ALOE 6X3X400G" u="1"/>
        <s v="FOOD HELLMANNS MAY DP 12X380G" u="1"/>
        <s v="FOOD MAIZENA F MAIZ  FRESA 16X12X45G (192)" u="1"/>
        <s v="FOOD MAIZENA F MAIZ VAINILLA 16X12X45G (192)" u="1"/>
        <s v="XHC XEDEX MAX POD FRUTOS BOSQUE 13X800G" u="1"/>
        <s v="IAK KERNS TETRA NECT MELOC 1000ml (12)" u="1"/>
        <s v="IAK KERNS TETRA NECT FRUTAS 1000ml (12)" u="1"/>
        <s v="KELL CHOCO KRISPIS 28X290G (28)" u="1"/>
        <s v="KELL CHOCO KRISPIS 24X620G (24)" u="1"/>
        <s v="QUA BONTEA LIMON 10X12X30G" u="1"/>
        <s v="FOOD HELLMANNS MAY DP 12X100G" u="1"/>
        <s v="PONDS CR 100G S HUMECTANTE NUTRITIVA (24)" u="1"/>
        <s v="FOOD NATURAS SALSA TOMATE ITALIANA 96X90G" u="1"/>
        <s v="ALD YOGUETA COOKIES &amp; CREAM 16X24 (15G)" u="1"/>
        <s v="BYB CONCENTRADO DE HORCHATA 24/225 ml" u="1"/>
        <s v="BYB MIEL DE MAPLE GARRAFA 24/330 ml" u="1"/>
        <s v="BYB SALSA PICAMAS VERDE BOLSA 32/454g" u="1"/>
        <s v="BONI ARE PLATO SABUESO" u="1"/>
        <s v="BONI ARE MOCHILA SABUESO" u="1"/>
        <s v="IAK DUCAL FRIJ CARNICOS LAT 14oz (24)" u="1"/>
        <s v="IAK DUCAL FRIJ ROJO LAT 29oz (12)" u="1"/>
        <s v="YAES GUENOS BARBACOA 4X12X20gr" u="1"/>
        <s v="KELL ZUCARITAS 28X260G (28)" u="1"/>
        <s v="PORFIN MARGARINA ORISOL 400gr (24)" u="1"/>
        <s v="FOS ENCENDEDOR FRAGATA 40x25" u="1"/>
        <s v="XHC PFS CENTELLA CHIBOLONA BLANCA 4X3X375G" u="1"/>
        <s v="XHC PFS CENTELLA CHIBOLONA AZUL 4X3X375G" u="1"/>
        <s v="BYB CONCENTRADO DE JAMAICA 12/678 ml" u="1"/>
        <s v="BYB CONCENTRADO DE NARANJA 12/678 ml" u="1"/>
        <s v="BYB MAYONESA CLASICA ALMOHADITA 48/100g" u="1"/>
        <s v="DCASA HEINZ MANZANA FLEX 24X113G" u="1"/>
        <s v="IPR LOZANO MANZANA 500ML (12)" u="1"/>
        <s v="IPR LOZANO UVA 500ML (12)" u="1"/>
        <s v="IAK DUCAL FRIJ NEGR DyP 40oz (12)" u="1"/>
        <s v="IAK KERNS TETRA NECT MANZ 1000ml (12)" u="1"/>
        <s v="QUA YUS HORCHATA 9X15X28g" u="1"/>
        <s v="YAES MUCHO NACHO SALSA DE QUESO 105 G (30)" u="1"/>
        <s v="ALC ORO MAY HARIN MAIZ BLANC 5LB (6)" u="1"/>
        <s v="XHC PFS CENTELLA CHIBOLONA VERDE 4X3X375G" u="1"/>
        <s v="XHC PFS CENTELLA CHIBOLONA AMARILLA 4X3X375G" u="1"/>
        <s v="XHC PFS LIMPIOX CILINDRO AVENA 18X320G" u="1"/>
        <s v="AXE AERO BS COLLISION 12X97G" u="1"/>
        <s v="SCH DOVE SH HIDRA Y SUAVI (ANTICASPA) 24X28X10ML" u="1"/>
        <s v="FOOD NATURAS SSA TOMATE RANCHERA 24X200G" u="1"/>
        <s v="ARE SABUESO CACHORRO 44 LBS" u="1"/>
        <s v="BYB SALSA PICAMAS VERDE BOLSA 48/223g" u="1"/>
        <s v="IAK DUCAL BEB HOJALAT MANZ 154ml (48)" u="1"/>
        <s v="IAK DUCAL BEB HOJALAT MELOC 154ml (48)" u="1"/>
        <s v="IAK BAMB PIÑA COLADA 350ml LATA (24)" u="1"/>
        <s v="IAK DUCAL FRIJ ROJO LAT 5.5oz (48)" u="1"/>
        <s v="NSK COLGATE TRIP ACCION 75 ML+CEPIL (72)" u="1"/>
        <s v="QUA YUS DURAZNO 9X15X28g" u="1"/>
        <s v="YAES MUCHO NACHO ROSTIZADO 390G (12)" u="1"/>
        <s v="KELL FROOT LOOPS 28X180G (28)" u="1"/>
        <s v="XHC PFS CENTELLA CHIBOLONA AVENA 4X3X375G" u="1"/>
        <s v="XHC DIN ZIXX JAB AQUA 400G (6)" u="1"/>
        <s v="EGO GEL CONTROL CAIDA 12X450ML" u="1"/>
        <s v="SCH SEDAL SH HIALURONICO Y VIT C 24X28X15ML" u="1"/>
        <s v="ALD SONETTO SURTIDO 16X100 (4G)" u="1"/>
        <s v="BYB SALSA INGLESA PLASTICA 24/152 ml" u="1"/>
        <s v="ALC CR AVEN HOJUELA 12U 300g" u="1"/>
        <s v="EGO GEL POWER 4x6x200 ML+5 SCH" u="1"/>
        <s v="AXE AERO BS EXCITE 12X97G" u="1"/>
        <s v="AXE AERO BS FUSION 12X97G" u="1"/>
        <s v="AXE AERO BS ICE CHILL 12X97G" u="1"/>
        <s v="SCH DOVE SH OLEO NUTRI 24X28X10ML" u="1"/>
        <s v="FOOD HELLMANNS  MAY DYP 12X190G" u="1"/>
        <s v="XHC XEDEX DESIN LAVANDA DYP 24X425ML" u="1"/>
        <s v="BYB CONCENTRADO DE MORA 12/678 ml" u="1"/>
        <s v="BONI UL PALANGANA" u="1"/>
        <s v="NSK LAV DOÑA BLANCA CIL TIRA 170g (6)" u="1"/>
        <s v="QUA YUS LIMONADA 9X15X28g" u="1"/>
        <s v="YAES VINAGRE MANZANA CLEMEN 500ml (24)" u="1"/>
        <s v="FOOD KNORR SOPA GAL C/ARROZ CHIP 12X12X55G (144)" u="1"/>
        <s v="DOVE AERO CUIDADO TOTAL 12X89G" u="1"/>
        <s v="XHC XEDEX DESIN CITRICOS DYP 24X425ML" u="1"/>
        <s v="BYB VINAGRE CLARO 24/500ml" u="1"/>
        <s v="BONI IAK CUCHARON PLASTICO" u="1"/>
        <s v="ALD COMODATO EXHIBIDOR PIN POP" u="1"/>
        <s v="BONI ARE PALITA SABUESO" u="1"/>
        <s v="BONI BIC 1 PAR DE RASURADORA CONFORT 2" u="1"/>
        <s v="IAK KERNS TE FRAMBUES 2500ml (6)" u="1"/>
        <s v="NSK LAV AXION LIMON TIRA 115g (6)" u="1"/>
        <s v="XHC DIN VENZA JABON FRESCURA EXTR 110g (72)" u="1"/>
        <s v="AXE AERO BS APOLLO 12X97G" u="1"/>
        <s v="BONI DIN MARGARINA MAZOLA 400G (24)" u="1"/>
        <s v="UL CR RIZOS 3 SACHET" u="1"/>
        <s v="BONI YAES CHARROS SALSA ROJA" u="1"/>
        <s v="IAK DUCAL BEB TETR  PIÑA 200ML (24)" u="1"/>
        <s v="UNS BOMBILLO LED 9 WATTS (50)" u="1"/>
        <s v="YAES ROSTIZADOR BOLSA 453G (24)" u="1"/>
        <s v="FOOD HELLMANNS MAY DYP 12X100G" u="1"/>
        <s v="REXONA STICK AP SPORFAN 12X50G" u="1"/>
        <s v="FOOD NATURAS SALSA SABOR POLLO 96X100G" u="1"/>
        <s v="IAK DUCAL BEB HOJALAT PIÑA 154ml (48)" u="1"/>
        <s v="UNS BOMBILLO LED 12 WATTS (50)" u="1"/>
        <s v="QUA YUS GUANABA 9X15X28g)" u="1"/>
        <s v="SCH SEDAL SH CERAMIDAS 24X28X10ML" u="1"/>
        <s v="SCH DOVE SUPER AC 60 20X12X12ML (20)" u="1"/>
        <s v="ARE SABUESO ADULTO 50 LBS" u="1"/>
        <s v="IAK DUCAL FRIJ CARNICOS LAT 28oz (12)" u="1"/>
        <s v="IAK DE MI TIERRA FRIJ VOLT NEGRO 35OZ DP (12)" u="1"/>
        <s v="REXONA STICK FM ANTIBAC  INVISIBLE 12X50G" u="1"/>
        <s v="REXONA AERO WOMAN TONO PERFECTO 12X90G" u="1"/>
        <s v="REXONA STICK WOMAN ANTIBAC FRESH 12X50G" u="1"/>
        <s v="ARE SABUESO ADULTO 44 LBS" u="1"/>
        <s v="XHC DIN ZIXX JAB COCO 400G (6)" u="1"/>
        <s v="IPR LOZANO MANZANA 3.2L (6)" u="1"/>
        <s v="IPR LOZANO UVA 3.2L (6)" u="1"/>
        <s v="YAES EMPANIZADOR SUKOCINERA 30X6X50G (180)" u="1"/>
        <s v="KELL FROOT LOOPS MINI SCH 5X12X15G (5)" u="1"/>
        <s v="ALC CR AVEN MOLIDA 12U 300g" u="1"/>
        <s v="EGO GEL POWER 4X6X110ML" u="1"/>
        <s v="XHC DOVE JAB CUIDA PROTEGE 48X90G" u="1"/>
        <s v="FOOD HELLMANNS MOST DYP 12X100G" u="1"/>
        <s v="EGO GEL ATTRAC 4X6X110ML" u="1"/>
        <s v="BYB CONCENTRADO DE TAMARINDO 12/678 ml" u="1"/>
        <s v="BONI PD EXHIBIDOR PEDIALYTE" u="1"/>
        <s v="XHC UNS DETERGENTE PURO SOL 250gr (40)" u="1"/>
        <s v="YAES FLAMAS CHILE LIMON 16X12X17gr" u="1"/>
        <s v="YAES ROSTIZADOR MARISCO 100G (24)" u="1"/>
        <s v="KELL ZUCARITAS MINI SCH 5X12X20G" u="1"/>
        <s v="DIN MAZOLA MARGARINA LIGHT 400GR (24)" u="1"/>
        <s v="DIN SOPA ISSIMA POLLO CON CHILE (12)" u="1"/>
        <s v="BYB MOSTAZA BOLSA 32/390g" u="1"/>
        <s v="NSK SUAVITEL COMPL PRIMAV 1X2X36UNDS+6UNDS" u="1"/>
        <s v="XHC PFS CENTELLA CAMPEON VERDE 6X4X330G" u="1"/>
        <s v="XHC PFS LIMPIOX CILINDRO LIMON 18X320G" u="1"/>
        <s v="PONDS POLVO COMP PIEL CLARA 16X12G" u="1"/>
        <s v="PONDS POLVO COMP AF NATURAL2 16X12G" u="1"/>
        <s v="PONDS POLVO COMP AF CARIBE 16X12G" u="1"/>
        <s v="QUA YUS TE FRIO FRAMBUESA 9X15X28g" u="1"/>
        <s v="XHC DIN VENZA JABON VITAMINA E 110g (72)" u="1"/>
        <s v="XHC XEDEX DESIN LAVANDA DYP 12X750ML" u="1"/>
        <s v="FOOD NATURAS SALSA TOMATE JALAPENO 96X90G" u="1"/>
        <s v="UNS CAR MENTOLADO JAAZZ CLOROFILA 100und (30)" u="1"/>
        <s v="DOVE MINIROLLON ORIGINAL 6X30ML" u="1"/>
        <s v="SCH SEDAL SH NEGRO LUM 24X28X10ML" u="1"/>
        <s v="FOOD NATURAS SSA TOMATE QUESO 24X200G" u="1"/>
        <s v="BONI YAES CHARROS SALSA VERDE" u="1"/>
        <s v="XHC XEDEX DESIN CITRICOS DYP 12X750ML" u="1"/>
        <s v="FOOD MAIZENA FECULA BAN/FRESA/VAIN 16X12X45G" u="1"/>
        <s v="BYB CONCENTRADO DE HORCHATA DISPLAY 6/12u" u="1"/>
        <s v="BONI IAK DUCAL FRIJ DyP 4oz (24)" u="1"/>
        <s v="BONI NSK SPAGHETTI 60x200G" u="1"/>
        <s v="UNS EXTENSION DOMESTICA SPT  6MTS" u="1"/>
        <s v="UNS EXTENSION DOMESTICA SPT  8MTS" u="1"/>
        <s v="TERMO BOLSA TRANSPARENTE 5 Lbs (20)" u="1"/>
        <s v="TERMO PAJILLA TRANSPARENTE (50)" u="1"/>
        <s v="REXONA STICK MEN ANTIBAC 12X50G" u="1"/>
        <s v="PONDS CR 100G  C PEPINO (24)" u="1"/>
        <s v="REXONA STICK MEN V8 12X50G" u="1"/>
        <s v="PONDS CR 50G CLARANT B3 GRASA (24)" u="1"/>
        <s v="PONDS CR 50G CLARANT B3 SECA (24)" u="1"/>
        <s v="FOS PALITO CHOCOBANANO EL SOL 36X150u" u="1"/>
        <s v="BONI IAK KERNS COCTEL VEGETALES 157ML" u="1"/>
        <s v="YAES GUENOS LIMON 4X12X20gr" u="1"/>
        <s v="FOS CERILLO GALLO 10X10" u="1"/>
        <s v="ALD FRUNAS BARRA 18X50 (8,3)" u="1"/>
        <s v="DCASA GELATINA POLVO MELOC.28X400g" u="1"/>
        <s v="DCASA GELATINA POLVO FRAMB.28X400g" u="1"/>
        <s v="QUA JUGOS YA FRUTAS TROPICALES 10X15" u="1"/>
        <s v="BYB CONCENTRADO DE TAMARINDO DISPLAY 6/12u" u="1"/>
        <s v="BONI IAK FUN C TETRA MANZANA 200ML" u="1"/>
        <s v="BONI IAK FUN C TETRA MELOCOTON 200ML" u="1"/>
        <s v="TERMO GABACHA MINI/PIWI (26)" u="1"/>
        <s v="DOVE AERO AP COCO 12X87G" u="1"/>
        <s v="BYB MAYONESA CLASICA BOLSA 8/1500g" u="1"/>
        <s v="UNS BOMBILLO LED 9 Watt" u="1"/>
        <s v="BYB CONCENTRADO DE TAMARINDO 4/3785 ml" u="1"/>
        <s v="SCH QUA NUTRIBELA 10 48X6X27ML" u="1"/>
        <s v="AXE AERO AP COLLISION 12X90G" u="1"/>
        <s v="ALD BIAGI CAFE 16X100" u="1"/>
        <s v="IAK KERNS JUNIOR PERA TETR 200ml (24)" u="1"/>
        <s v="QUA FRUTY FRESCO 6+6 (12)" u="1"/>
        <s v="UNS GALLE CAFE COFFEE JOY 6x18x45gr" u="1"/>
        <s v="UNS BOMBILLO LED 12 Watt" u="1"/>
        <s v="AXE AERO BS GOLD TEMPTATION 12X97G" u="1"/>
        <s v="EGO GEL CONTROL CAIDA 24X230ML (24)" u="1"/>
        <s v="XHC XEDEX MAX POD FRUTOS BOSQUE 30X400G" u="1"/>
        <s v="IPR MERMELADA MANZANA 12OZ (24)" u="1"/>
        <s v="UNS GOMA DE MASCAR TUMIX MENTA 30x110x1.4g" u="1"/>
        <s v="DIN SOPA ISSIMA CAMARON (12)" u="1"/>
        <s v="AXE AERO AP ICE CHILL 12X88G" u="1"/>
        <s v="DOVE AERO INVISIBLE DRY WOMAN 12X89G" u="1"/>
        <s v="DOVE AERO INVISIBLE DRY MEN 12X89G" u="1"/>
        <s v="DOVE AERO AP CALENDULA 12X87G" u="1"/>
        <s v="DOVE AERO ORQUIDEA 12X87G" u="1"/>
        <s v="BONI SAVILOE UND 12X320ML" u="1"/>
        <s v="IAK GOYA MAIZ ENTERO 8.75 ONZ (24)" u="1"/>
        <s v="DOVE AERO ORIGINAL 12X89G" u="1"/>
        <s v="SCH SEDAL CR PEIN KERAT 24X28X10ML" u="1"/>
        <s v="DOVE STICK CUIDADO TOTAL 12X50G" u="1"/>
        <s v="DIN ISSIMA MARGARINA 400gr (24)" u="1"/>
        <s v="AXE AERO BS EPIC FRESH 12X97G" u="1"/>
        <s v="XHC XEDEX P MULTIACCION 15X900G" u="1"/>
        <s v="SCH SEDAL SH NEGRO LUMINOSO 24X28X9ML" u="1"/>
        <s v="BONI ALD EXHIBIDOR RISTRA DE 5 GANCHERAS" u="1"/>
        <s v="IAK KERNS 157mL COCTEL VEGETALES (48)" u="1"/>
        <s v="NSK BIC ENCENDEDOR MAXI J6 CARTON 15+3 (20)" u="1"/>
        <s v="EGO GEL ATTRAC 4/6/200ML+5 SCH" u="1"/>
        <s v="DIN ISSIMA PAST TOMAT ROJITA 106g (96)" u="1"/>
        <s v="REXONA STICK MEN INVISIBLE 12X50G" u="1"/>
        <s v="ALD PIN POP SENSATIONS 16X24 (17G)" u="1"/>
        <s v="ALD SONETTO CHOCOLATE BLANCO 16X100 (4G)" u="1"/>
        <s v="BYB SALSA BARBACOA PLAST 12/32oz" u="1"/>
        <s v="PD PEDIALYTE UVA 60 MEQ 500ML (12)" u="1"/>
        <s v="TERMO BOLSA TRANSPARENTE 2 Lbs (36)" u="1"/>
        <s v="IPR MERMELADA PINA 12OZ (24)" u="1"/>
        <s v="DIN SOPA ISSIMA CAMARON/CHILE (12)" u="1"/>
        <s v="FOOD NATURAS FRIJOL NEGRO VOLT 24X210G" u="1"/>
        <s v="DIN MAZOLA MARGARINA BARRA 6X5X400gr (24)" u="1"/>
        <s v="EGO GEL ATTRAC 6/30/12ML" u="1"/>
        <s v="SCH SEDAL CR LISO PERFECTO 24X28X10ML" u="1"/>
        <s v="REXONA STICK WOMAN ANTIBAC INVISIBLE 12X50G" u="1"/>
        <s v="DOVE AEROSOL AP ROSAS 12X87G" u="1"/>
        <s v="BONI DIN CUBETA PLASTICA" u="1"/>
        <s v="PONDS CR 100G CLARANT B3 GRASA (24)" u="1"/>
        <s v="FOOD KNORR SOPA GAL CRIOL C/FIDEOS 12X12X54G (144)" u="1"/>
        <s v="ALD PLAY OSOS RELLENOS 55g (24)" u="1"/>
        <s v="BYB SALSA BARBACOA DOY PACK 24/95g" u="1"/>
        <s v="BEST MENTAS 50X12X13g (50)" u="1"/>
        <s v="XHC PFS CENTELLA CAMPEON BLANCO 6X4X330G" u="1"/>
        <s v="FOOD NATURAS PASTA TRADICIONAL 96X90G" u="1"/>
        <s v="BEST CHOCOFRUTA 50x400G" u="1"/>
        <s v="BONI QUA NUTRIBELA 10 HIALURONICO 24X12X72ml" u="1"/>
        <s v="DOVE STICK EXTRA FRESH 12X50G" u="1"/>
        <s v="SEDAL SH 340 ML CERAMIDAS (12)" u="1"/>
        <s v="CB CAFE BARISTA SOLUBLE 12X24X8g" u="1"/>
        <s v="EGO GEL POWER 6X30X15ML" u="1"/>
        <s v="SCH SAVILE SH ARGAN 24X28X15ML" u="1"/>
        <s v="SEDAL SH 340 ML KERATINA C ANTIOX (12)" u="1"/>
        <s v="BONI QUA NUTRIBELA 10 HIALURONICO (24)" u="1"/>
        <s v="BEST CHOCOFRUTA 50X400G (50)" u="1"/>
        <s v="REXONA AERO CLEAN CLASSIC WOMAN 12X91G" u="1"/>
        <s v="REXONA AERO CLIN ANTIBAC W 12X90G" u="1"/>
        <s v="XHC XEDEX MAX POD LIMON 30X400G" u="1"/>
        <s v="NSK LAVAPLATOS POTENSOL CILINDRO 400 GR (20)" u="1"/>
        <s v="NSK COLGATE DOBLE FRESCURA 150ML" u="1"/>
        <s v="NSK LAVAPLATOS POTENSOL MARQUETA 215GR (42)" u="1"/>
        <s v="BONI NSK 1 BOLSA KIT CEPILLO" u="1"/>
        <s v="BONI SOMBRILLAS PEDIALYTE" u="1"/>
        <s v="XHC XEDEX P MAXIMO PODER 30X400G" u="1"/>
        <s v="BYB SALSA PICAMAS ALMOHADITA 48/110 g" u="1"/>
        <s v="DOVE STICK ROSAS 12X45G" u="1"/>
        <s v="BYB SALSA INGLESA PLASTICO 4/3850 ml" u="1"/>
        <s v="UNS GOMA DE MASCAR TUMIX SURTIDO 30x110x1.4g" u="1"/>
        <s v="BEST GALLETA FRESA 24X12X22G (24)" u="1"/>
        <s v="ARE SABUESO CACHORRO 22 LBS" u="1"/>
        <s v="BONI SAVILOE UND 12X320ML (NUTRIBELA)" u="1"/>
        <s v="NSK LAVAPLATOS DOÑA BCA.CILINDRO 250 GR (24)" u="1"/>
        <s v="PONDS CR 100G REJUVENESS DIA (24)" u="1"/>
        <s v="BONI COCA COLA 355 ML" u="1"/>
        <s v="DOVE STICK ORIGINAL 12X50G" u="1"/>
        <s v="REXONA AERO ANTIBAC INVISIBLE MEN 12X90G" u="1"/>
        <s v="BONI PORFIN LIMPIOX AZUL 85g (72)" u="1"/>
        <s v="EGO GEL ATTRAC 4x6x200ML" u="1"/>
        <s v="FOOD KNORR SOPA POLL VERD CODITO 12X12X54G (144)" u="1"/>
        <s v="EGO GEL POWER 6/1000 ML" u="1"/>
        <s v="NSK LAVAPLATOS DOÑA BLANCA CILINDRO 400G (20)" u="1"/>
        <s v="NSK LAVAPLATOS DOÑA BCA.CILINDRO TIRA 170GR (6)" u="1"/>
        <s v="SEDAL CR 300 ML PEIN RIZOS OBEDIENTES (12)" u="1"/>
        <s v="REXONA STICK BAMBOO 12X50G" u="1"/>
        <s v="DOVE MINIROLLON PROTECCION TOTAL 6X30ML" u="1"/>
        <s v="IPR CHILE JALAPEÑO ESCABECHE 5.5OZ (48)" u="1"/>
        <s v="NSK LA MODERNA PASTA SPAGHETTI 60x200G" u="1"/>
        <s v="SCH DOVE SH RECON COMPL SUP 24X28X10ML" u="1"/>
        <s v="XHC XEDEX P SUAV B PRIMAV 15X900G" u="1"/>
        <s v="PONDS CR 50G REJUVENESS (24)" u="1"/>
        <s v="XHC XEDEX P SUAVIZ B PRIMAV 30X115G" u="1"/>
        <s v="XHC DOVE JAB BABY HUMECTANTE 48X75G" u="1"/>
        <s v="BONI BARRA MARGARINA MAZOLA 80g" u="1"/>
        <s v="BONI YAES MUCHO NACHO ARTESANAL 150gr" u="1"/>
        <s v="BONI YAES MUCHO NACHO NATURAL 75gr" u="1"/>
        <s v="NSK LAVAPLATOS AXION 235G UNIDAD (48)" u="1"/>
        <s v="BEST GALLETA MANI 24X12X22G (24)" u="1"/>
        <s v="XHC DIN ROKU JAB SALMON 400G (4)" u="1"/>
        <s v="REXONA AERO CLINICAL CLEAN MEN 12X90G" u="1"/>
        <s v="REXONA AERO ACTIVE DRY 12X89G" u="1"/>
        <s v="TERMO BOLSA TRANSPARENTE 1 Lbs (60)" u="1"/>
        <s v="SCH SEDAL SH LISO PERFECTO 24X28X10ML" u="1"/>
        <s v="FOOD NATURAS PASTA TRADICIONAL 96X100G" u="1"/>
        <s v="REXONA AERO AP POWDER DRY 12X89G" u="1"/>
        <s v="XHC XEDEX MULTIACCION PVO 30x115G" u="1"/>
        <s v="BYB MAYONESA EXTRAMAYO BOLSA 4/3000g" u="1"/>
        <s v="BYB MAYONESA EXTRAMAYO 32/375g" u="1"/>
        <s v="SEDAL CR 300 ML PEIN LISOS PERFEC (12)" u="1"/>
        <s v="IAK BLISS HAPPY MIX 350ml VIDR (24)" u="1"/>
        <s v="IAK KERNS SALSITA CARNE 106GR DP (24)" u="1"/>
        <s v="REXONA AERO CLINICAL EXTRA DRY 12X91G" u="1"/>
        <s v="PONDS CR 100G CLARANT B3 SECA (24)" u="1"/>
        <s v="SEDAL CR 300 ML PEIN KERATINA Y ANTIOX (12)" u="1"/>
        <s v="DOVE STICK CALENDULA 12X50G" u="1"/>
        <s v="BONI QUA YUS FRUTAS TROPICALES 9x15x28g" u="1"/>
        <s v="NSK LAVAPLATOS AXION LIMON TIRA 115GR (6)" u="1"/>
        <s v="XHC XEDEX P PROTECCION COLOR 15X900G" u="1"/>
        <s v="REXONA STICK MEN ANTIBACT FRESH 12X50G" u="1"/>
        <s v="YAES LECHE DE COCO 400ml (24)" u="1"/>
        <s v="EGO GEL ATTRAC 6/1000ML" u="1"/>
        <s v="XHC XEDEX P MULTIACCION 20X250G" u="1"/>
        <s v="XHC XEDEX P MAXIMO PODER LIMON 13X800G" u="1"/>
        <s v="XHC XEDEX MAXIMO PODER FRUTOS BOSQUE 13X800G" u="1"/>
        <s v="PONDS CR REJUVENESS DIA 12X400G" u="1"/>
        <s v="BEST GALLETA CHOCOLATE 24X12X22G (24)" u="1"/>
        <s v="XHC XEDEX DESIN CITRICOS SCH 5X12X100ML" u="1"/>
        <s v="DOVE STICK GO FRESH PEPINO" u="1"/>
        <s v="EGO GEL URBAN 24/200 ML" u="1"/>
        <s v="IAK DUCAL FRIJ ROJO PICANT DyP 14oz (18)" u="1"/>
        <s v="SEDAL AC 340 ML RIZOS DEFINIDOS (12)" u="1"/>
        <s v="TERMO BOLSA TRANSPARENTE 3 Lbs (30)" u="1"/>
        <s v="SCH SAVILE SH 2EN1 24X28X15ML" u="1"/>
        <s v="NSK COLGATE KIT DE CEPILL 1X24TX6UNDS" u="1"/>
        <s v="XHC XEDEX DESIN LAVANDA SCH 5X12X100ML" u="1"/>
        <s v="BONI GORRA ALDOR" u="1"/>
        <s v="XHC XEDEX P SUAVIZ YLANG 30X115G" u="1"/>
        <s v="XHC DIN ROKU JAB AMARILLO 400G (4)" u="1"/>
        <s v="SEDAL CR CERAMIDAS 12X300ML" u="1"/>
        <s v="IQUI CLORO MAGICLOR POPULINO 1X4X12 220ML" u="1"/>
        <s v="NSK LA MODERNA MOÑO 42x180G" u="1"/>
        <s v="NSK LAVAPLATOS  POTENSOL MARQUETA 215GR (42)" u="1"/>
        <s v="FOOD MAIZENA FECULA MAIZ  FRESA 16X12X45G (192)" u="1"/>
        <s v="FOOD MAIZENA FECULA MAIZ VAINILLA 16X12X45G (192)" u="1"/>
        <s v="FOOD MAIZENA FECULA MAIZ NATURAL 20X20X45G (400)" u="1"/>
        <s v="XHC XEDEX P MAXIMO PODER FRUTOS DEL BOSQUE 13X800G" u="1"/>
        <s v="BONI QUA SAVILOE UND 500ML (12)" u="1"/>
        <s v="NSK LA MODERNA SPAGHETTI QUESO 20x200G" u="1"/>
        <m u="1"/>
        <s v="AXE AERO BS COLLISION 12X90G" u="1"/>
        <s v="BONI EGO POWER 110ML TARRO (24)" u="1"/>
        <s v="ALC ORO MAY HARIN MAIZ BLANC 2LB (9)" u="1"/>
        <s v="XHC XEDEX DESIN FRUTOS CITRICOS SCH 5X12X100ML" u="1"/>
        <s v="DOVE STICK COCO 12X50G" u="1"/>
        <s v="BYB CHILE JALAPEÑO LA CONTENTA 48/180g" u="1"/>
        <s v="UNS DULCE KOPIKO CAPUCCINO BOTE 200und (6)" u="1"/>
        <s v="ALD SONETTO SURTIDO 16X110u (16)" u="1"/>
        <s v="GRIPETIN G. Y T. X 120 TBS. (60 SOBRES * 2 TABLETAS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BONI ALC ARROZ MACARENA PRECOCIDO 400g (25)" u="1"/>
        <s v="GRIPETIN GRIPE Y TOS - 12 SOBRES" u="1"/>
        <s v="XHC LIMPIOX CILINDRO ALOE 18X320G" u="1"/>
        <s v="AXE AERO AP URBAN 48H ABP 12X90G" u="1"/>
        <s v="QUA JUGOS YA LIMON 10X15" u="1"/>
        <s v="ALD SONETTO CHOCOLATE BLANCO 16X110u (16)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BEST BOTONETAS CHOCOLATE 20X24X11.5G (20)" u="1"/>
        <s v="EGO GEL CONTROL CAIDA 3X8X110ML" u="1"/>
        <s v="BEST CHOCOFRUTA TABLETA 410 GRS 1X24" u="1"/>
        <s v="GOMITAS 4 OSOS GRANDES 14GR 12X2X20X4" u="1"/>
        <s v="BYB CONCENTRADO DE CARAMBOLA DISPLAY 6/12u" u="1"/>
        <s v="KMD EL ARTESANO SALSA CHILTEPE 95g" u="1"/>
        <s v="BEST CARAMELO DURO SURTIDO 30 X 100 UND" u="1"/>
        <s v="XHC PFS MAX MB BLANC/VERD DUOX 6X3X540G" u="1"/>
        <s v="QUA JUGOS YA MORA 10X15" u="1"/>
        <s v="REXONA AERO CLINICAL CLASSIC WOMAN 12X90G" u="1"/>
        <s v="EGO GEL CONTROL CAIDA 2X6X200ML" u="1"/>
        <s v="IAK KERNS JUNIOR UVA TETR 200ml (24)" u="1"/>
        <s v="BYB MAYONESA EXTRAMAYO 48/100g" u="1"/>
        <s v="AMS ECO SUAV CASA LIMPIA LIBRE DE ENJUAGUE 1x20 LT" u="1"/>
        <s v="PONDS CR  50G CLARANT B3 GRASA (24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YB MAYONESA SACHET 500/8g" u="1"/>
        <s v="BONI QUA AVENA ESTRELLA 360G" u="1"/>
        <s v="XHC XEDEX DESIN FRUTOS CITRICOS DOY PACK 12X750ML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EGO GEL CONTROL CAIDA 2X6X200 ML" u="1"/>
        <s v="BONI GORRAS PEDIALYTE" u="1"/>
        <s v="XHC CENTELLA CHIBOLONA VERDE 4X3X400G" u="1"/>
        <s v="SCH SEDAL SH SOS CASPA 12X24X10ML+4" u="1"/>
        <s v="BONI ALC ORO MAYA 400GR" u="1"/>
        <s v="BEST CONITO DYP 90X10X5G (90)" u="1"/>
        <s v="AMS Pañal Bebin SuperFlexi Mediano 4x40" u="1"/>
        <s v="REXONA AERO ANTIBAC INVISIBLE MEN ADVANCE 12/90G" u="1"/>
        <s v="XHC LIMPIOX CILINDRO LIMON 18X320G" u="1"/>
        <s v="BONI NSK  KIT DE CEPILLADO COLGATE UND" u="1"/>
        <s v="NSK BIC RASURADORA CONFORT 2 12+2 (48)" u="1"/>
        <s v="XHC XEDEX P MAXIMO PODER 30X450G" u="1"/>
        <s v="FOS ENCENDEDORES FRAGATA MINI 10X12X3 (3 PACK)(10)" u="1"/>
        <s v="ALD YOGUETA CHOCOCARAMEL 1x24u (16)" u="1"/>
        <s v="GRECO CANASTICAS GALLETA MORA ROJA 270gr (24)" u="1"/>
        <s v="NSK HOT CAKE CAJA 12x500G" u="1"/>
        <s v="XHC PFS MAX PODER VERDE LIMON 6X3X400G" u="1"/>
        <s v="DCASA PAPEL ENCANTO MIL HOJAS 12X4" u="1"/>
        <s v="BYB MAYONESA EXTRAMAYO 48/200g" u="1"/>
        <s v="BONI PLAST BANCO" u="1"/>
        <s v="BONI DINANT PLATO PLASTICO" u="1"/>
        <s v="FOOD NATURAS JUMB SSA RANCH 24X100G" u="1"/>
        <s v="EGO GEL POWER 8X30X15ML+GEL 200ML" u="1"/>
        <s v="FOOD MAIZENA FECULA MAIZ NATURAL 20X20X45G" u="1"/>
        <s v="YAES EMPANIZADOR CEREAL 90G" u="1"/>
        <s v="FOOD MAIZENA FECULA MAIZ NATURAL 20X20X47G" u="1"/>
        <s v="GOMITAS LIMON Y CHILE 20GR 12X2X10X4" u="1"/>
        <s v="GRECO INTEGRAL AVENA FRUTOS ROJOS 156gr (24)" u="1"/>
        <s v="BEST CHOCOPANDA CAJA CHOCOLATE 285G (36)" u="1"/>
        <s v="YAES ROSTIZADOR 18/453G" u="1"/>
        <s v="XHC XEDEX P SUAVIZ YLANG 15X900G" u="1"/>
        <s v="BONI UL NATURAS POLLO 36G (36)" u="1"/>
        <s v="XHC PFS CENTELLA CHIBOLONA BLANCA 6X3X400G" u="1"/>
        <s v="AMS Pañal Bebin SuperFlexi Grande 4x40" u="1"/>
        <s v="DCASA GELATINA POLVO FRESA 450G (25)" u="1"/>
        <s v="DCASA GELATINA POLVO LIMON 450G (25)" u="1"/>
        <s v="BONI UL MAYO HELLMANS 70G" u="1"/>
        <s v="AMS PAPEL HIG MAX PAP 8X6 DORADO NEGRO HT" u="1"/>
        <s v="IAK ADAN Y EVA FRUTOS ROJOS 350ML LAT (24)" u="1"/>
        <s v="DOVE DEO ROLL AP CALENDULA 12X50ML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XHC DIN ROKU JAB AQUA 400G (4)" u="1"/>
        <s v="IAK KERNS SALSITA RANCHERA 106GR DP (24)" u="1"/>
        <s v="EGO GEL POWER 4x6x200 ML" u="1"/>
        <s v="IPR LOZANO UVA 500ML" u="1"/>
        <s v="XHC XEDEX P MAXIMO PODER 13X900G" u="1"/>
        <s v="BEST BOTE CONITO CHOCOLATE 70u (12)" u="1"/>
        <s v="REXONA AERO SPORFAN 12X90G" u="1"/>
        <s v="BONI SH SAVILE BIOTINA DISPLAY" u="1"/>
        <s v="FRV GRIPETIN GRIPE Y TOS - 12 SOBRES" u="1"/>
        <s v="SCH SAVILE CR RIZOS ARGAN 12X28X15ML" u="1"/>
        <s v="BONI QUA NUTRIBELA 10 24X12X27ML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NSK BIC RASURADORA SHAVER SENS 24+4 (24)" u="1"/>
        <s v="BEST COCOA CHOCOPANDA 24X12X20G" u="1"/>
        <s v="NSK LA MODERNA PASTA TORNILLO 42x200G" u="1"/>
        <s v="BEST CHOCOGOL DYP 50X15X5g (50)" u="1"/>
        <s v="XHC XEDEX P SUAVIZ B PRIMAV 30X125G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AMS TOALLA HUMEDA LUCCA FAMILIAR 12X80" u="1"/>
        <s v="UNS DULCE KOPIKO CAFE BOTE 200und (6)" u="1"/>
        <s v="BYB MAYONESA BOLSA 48/100g" u="1"/>
        <s v="IQUI CLORO MAGICLOR POPULINO 1X4X12 235ML" u="1"/>
        <s v="NSK LAVAPLATOS DOÑA BCA.CILINDRO 170GR(6)" u="1"/>
        <s v="BEST RODAJAS JAL 24/215G" u="1"/>
        <s v="REXONA AERO CLIN ANTIB MEN 12X91G" u="1"/>
        <s v="XHC PFS MAX MB BLANCA 6X3X540G" u="1"/>
        <s v="AMS PAPEL HIG LUCCA 24X1X168 NARANJA HD" u="1"/>
        <s v="AMS TOALLA DE COCINA MAX PAPEL 12X2X240HD BAJA" u="1"/>
        <s v="BYB SALSA PICAMAS VERDE PLASTICO 24/200g" u="1"/>
        <s v="NSK LAVAPLATOS AXION MARQUETA 250 GR (42)" u="1"/>
        <s v="UNS GOMA DE MASC. AGOGO CENT. LIQ.SURT. 16x44x8.3gr" u="1"/>
        <s v="SEDAL SH 340 ML NEGROS LUMINOSOS (12)" u="1"/>
        <s v="XHC VENZA JABON AVENA 110g (72)" u="1"/>
        <s v="MA AVENA FORTIFICADA 25X454G" u="1"/>
        <s v="TERMO BOLSA DE BASURA NEGRA 24X35" u="1"/>
        <s v="TERMO GABACHA #1" u="1"/>
        <s v="XHC MAX PODER AMARILLO 6X3X400G" u="1"/>
        <s v="BONI ROLLO PAPEL HIGIENICO" u="1"/>
        <s v="BEST FRUTIBOTONETAS TROPICAL 20Ctx24U 25G" u="1"/>
        <s v="BYB MAYONESA BOLSA 48/200g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LC GOMITAS 10X12X5" u="1"/>
        <s v="XHC DIN SUAVISSIMO TOQ DE CUID 80ml  (6)" u="1"/>
        <s v="FOOD MAIZENA FECULA BAN/FRESA/VAIN 16X12X47G" u="1"/>
        <s v="UNS CHOC. TUBITO CHOKI CHOKI CHOCMAR 6x20" u="1"/>
        <s v="BEST MENTA GLACIAL 30 BOLSAS DE 100 UNIDADES" u="1"/>
        <s v="XHC VENZA JABON SABILA 110g (72)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IQUI CLORO BLANCO SOL 1/2 GALON (6)" u="1"/>
        <s v="SCH REXONA CLIN DEO CLAS W 12X8X8G+SCH (12)" u="1"/>
        <s v="PONDS CR  50G REJUVENESS (24)" u="1"/>
        <s v="AMS ALCOHOL GEL ANTIBAC. CLT 12X440ML (12)" u="1"/>
        <s v="XHC MAX BLANC/NARAN DUOX 6X4X330G" u="1"/>
        <s v="XHC REXONA JAB ANTIBAC LIMP PROF 48X125G" u="1"/>
        <s v="BEST FRUTI BOTONETAS TROPICAL 20X24X25G (20)" u="1"/>
        <s v="REXONA CLINICAL SPORT STRENGTH 12X48G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AXE AERO AP ICE CHILL 12X90G/152ML" u="1"/>
        <s v="SCH REXONA CLIN DEO CLAS MIX S6X10X8G+SCH (6)" u="1"/>
        <s v="AMS SERVILLETA MAX PAPPEL 10X1X100 CUADRADA" u="1"/>
        <s v="NSK BIC MAXI J6 CARTÓN 15+3 (20)" u="1"/>
        <s v="BIOKLAR SPRAY DESIN SIN FRAG 250ML (24)" u="1"/>
        <s v="BONI ALC ARROZ ESTRELLA PRECOCIDO 350g (25)" u="1"/>
        <s v="TERMO BOLSA TRANSPARENTE 1 Lbs" u="1"/>
        <s v="BONI NSK JABON PROTEX FRESH 110GR (96)" u="1"/>
        <s v="SCH SAVILE SH 2EN1 12X28X15ML" u="1"/>
        <s v="TERMO BOLSA TRANSPARENTE 2 Lbs" u="1"/>
        <s v="IAK DUCAL FRIJ ROJO DyP 14.1oz (18)" u="1"/>
        <s v="TERMO BOLSA TRANSPARENTE 3 Lbs" u="1"/>
        <s v="FOOD NATURAS SALSA TOMATE C/CARNES 96X100G" u="1"/>
        <s v="TERMO BOLSA TRANSPARENTE 5 Lbs" u="1"/>
        <s v="NSK TAJIN SALSA LIQ CLASICA 475ML (12)" u="1"/>
        <s v="AMS TOALLAS HUMEDAS BABY STAR 24X40" u="1"/>
        <s v="BYB CHILE JALAPEÑO LA CONTENTA LATA 48/180g" u="1"/>
        <s v="BONI DCASA ORO MAYA 400GR" u="1"/>
        <s v="BONI DIN JABONERA VENZA" u="1"/>
        <s v="XHC CENTELLA CHIBOLONA AZUL 4X3X400G" u="1"/>
        <s v="XHC MAX BLANC/AZUL DUOX 6X3X400G" u="1"/>
        <s v="GOMITAS 10 OSOS 12X2X20X10" u="1"/>
        <s v="BONI BAÑO 10 LITROS" u="1"/>
        <s v="FOOD KNORR SOPA POLLO C/FIDEO 12X12X55G" u="1"/>
        <s v="NSK LA MODERNA CARACOL 3 42x200G" u="1"/>
        <s v="ALC ARROZ MOLINERO BLANCO 200GR (20)" u="1"/>
        <s v="ALD YOGUETA SURTIDA 1x24u (16)" u="1"/>
        <s v="AXE AERO BS BLACK 12X90G" u="1"/>
        <s v="BYB MERMELADA DE FRESA TARRO 12/300g" u="1"/>
        <s v="ALD YOGUETA MILK 16X24u (16)" u="1"/>
        <s v="IAK KERNS KETCHUP 8grs SACH 1000u" u="1"/>
        <s v="XHC XEDEX P SUAVIZ YLANG 15X1KG" u="1"/>
        <s v="AMS PAPEL HIG MAX PAP. 6X4 MEJOR QUE 1000HD" u="1"/>
        <s v="YAES ROSTIZADOR BOLSA 453G (18)" u="1"/>
        <s v="BONI IAK DUCAL FRIJOL LATA 15 ONZ" u="1"/>
        <s v="ALD PIN POP BLACK CHERRY CON CHICLE 16x24u (16)" u="1"/>
        <s v="GOMITAS 4 TAPA Y CORAZONES FRUTA 20GR 12X2X10X4" u="1"/>
        <s v="XHC REXONA JAB BAMBOO 48X125G" u="1"/>
        <s v="ALD PIN POP MIX ASSORTED 16X24u (16)" u="1"/>
        <s v="PONDS CR  45G C ORIGINAL (24)" u="1"/>
        <s v="ALD FRUNAS DUO COLOR 16X100u (16)" u="1"/>
        <s v="NSK LA MODERNA GALL MARIANITA NUEZ 20x185G" u="1"/>
        <s v="DCASA MIRASOL MARG 36X5+1/80G" u="1"/>
        <s v="EGO GEL URBAN 4X6X200ML" u="1"/>
        <s v="AMS PAPEL HIGENICO LUCCA 24X1X1000 MEJOR HD" u="1"/>
        <s v="BYB MAYONESA BOLSA 32/380g" u="1"/>
        <s v="XHC XEDEX P ANTIBAC 15X1KG" u="1"/>
        <s v="QUA FRUTY F SURTIDO 8X18X14G" u="1"/>
        <s v="AXE AERO BS ANARCHY FW 12X90G" u="1"/>
        <s v="QUA NUTRIBELA TRAT CAP 24X12X27ML" u="1"/>
        <s v="QUA JUGOS YA DURAZNO 10X15" u="1"/>
        <s v="FOOD NATURAS FRIJOL NEGRO VOLTEADO 24X380G" u="1"/>
        <s v="XHC MAX PODER VERDE 6X4X330G" u="1"/>
        <s v="AXE AERO AP COLLISION 12X88G" u="1"/>
        <s v="DCASA GELATINA POLVO NARANJA 450G (25)" u="1"/>
        <s v="FOOD NATURAS SALSA ITALIANA CL 96X100G" u="1"/>
        <s v="QUA JUGOS YA FRESA 10X15" u="1"/>
        <s v="FOOD LIPTON TE INFUS MANZANILLA 24X20BLS" u="1"/>
        <s v="BONI PLAST PALANGANA PEQ" u="1"/>
        <s v="SCH REXONA CLIN DEO CLEAN MEN 12X8X8G+SCH (12)" u="1"/>
        <s v="DOVE AERO CLEAR TONE 12X89G" u="1"/>
        <s v="GRECO GALL CHOCOCHIPS MINI 16X" u="1"/>
        <s v="BEST GALLETA MICHOKO 24X12X22G (24)" u="1"/>
        <s v="AMS TOALLA DE COCINA MAX PAPEL 8X3X120" u="1"/>
        <s v="REXONA STICK WOMAN POWDER 12X50G" u="1"/>
        <s v="FOSFORO QUETZAL 10X10" u="1"/>
        <s v="BONI QUA FRUTY FRESCO (8)" u="1"/>
        <s v="BYB CHOCONELA 12/273g" u="1"/>
        <s v="XHC MAX BLANC/AZUL DUOX 6X4X350G" u="1"/>
        <s v="NSK LYSOL DESINFECTANTE MULTIUSOS DP 500 ML (18)" u="1"/>
        <s v="BONI DIN SOPA ISSIMA" u="1"/>
        <s v="XHC COLOSO CILINDRO 20X495G" u="1"/>
        <s v="TERMO GABACHA #2" u="1"/>
        <s v="BYB PICAMAS CHILTEPE 24/155g" u="1"/>
        <s v="AMS Pañal Super Lucca Pequeño 4X56" u="1"/>
        <s v="REXONA STICK CLIN CLASSIC EXPERT 12X46G" u="1"/>
        <s v="IAK DUCAL FRIJ NEGR LAT 5.5oz PROMO (48)" u="1"/>
        <s v="BEST RODAJAS JAL EN ESCAB 24/170G" u="1"/>
        <s v="XHC PFS CENTELLA CHIBOLONA VERDE 4X3X400G" u="1"/>
        <s v="AMS PAPEL HIG MAX PAP. SUPER ECON 4X12 (4)" u="1"/>
        <s v="XHC XEDEX DESIN LAVANDA DOY PACK 12X750ML" u="1"/>
        <s v="XHC PFS CENTELLA CHIBOLONA VERDE 6X3X400G" u="1"/>
        <s v="AMS TOALLA FEM FEELING MAXI NOCTURNA 12X8" u="1"/>
        <s v="BONI QUA JUGOS YA FRUTAS TROPICALES" u="1"/>
        <s v="XHC CENTELLA CAMPEON BLANCO 6X4X330G" u="1"/>
        <s v="SCH SEDAL SH 2EN1 CERAMIDAS 12X24X10ML+4 SCH" u="1"/>
        <s v="NSK LA MODERNA CODO 2 50x200G" u="1"/>
        <s v="BONI IAK KETCHUP 375 GR" u="1"/>
        <s v="AMS Pañal Bebin SuperFlexi XXG 4x40" u="1"/>
        <s v="AMS SHAMPOO BABY STAR 5X30X10ML SIN LAGRIMAS" u="1"/>
        <s v="XHC PFS CENTELLA CHIBOLONA AMARILLO 4X3X400G" u="1"/>
        <s v="BYB MAYONESA PRIMA BOLSA 8/1500g" u="1"/>
        <s v="NSK LYSOL DESINFECTANTE MULTIUSOS SPRAY (12)" u="1"/>
        <s v="NSK BIC RASURADORA TWIN LADY 12+2 KIT CEP (24)" u="1"/>
        <s v="BONI BAÑO 9 LITROS" u="1"/>
        <s v="AMS Pañal Bebin SuperFlexi Pequeño 4x40" u="1"/>
        <s v="XHC MAX BLANC/NARAN DUOX 6X4X350G" u="1"/>
        <s v="XHC MAX BLANC/VERDE DUOX 6X4X350G" u="1"/>
        <s v="SCH SEDAL CR PEIN KERAT 12X24X10ML+SH" u="1"/>
        <s v="DOVE AERO EXTRA FRESH 12X89G" u="1"/>
        <s v="TERMO GABACHA MINI/PIWI" u="1"/>
        <s v="DCASA GELATINA POLVO FRAMB.25X450g" u="1"/>
        <s v="BYB MAYONESA ALMOHADITA 48/100g" u="1"/>
        <s v="DCASA GELATINA POLVO MELOC.25X450g" u="1"/>
        <s v="BYB PICAMAS COBANERO 24/155g" u="1"/>
        <s v="BYB PICAMAS HABANERO 24/155G" u="1"/>
        <s v="KELL FROOT LOOPS MINI SCH 5X12X22G (5)" u="1"/>
        <s v="NSK LA MODERNA GALL MALVADISCO 10x624G" u="1"/>
        <s v="REXONA DEO STICK AP BAMBOO 12X50G" u="1"/>
        <s v="BONI ALC ARROZ GALLO DORADO 400g (25)" u="1"/>
        <s v="AMS ALCOHOL LIQUIDO ANTIBACT. CLT 12X1X850ML (12)" u="1"/>
        <s v="XHC XEDEX P SUAVIZ YLANG 30X125G" u="1"/>
        <s v="BONI PFS CLORO MAGICLOR UND" u="1"/>
        <s v="REXONA STICK CLIN MEN EXPERT 12/46G" u="1"/>
        <s v="SEDAL SH 2EN1 SOS CERAM 12X24X10ML+4 SCH" u="1"/>
        <s v="EGO GEL POWER 6/30/12ML" u="1"/>
        <s v="AMS JAB ANTIBAC CLT NARANJA JUGOSA 12X440" u="1"/>
        <s v="BONI VANISH 3X100ML" u="1"/>
        <s v="SCH SEDAL SH KERATINA 12X24X10ML+4" u="1"/>
        <s v="SCH SEDAL SH NEGR LUM 12X24X10ML+4" u="1"/>
        <s v="BONI QUA GALLETA BEST MANI 24X12 (JUGOS YA)" u="1"/>
        <s v="MA AVENA MOSH ESTRELLA 25X360G" u="1"/>
        <s v="LOT CONSOME CRIOLLO LOTY 225GR (50)" u="1"/>
        <s v="QUA JUGOS YA GUANABA 10X15G" u="1"/>
        <s v="BONI IAK DUCAL FRIJOL LATA 5.5 ONZ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XHC MAX PODER VERDE LIMON 6X3X425G" u="1"/>
        <s v="QUA SAVILOE 12X320ML (PAQUETE)" u="1"/>
        <s v="QUA SAVILOE 12X500ML (PAQUETE)" u="1"/>
        <s v="AMS PAPEL HIG MAX PAP 24X1 NARANJA BASICO HD" u="1"/>
        <s v="AMS TOALLAS HUMEDAS BABY STAR12X80" u="1"/>
        <s v="QUA PROMOCION SAVILOE 500ML 9+3 (PAQUETE)" u="1"/>
        <s v="NSK LYSOL DESINFECTANTE MULTIUSOS SPRAY (18)" u="1"/>
        <s v="BONI ALC HARINA ORO MAYA 400gr (20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XHC XEDEX P MULTI LIMP ACTIVA 15X900G" u="1"/>
        <s v="EGO GEL URBAN 4x6x110 ML" u="1"/>
        <s v="XHC MAX PODER BLANCO 6X3X400G" u="1"/>
        <s v="XHC MAX PODER ROSADO 6X3X400G" u="1"/>
        <s v="IAK FRIJOLES CARNICOS 5OZ HL (48)" u="1"/>
        <s v="XHC XEDEX P MULTI LIMP ACTIVA 30X125G" u="1"/>
        <s v="BYB MAYONESA EXTRAMAYO BOLSA 8/1500g" u="1"/>
        <s v="MA AVENA MOSH 100X40G" u="1"/>
        <s v="REXONA STICK WOMAN ANTIBAC 12X50G" u="1"/>
        <s v="NSK LA MODERNA SUR GALLETAS 1143KG" u="1"/>
        <s v="XHC MAX PODER VERDE LIMON 6X3X400G" u="1"/>
        <s v="PONDS CR  50G CLARANT B3 SECA (24)" u="1"/>
        <s v="ALC CR AVEN HOJUELA 12U 350G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FOS CERILLOS GALLO FAMILIAR (100) 200 L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UL SAVILE ANTICASPA UNIDAD" u="1"/>
        <s v="AMS PAPEL HIG MAX PAP. 2 PACK MORADO HD 12X2X350" u="1"/>
        <s v="AXE STICK TRANS COLLISION 12X54G" u="1"/>
        <s v="BONI DIN PLATO PLASTICO" u="1"/>
        <s v="XHC XEDEX P ANTIBAC 15X900G" u="1"/>
        <s v="BYB CHILE JALAPEÑO PICANTE 96/5.8oz" u="1"/>
        <s v="DOVE STICK CLEAR TONE 12X50G" u="1"/>
        <s v="BONI BEST GALLETA MANI 12X12" u="1"/>
        <s v="BYB SALSA PICAMAS VERDE BOLSA 8/1750g" u="1"/>
        <s v="AMS TOALLA HUMEDA LUCCA SUPER SEC 12X80" u="1"/>
        <s v="AMS SERVILLETA JAPPYKLUB 10X1X100" u="1"/>
        <s v="IAK DUCAL FRIJ NEGR DyP 104oz (6)" u="1"/>
        <s v="BEST BOTE CONITO RELL SUR 70u (12)" u="1"/>
        <s v="AMS ECO DESIN CL CITRONELA Y PINO 1x20 LT" u="1"/>
        <s v="FOOD NATURAS SALSA C/QUESO 96X100G" u="1"/>
        <s v="YAES EMPANIZADOR CEREAL 90G (25)" u="1"/>
        <s v="BYB SALSA MILTOMATE SEMI SQUEZZE 24/370g" u="1"/>
        <s v="IAK KERNS TETRA NECT MANGO 1000ml (12)" u="1"/>
        <s v="BEST DAPI GALLETA VAINILLA 48X12X14.5G (48)" u="1"/>
        <s v="NSK LA MODERNA CABELLO DE ANGEL 20x200G" u="1"/>
        <s v="GOMITAS 4 TAPA MENTA 20GR 12X2X10X4" u="1"/>
        <s v="BONI SAVILE ANTICASPA 7 und" u="1"/>
        <s v="BONI IAK PALETA DE MADERA" u="1"/>
        <s v="BONI DCAS DETERGENTE 1 . 2 . 3 800g (10)" u="1"/>
        <s v="BONI IAK DUCAL FRIJOL NEGRO DyP 8 ONZ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IOKLAR SPRAY DESIN SIN FRAG 250ML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AK BAMB MARGARITA 350ml LATA (24)" u="1"/>
        <s v="ALD PIN POP WATERMELON 16X24 (15G)" u="1"/>
        <s v="DCASA GELATINA POLVO PIÑA 450G (25)" u="1"/>
        <s v="IAK BAMB MOJITO 350ml LATA (24)" u="1"/>
        <s v="BYB SALSA PICAMAS COBANERO 24/155g" u="1"/>
        <s v="BONI QUA GALLETA BEST MANI MINI 24X12" u="1"/>
        <s v="IAK KERNS SALSITA QUESO 106GR DP (24)" u="1"/>
        <s v="BEST BOTONETA CHOCOLATE 80X6X20G (80)" u="1"/>
        <s v="BEST CHIPOTLES ADOBADOS 24/160G" u="1"/>
        <s v="GRIPETIN MULTISINTOMAS - 12 SOBRES" u="1"/>
        <s v="QUA NUTRIBELA 10 18+6 (12)" u="1"/>
        <s v="AXE AERO AP EPIC FRESH 12X88G" u="1"/>
        <s v="FOOD NATURAS FRIJ NEGR VOLT 24X400GR" u="1"/>
        <s v="XHC REXONA JAB ANTIBAC FRESH 48X125G" u="1"/>
        <s v="AMS JAB ANTIBAC CLT PINK LIMONADE 12X500" u="1"/>
        <s v="ALC ARROZ GALLO DORADO PRE COCIDO 200GR (20)" u="1"/>
        <s v="XHC MAX MB NARANJA 6X3X540G" u="1"/>
        <s v="BYB SALSA PICANTE FRONTERA 32/16onz" u="1"/>
        <s v="XHC XEDEX P PROTECCION COLOR 20X250G" u="1"/>
        <s v="BONI QUA JUGO YA NARANJA" u="1"/>
        <s v="XHC MAX MB BLANCA 6X3X540G" u="1"/>
        <s v="AMS PAPEL HIG MAX PAP. 12X4 MEJOR QUE 1000 HD" u="1"/>
        <s v="MA AVENA INTEGRAL 100X40G" u="1"/>
        <s v="NSK LA MODERNA PLUMA 42x200G" u="1"/>
        <s v="NSK LA MODERNA MACARRON LARGO 20x200G" u="1"/>
        <s v="BONI ALC ARROZ ESTRELLA BLANCO 350g (25)" u="1"/>
        <s v="XHC MAX PODER LILA 6X3X400G" u="1"/>
        <s v="NSK LYSOL DESINFECTANTE MULTIUSOS DP 500 ML" u="1"/>
        <s v="AXE AERO BS GOLD TEMPTATION 12X90G" u="1"/>
        <s v="DCASA MIRASOL MARG 6X60X35G" u="1"/>
        <s v="NSK BIC RASURADORA CONFORT 3 12+2 (24)" u="1"/>
        <s v="ALC ORO MAY HARIN MAIZ BLANC @ (1)" u="1"/>
        <s v="XHC PFS MAX MB BLANC/NAR DUOX 6X3X540G" u="1"/>
        <s v="XHC CENTELLA CHIBOLONA BLANCO 4X3X400G" u="1"/>
        <s v="XHC CENTELLA CHIBOLONA ROSADO 4X3X400G" u="1"/>
        <s v="EGO GEL ATTRAC 24/110ML" u="1"/>
        <s v="BYB CONCENTRADO DE HORCHATA 4/3786 ml" u="1"/>
        <s v="BYB MOSTAZA ALMOHADITA 48/110 g" u="1"/>
        <s v="GOMITAS 4 OSOS 12X2X20X4" u="1"/>
        <s v="BONI PLAST PALANGANA XEDEX" u="1"/>
        <s v="XHC SURF P ROSAS 15X1KG" u="1"/>
        <s v="AMS SERVILLETA LUCCA 10X1X100" u="1"/>
        <s v="BONI ALC HARINA ORO MAYA 800g (9)" u="1"/>
        <s v="BONI ARROZ GALLO DORADO 400G" u="1"/>
        <s v="DCASA MIRASOL MARG 2X24X90G" u="1"/>
        <s v="BYB MAYONESA PRIMA 32/375g" u="1"/>
        <s v="AMS TOALLA DE COCINA MAX PAPEL 12X2HD" u="1"/>
        <s v="BONI IAK DUCAL FRIJOL LATA 10.5 OZ (48)" u="1"/>
        <s v="XHC XEDEX P MULTI LIMP ACTIVA 15X1KG" u="1"/>
        <s v="BEST BOTONETA MANÍ 80X6X20G (80)" u="1"/>
        <s v="BONI HERMETICO RECTANGULAR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EST BOTONETAS MANI 20X24X13G (20)" u="1"/>
        <s v="XHC MAX BLANC/NARAN DUOX 6X3X400G" u="1"/>
        <s v="XHC MAX BLANC/VERDE DUOX 6X3X400G" u="1"/>
        <s v="FOOD NATURAS FRIJ NEGR VOLT 24X210G" u="1"/>
        <s v="GOMITAS 5 OSOS PEQUEÑOS 12.5GR 12X2X20X5" u="1"/>
        <s v="EGO GEL POWER 12/500 ML" u="1"/>
        <s v="FOOD MAIZENA FECULA MAIZ VAINILLA 16X12X45G" u="1"/>
        <s v="FOOD KNORR SOPA GAL C/CONCHI 12X12X54G" u="1"/>
        <s v="KELL CHOCO KRISPI SCH 8X6X150G (8)" u="1"/>
        <s v="AMS TOALLA DE COCINA MAX PAPEL 24X1 HD" u="1"/>
        <s v="PONDS CR 100G H (24)" u="1"/>
        <s v="MA AVENA FORTIFICADA 100X40G" u="1"/>
        <s v="FOOD HELLMANNS MAY DYP 12X200G" u="1"/>
        <s v="REXONA STICK ACTR BAMBOO 12X50G" u="1"/>
        <s v="SCH SAVILE SH BIOTINA 12X28X15ML" u="1"/>
        <s v="XHC CENTELLA CAMPEON VERDE 6X4X330G" u="1"/>
        <s v="SCH SAVILE SH ANTICASPA 24X28X15ML (24)" u="1"/>
        <s v="AXE AERO BS ICE CHILL 12X90G" u="1"/>
        <s v="BONI AMSA ROLLO MAX PAPPEL MORADO MED 24X1" u="1"/>
        <s v="EGO GEL CONTROL CAIDA 6X950ML" u="1"/>
        <s v="DOVE MINIROLLON CUIDADO TOTAL 6X30ML" u="1"/>
        <s v="BONI 1 BOLSA KIT CEPILLO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1524"/>
    </cacheField>
    <cacheField name="Columna4" numFmtId="0">
      <sharedItems containsSemiMixedTypes="0" containsString="0" containsNumber="1" minValue="9.9124999999999991E-2" maxValue="8.3550000000000004"/>
    </cacheField>
    <cacheField name="Columna5" numFmtId="0">
      <sharedItems containsSemiMixedTypes="0" containsString="0" containsNumber="1" minValue="0.10166666666666667" maxValue="673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7083335" createdVersion="7" refreshedVersion="8" minRefreshableVersion="3" recordCount="146" xr:uid="{00000000-000A-0000-FFFF-FFFF3E000000}">
  <cacheSource type="worksheet">
    <worksheetSource name="RUTA473"/>
  </cacheSource>
  <cacheFields count="5">
    <cacheField name="Columna1" numFmtId="0">
      <sharedItems containsMixedTypes="1" containsNumber="1" containsInteger="1" minValue="201" maxValue="7401192400143" count="562">
        <n v="10010010010"/>
        <n v="19640304"/>
        <n v="19640306"/>
        <n v="400000127"/>
        <n v="400000412"/>
        <n v="50491102"/>
        <n v="50491131"/>
        <n v="50491132"/>
        <n v="50491133"/>
        <n v="52480086"/>
        <n v="5460400"/>
        <n v="574983"/>
        <n v="576003"/>
        <n v="579235"/>
        <n v="60000094"/>
        <n v="60000133"/>
        <n v="60000205"/>
        <n v="60000209"/>
        <n v="60000210"/>
        <n v="620500"/>
        <n v="621323"/>
        <n v="621330"/>
        <n v="621491"/>
        <n v="640676"/>
        <n v="640959"/>
        <n v="641833"/>
        <n v="642694"/>
        <n v="69584479"/>
        <n v="69584483"/>
        <n v="69584500"/>
        <n v="69678219"/>
        <n v="69678222"/>
        <n v="69761861"/>
        <n v="69761868"/>
        <n v="69761870"/>
        <n v="69780941"/>
        <s v="ALD05665"/>
        <s v="ALD05669"/>
        <s v="ALD06514"/>
        <s v="ALD06515"/>
        <s v="ALD06517"/>
        <s v="ALD06519"/>
        <s v="ALD06520"/>
        <s v="ALD06521"/>
        <s v="ALD06522"/>
        <s v="ALD06523"/>
        <s v="ALD06524"/>
        <s v="ALD06526"/>
        <s v="ALD07239"/>
        <s v="ARE15041"/>
        <s v="ARE15052"/>
        <s v="BA016439"/>
        <s v="BA016784"/>
        <s v="BA016785"/>
        <s v="BA017850"/>
        <s v="BA018243"/>
        <s v="BA018244"/>
        <s v="BST016744"/>
        <s v="BYB00020500"/>
        <s v="BYB00020502"/>
        <s v="BYB00051109"/>
        <s v="BYB00100401"/>
        <s v="BYB00100507"/>
        <s v="BYB00101601"/>
        <s v="BYB00170340"/>
        <s v="BYB00170440"/>
        <s v="BYB00170441"/>
        <s v="BYB00171640"/>
        <s v="BYB00220400"/>
        <s v="BYB00220500"/>
        <s v="BYB00230438"/>
        <s v="BYB00230939"/>
        <s v="BYB00231238"/>
        <s v="BYB00232538"/>
        <s v="BYB00430000"/>
        <s v="BYB00441400"/>
        <s v="CB003461"/>
        <s v="DCAS0425"/>
        <s v="DCAS0533"/>
        <s v="DCAS2310"/>
        <s v="DIN641628"/>
        <s v="DIN642205"/>
        <s v="DIN642304"/>
        <s v="GT001N"/>
        <s v="GTALD0001"/>
        <s v="GTQ0012"/>
        <s v="IQM1010110"/>
        <s v="K124099"/>
        <s v="K124100"/>
        <s v="K126679"/>
        <s v="K129027"/>
        <s v="K129029"/>
        <s v="K150793"/>
        <s v="K150801"/>
        <s v="K151247"/>
        <s v="K154182"/>
        <s v="K155094"/>
        <s v="K156746"/>
        <s v="K167451"/>
        <s v="K167452"/>
        <s v="K177507"/>
        <s v="K194082"/>
        <s v="K209481"/>
        <s v="K209657"/>
        <s v="K51795"/>
        <s v="K51798"/>
        <s v="K59080"/>
        <s v="K73543"/>
        <s v="N5189010"/>
        <s v="N7158"/>
        <s v="N7508"/>
        <s v="N7509"/>
        <s v="N7510"/>
        <s v="N7511"/>
        <s v="N7512"/>
        <s v="N7524"/>
        <s v="N7525"/>
        <s v="N7526"/>
        <s v="N7527"/>
        <s v="N7528"/>
        <s v="N7545"/>
        <s v="N7748"/>
        <s v="N8680"/>
        <s v="N8767"/>
        <s v="PD39206"/>
        <s v="PD39241"/>
        <s v="PD39248"/>
        <s v="PD39360"/>
        <s v="PD39842"/>
        <s v="PT010836"/>
        <s v="PT09713"/>
        <s v="Q000246"/>
        <s v="Q000249"/>
        <s v="Q000253"/>
        <s v="Q000255"/>
        <s v="Q000256"/>
        <s v="Q1002"/>
        <s v="Q1007"/>
        <s v="Q1008"/>
        <s v="Q1021"/>
        <s v="Q19166007"/>
        <s v="QUA21240003"/>
        <s v="QUA79240105"/>
        <s v="YAES00305"/>
        <s v="YAES00307"/>
        <s v="YAES00310"/>
        <n v="1008010073" u="1"/>
        <n v="1008011812" u="1"/>
        <n v="4040000841" u="1"/>
        <n v="50491107" u="1"/>
        <n v="52480094" u="1"/>
        <n v="5467000" u="1"/>
        <n v="586703" u="1"/>
        <n v="68798139" u="1"/>
        <n v="10020010007" u="1"/>
        <n v="1008012355" u="1"/>
        <n v="400000160" u="1"/>
        <n v="400000221" u="1"/>
        <n v="50491100" u="1"/>
        <n v="50491104" u="1"/>
        <n v="50491106" u="1"/>
        <n v="50491109" u="1"/>
        <n v="50491121" u="1"/>
        <n v="50491134" u="1"/>
        <n v="579305" u="1"/>
        <n v="579407" u="1"/>
        <n v="588828" u="1"/>
        <n v="640690" u="1"/>
        <n v="642557" u="1"/>
        <n v="69678220" u="1"/>
        <n v="69761865" u="1"/>
        <n v="1008010113" u="1"/>
        <n v="1008013091" u="1"/>
        <n v="19640305" u="1"/>
        <n v="400000048" u="1"/>
        <n v="400000411" u="1"/>
        <n v="50470107" u="1"/>
        <n v="50470108" u="1"/>
        <n v="50491101" u="1"/>
        <n v="50491103" u="1"/>
        <n v="50491108" u="1"/>
        <n v="620821" u="1"/>
        <n v="621439" u="1"/>
        <n v="642236" u="1"/>
        <n v="642359" u="1"/>
        <n v="642366" u="1"/>
        <n v="642373" u="1"/>
        <n v="642380" u="1"/>
        <n v="67767705" u="1"/>
        <n v="68865803" u="1"/>
        <n v="68865806" u="1"/>
        <n v="68874809" u="1"/>
        <n v="68874810" u="1"/>
        <n v="69714154" u="1"/>
        <n v="69717303" u="1"/>
        <n v="10010020002" u="1"/>
        <n v="50491122" u="1"/>
        <n v="620845" u="1"/>
        <n v="68667235" u="1"/>
        <n v="68667239" u="1"/>
        <n v="68798140" u="1"/>
        <n v="84158961" u="1"/>
        <n v="84158963" u="1"/>
        <n v="84159040" u="1"/>
        <n v="1008071533" u="1"/>
        <n v="1008094293" u="1"/>
        <n v="620678" u="1"/>
        <n v="68441503" u="1"/>
        <n v="68441507" u="1"/>
        <n v="1008014100" u="1"/>
        <n v="400000033" u="1"/>
        <n v="400000158" u="1"/>
        <n v="84157033" u="1"/>
        <n v="84157362" u="1"/>
        <n v="10020040002" u="1"/>
        <n v="400000542" u="1"/>
        <n v="579403" u="1"/>
        <n v="579405" u="1"/>
        <n v="67611013" u="1"/>
        <n v="68524861" u="1"/>
        <n v="68647716" u="1"/>
        <n v="68923657" u="1"/>
        <n v="69584482" u="1"/>
        <n v="640683" u="1"/>
        <n v="67139177" u="1"/>
        <n v="20110020" u="1"/>
        <n v="67622624" u="1"/>
        <n v="68395025" u="1"/>
        <n v="68441512" u="1"/>
        <n v="68524859" u="1"/>
        <n v="576004" u="1"/>
        <n v="68441544" u="1"/>
        <n v="2103011672" u="1"/>
        <n v="68115523" u="1"/>
        <n v="579409" u="1"/>
        <n v="68524852" u="1"/>
        <n v="68775732" u="1"/>
        <n v="69618163" u="1"/>
        <n v="67611014" u="1"/>
        <n v="69761866" u="1"/>
        <n v="50470111" u="1"/>
        <n v="50470112" u="1"/>
        <n v="50470115" u="1"/>
        <n v="84168418" u="1"/>
        <n v="68524857" u="1"/>
        <n v="68637162" u="1"/>
        <n v="69786713" u="1"/>
        <n v="1008010115" u="1"/>
        <n v="578086" u="1"/>
        <n v="68437778" u="1"/>
        <n v="69714162" u="1"/>
        <n v="50470114" u="1"/>
        <n v="50470118" u="1"/>
        <n v="68193098" u="1"/>
        <n v="403000261" u="1"/>
        <n v="574986" u="1"/>
        <n v="52480095" u="1"/>
        <n v="68436592" u="1"/>
        <n v="68786597" u="1"/>
        <n v="84168484" u="1"/>
        <n v="68436586" u="1"/>
        <n v="68647722" u="1"/>
        <n v="69584487" u="1"/>
        <n v="84162865" u="1"/>
        <n v="60000212" u="1"/>
        <n v="69714199" u="1"/>
        <n v="68170131" u="1"/>
        <n v="68444066" u="1"/>
        <n v="68444067" u="1"/>
        <n v="680078" u="1"/>
        <n v="69627014" u="1"/>
        <n v="588831" u="1"/>
        <n v="680672" u="1"/>
        <n v="68155562" u="1"/>
        <n v="68380352" u="1"/>
        <n v="84163149" u="1"/>
        <n v="583415" u="1"/>
        <n v="68380364" u="1"/>
        <n v="68524849" u="1"/>
        <n v="68780160" u="1"/>
        <n v="69678218" u="1"/>
        <n v="67611010" u="1"/>
        <n v="10080010002" u="1"/>
        <n v="680689" u="1"/>
        <n v="84153562" u="1"/>
        <n v="84163148" u="1"/>
        <n v="680092" u="1"/>
        <n v="652532" u="1"/>
        <n v="67409831" u="1"/>
        <n v="68193096" u="1"/>
        <n v="68524850" u="1"/>
        <n v="84153561" u="1"/>
        <n v="680214" u="1"/>
        <n v="84171576" u="1"/>
        <n v="52480083" u="1"/>
        <n v="68193097" u="1"/>
        <n v="68380353" u="1"/>
        <n v="84157012" u="1"/>
        <n v="571467" u="1"/>
        <n v="68524848" u="1"/>
        <n v="67140989" u="1"/>
        <n v="67721092" u="1"/>
        <n v="67409940" u="1"/>
        <n v="69714198" u="1"/>
        <n v="565119" u="1"/>
        <n v="84158965" u="1"/>
        <n v="579412" u="1"/>
        <n v="67611016" u="1"/>
        <n v="69620218" u="1"/>
        <n v="84171222" u="1"/>
        <n v="67707590" u="1"/>
        <n v="67707595" u="1"/>
        <n v="68354542" u="1"/>
        <n v="68611972" u="1"/>
        <n v="576000" u="1"/>
        <n v="579362" u="1"/>
        <n v="68688972" u="1"/>
        <n v="68865804" u="1"/>
        <n v="68754734" u="1"/>
        <n v="579264" u="1"/>
        <n v="84163166" u="1"/>
        <n v="68875982" u="1"/>
        <n v="84160187" u="1"/>
        <n v="642205" u="1"/>
        <n v="68645445" u="1"/>
        <n v="69584486" u="1"/>
        <n v="68524854" u="1"/>
        <n v="84153470" u="1"/>
        <n v="67986539" u="1"/>
        <n v="579413" u="1"/>
        <n v="68864406" u="1"/>
        <n v="576690" u="1"/>
        <n v="579319" u="1"/>
        <n v="67409941" u="1"/>
        <n v="67519203" u="1"/>
        <n v="67707587" u="1"/>
        <n v="68174780" u="1"/>
        <n v="68818454" u="1"/>
        <n v="69629507" u="1"/>
        <n v="68766039" u="1"/>
        <n v="68786560" u="1"/>
        <n v="84168485" u="1"/>
        <n v="68649838" u="1"/>
        <n v="68524847" u="1"/>
        <n v="67150066" u="1"/>
        <n v="68436574" u="1"/>
        <n v="579406" u="1"/>
        <n v="68141798" u="1"/>
        <n v="566030" u="1"/>
        <n v="52460025" u="1"/>
        <n v="67190950" u="1"/>
        <n v="67279488" u="1"/>
        <n v="68436589" u="1"/>
        <n v="60000262" u="1"/>
        <n v="207" u="1"/>
        <n v="68285450" u="1"/>
        <n v="640706" u="1"/>
        <n v="256" u="1"/>
        <n v="84163138" u="1"/>
        <n v="400000161" u="1"/>
        <n v="67624575" u="1"/>
        <n v="68802170" u="1"/>
        <n v="579213" u="1"/>
        <n v="67171635" u="1"/>
        <n v="50470101" u="1"/>
        <n v="68614030" u="1"/>
        <n v="68455320" u="1"/>
        <n v="68534543" u="1"/>
        <n v="68882798" u="1"/>
        <n v="67574563" u="1"/>
        <n v="84157831" u="1"/>
        <n v="68141796" u="1"/>
        <n v="50490900" u="1"/>
        <n v="67746868" u="1"/>
        <n v="67885788" u="1"/>
        <n v="69620216" u="1"/>
        <n v="84154860" u="1"/>
        <n v="68647721" u="1"/>
        <n v="579308" u="1"/>
        <n v="84159927" u="1"/>
        <n v="579321" u="1"/>
        <n v="50470105" u="1"/>
        <n v="68399684" u="1"/>
        <n v="50491116" u="1"/>
        <n v="68534556" u="1"/>
        <n v="5049280" u="1"/>
        <n v="579337" u="1"/>
        <n v="68565714" u="1"/>
        <n v="50491112" u="1"/>
        <n v="68524841" u="1"/>
        <n v="69629504" u="1"/>
        <n v="579364" u="1"/>
        <n v="84168063" u="1"/>
        <n v="67663498" u="1"/>
        <n v="60000215" u="1"/>
        <n v="68534532" u="1"/>
        <n v="50490908" u="1"/>
        <n v="19790106" u="1"/>
        <n v="67409938" u="1"/>
        <n v="68564978" u="1"/>
        <n v="50490904" u="1"/>
        <n v="579404" u="1"/>
        <n v="84156604" u="1"/>
        <n v="579410" u="1"/>
        <n v="579411" u="1"/>
        <n v="19790102" u="1"/>
        <n v="67411722" u="1"/>
        <n v="67409922" u="1"/>
        <n v="67466523" u="1"/>
        <n v="588520" u="1"/>
        <n v="588521" u="1"/>
        <n v="50470102" u="1"/>
        <n v="67707584" u="1"/>
        <n v="214902" u="1"/>
        <n v="68637139" u="1"/>
        <n v="68637131" u="1"/>
        <n v="571466" u="1"/>
        <n v="560374" u="1"/>
        <n v="68170124" u="1"/>
        <n v="1008011991" u="1"/>
        <n v="84162953" u="1"/>
        <n v="1000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7401192400013" u="1"/>
        <n v="68534542" u="1"/>
        <n v="1003" u="1"/>
        <n v="68142902" u="1"/>
        <n v="50491105" u="1"/>
        <n v="586682" u="1"/>
        <n v="1004" u="1"/>
        <n v="84151286" u="1"/>
        <n v="68809921" u="1"/>
        <n v="586699" u="1"/>
        <n v="1005" u="1"/>
        <n v="247" u="1"/>
        <n v="642168" u="1"/>
        <n v="68227509" u="1"/>
        <n v="84150507" u="1"/>
        <n v="79790105" u="1"/>
        <n v="1006" u="1"/>
        <n v="68401571" u="1"/>
        <n v="68876989" u="1"/>
        <n v="67279484" u="1"/>
        <n v="84156662" u="1"/>
        <n v="1007" u="1"/>
        <n v="60000264" u="1"/>
        <n v="6777546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0470103" u="1"/>
        <n v="68444073" u="1"/>
        <n v="84161579" u="1"/>
        <n v="69629503" u="1"/>
        <n v="84150971" u="1"/>
        <n v="68564993" u="1"/>
        <n v="10080010001" u="1"/>
        <n v="567647" u="1"/>
        <n v="588829" u="1"/>
        <n v="249" u="1"/>
        <n v="67409937" u="1"/>
        <n v="67574559" u="1"/>
        <n v="642304" u="1"/>
        <n v="68787808" u="1"/>
        <n v="50490902" u="1"/>
        <n v="576774" u="1"/>
        <n v="84159547" u="1"/>
        <n v="566701" u="1"/>
        <n v="201" u="1"/>
        <n v="68649837" u="1"/>
        <n v="50491118" u="1"/>
        <n v="250" u="1"/>
        <n v="67611021" u="1"/>
        <n v="50491114" u="1"/>
        <n v="68614031" u="1"/>
        <n v="67409830" u="1"/>
        <n v="1019" u="1"/>
        <n v="573809" u="1"/>
        <n v="67611005" u="1"/>
        <n v="84168003" u="1"/>
        <n v="573811" u="1"/>
        <n v="573812" u="1"/>
        <n v="68142904" u="1"/>
        <n v="573816" u="1"/>
        <n v="573817" u="1"/>
        <n v="573818" u="1"/>
        <n v="573819" u="1"/>
        <n v="573820" u="1"/>
        <n v="69629500" u="1"/>
        <n v="50490910" u="1"/>
        <n v="10040010015" u="1"/>
        <n v="250042" u="1"/>
        <n v="1021" u="1"/>
        <n v="251" u="1"/>
        <n v="50490906" u="1"/>
        <n v="68141797" u="1"/>
        <n v="19790103" u="1"/>
        <n v="67746869" u="1"/>
        <n v="404000140" u="1"/>
        <n v="203" u="1"/>
        <n v="68647714" u="1"/>
        <n v="252" u="1"/>
        <n v="68524853" u="1"/>
        <n v="68466961" u="1"/>
        <n v="576943" u="1"/>
        <n v="68646674" u="1"/>
        <n v="50470100" u="1"/>
        <n v="84168064" u="1"/>
        <n v="84151549" u="1"/>
        <n v="204" u="1"/>
        <n v="253" u="1"/>
        <n v="68646586" u="1"/>
        <n v="557831" u="1"/>
        <n v="574978" u="1"/>
        <n v="574982" u="1"/>
        <n v="67279491" u="1"/>
        <n v="589111" u="1"/>
        <n v="576002" u="1"/>
        <n v="67551222" u="1"/>
        <n v="576006" u="1"/>
        <n v="67409923" u="1"/>
        <n v="7401192400136" u="1"/>
        <n v="68354529" u="1"/>
        <n v="205" u="1"/>
        <n v="68466966" u="1"/>
        <n v="50491119" u="1"/>
        <n v="254" u="1"/>
        <n v="50470104" u="1"/>
        <n v="67952534" u="1"/>
        <n v="84157802" u="1"/>
        <n v="67627146" u="1"/>
        <n v="67140992" u="1"/>
        <n v="67611015" u="1"/>
        <n v="547830" u="1"/>
        <n v="547832" u="1"/>
        <n v="641628" u="1"/>
        <n v="578100" u="1"/>
        <n v="68661570" u="1"/>
        <n v="69629502" u="1"/>
        <n v="206" u="1"/>
        <n v="68875985" u="1"/>
        <n v="547856" u="1"/>
        <n v="400000386" u="1"/>
        <n v="255" u="1"/>
      </sharedItems>
    </cacheField>
    <cacheField name="Columna2" numFmtId="0">
      <sharedItems containsBlank="1" count="1171">
        <s v="ALC ARROZ GALL DORA PREC 400G (25)"/>
        <s v="QUA BONTEA DURAZNO 10X12X30G"/>
        <s v="QUA BONTEA MANZANA 10X12X30G"/>
        <s v="FOS FOSFOROS FOGATA 10x10"/>
        <s v="FOS Fosforos Propasa 10x10"/>
        <s v="XHC PFS MAX PODER BLANCO 6X3X400G"/>
        <s v="XHC PFS MAX MB BLANCA 6X3X500G"/>
        <s v="XHC PFS MAX MB NARANJA 6X3X500G"/>
        <s v="XHC PFS MAX MB BLANC/NARAN DUOX 6X3X500G"/>
        <s v="XHC PFS LIMPIOX AVENA DISCO 108G (72)"/>
        <s v="QUA SAVILOE 12X320ML(UNIDAD)"/>
        <s v="FOOD HELLMANNS MAY DP 12X100G"/>
        <s v="FOOD KNORR SOPA POLLO C/FIDEO 12X12X55G (144)"/>
        <s v="REXONA AERO BAMBOO 12X90G"/>
        <s v="ALC ORO MAY  HARIN MAIZ BLANC 800 (9)"/>
        <s v="ALC ORO MAY HARIN MAIZ BLANC 50LBS (1)"/>
        <s v="ALC ORO MAY HARIN MAIZ BLANC 400G (20)"/>
        <s v="ALC ARROZ ESTRELLA PRECO 350G (25)"/>
        <s v="ALC ARROZ ESTRELLA BLANCO 350G (25)"/>
        <s v="DIN MAZOLA ACEITE  BOT 32onz (12)"/>
        <s v="DIN ISSIMA MARGARINA 400gr (24)"/>
        <s v="DIN MAZOLA MARGARINA BARRA 400gr (24)"/>
        <s v="DIN MAZOLA MARGARINA  AJO/HIERBAS 400GR (24)"/>
        <s v="XHC DIN ZIXX JAB BLANCO 400G (6)"/>
        <s v="XHC DIN ZIXX JAB ROSADO 400G (6)"/>
        <s v="XHC DIN ZIXX JAB LILA 400G (6)"/>
        <s v="XHC DIN ZIXX JAB AQUA 400G (6)"/>
        <s v="FOOD MAIZENA ALMIDON MAIZ NATURAL 40X375G"/>
        <s v="FOOD MAIZENA ALMIDON MAIZ NATURAL 80X185G"/>
        <s v="FOOD MAIZENA F MAIZ NATURAL 20X20X45G (400)"/>
        <s v="SCH SEDAL CR PEIN KERAT 24X28X9ML"/>
        <s v="SCH SEDAL CR PEIN RIZ OBED 24X28X9ML"/>
        <s v="FOOD NATURAS SALSA TOMATE C/QUESO 96X90G"/>
        <s v="FOOD NATURAS SALSA TOMATE RANCHERA 96X90G"/>
        <s v="FOOD NATURAS SALSA TOMATE C/CARNE 96X90G"/>
        <s v="FOOD NATURAS JUMB SSA RANCH 24X90G"/>
        <s v="ALD PIN POP SANDIA 16X24 (16)"/>
        <s v="ALD BIAGI CARAMELO 16X100"/>
        <s v="ALD YOGUETA SURTIDA RELLENA 16X24  (15G)"/>
        <s v="ALD YOGUETA CHOCOCARAMEL 16X24 (15G)"/>
        <s v="ALD PIN POP MANGO 16X24 (15G)"/>
        <s v="ALD PIN POP THE MOST WANTED 16X24 (15G)"/>
        <s v="ALD PIN POP ASSORTED 16X24 (15G)"/>
        <s v="ALD PIN POP KOLA 16X24 (15G)"/>
        <s v="ALD PIN POP PINTALENGUA 16X24 (15G)"/>
        <s v="ALD PIN POP X2 16X24 (15G)"/>
        <s v="ALD YOGUETA MILKY CARAMEL 16X24 (15G)"/>
        <s v="ALD PIN POP FRESA 16x24 (15G)"/>
        <s v="ALD PLAY GUSANOS AZUCARADOS JARRA 6X200 (3G)"/>
        <s v="ARE SABUESO ADULTO 100 LBS"/>
        <s v="ARE SABUESO CACHORRO 40X420G"/>
        <s v="BEST GALLETA MANI 24X12X20G (24)"/>
        <s v="BEST GALLETA FRESA 24X12X20G (24)"/>
        <s v="BEST GALLETA CHOCOLATE 24X12X20G (24)"/>
        <s v="BEST BOTE CONITO CHOCOLATE 80u (12)"/>
        <s v="BEST BOTONETAS MANI 20X24X9G (20)"/>
        <s v="BEST BOTONETAS CHOCOLATE 20X24X9G (20)"/>
        <s v="BEST GALLETA CHAPETIN 24X12 (24)"/>
        <s v="BYB CHILE JALAPEÑO SEMIPICANTE LATA 96/5.8oz"/>
        <s v="BYB CHILE JALAPEÑO PICANTE LATA 96/5.8oz"/>
        <s v="BYB CONCENTRADO DE HORCHATA 24/225 ml"/>
        <s v="BYB MAYONESA CLASICA BOLSA 48/100g"/>
        <s v="BYB MAYONESA CLASICA ALMOHADITA 48/100g"/>
        <s v="BYB MAYONESA CLASICA BOLSA 32/380g"/>
        <s v="BYB SALSA PICAMAS VERDE BOLSA 48/100g"/>
        <s v="BYB SALSA PICAMAS VERDE PLASTICO 48/100g"/>
        <s v="BYB SALSA PICAMAS ROJA PLASTICO 48/100g"/>
        <s v="BYB SALSA PICAMAS VERDE BOLSA 32/454g"/>
        <s v="BYB SALSA SOYA PLASTICA 48/3.5oz"/>
        <s v="BYB SALSA SOYA PLASTICA 24/152 ml"/>
        <s v="BYB VINAGRE CLARO 48/100ml"/>
        <s v="BYB VINAGRE CLARO 24/200ml"/>
        <s v="BYB VINAGRE CLARO 24/360ml"/>
        <s v="BYB VINAGRE CLARO BOTE LARGO 12/750ml"/>
        <s v="BYB CHEEZ DIP DOY PACK 12/200g"/>
        <s v="BYB SALSA BARBACOA SQUEZZE PLASTICO 24/14oz"/>
        <s v="BEST CAFE BARISTA SOLUBLE 12X24X8g"/>
        <s v="DCASA PAPEL ENCANTO GDE. 1X12X4 (12)"/>
        <s v="DCASA HEINZ MELOCOTO FLEX 24X113G"/>
        <s v="DCASA MIRASOL MARG 24X5X80G"/>
        <s v="XHC DIN ROKU JAB AMARILLO 375G (4)"/>
        <s v="XHC DIN ROKU JAB SALMON 375G (4)"/>
        <s v="XHC DIN ROKU JAB AQUA 375G (4)"/>
        <s v="BONI NSK ROLLO PAPEL HIGIENICO"/>
        <s v="ALD COMODATO EXHIBIDOR PIN POP"/>
        <s v="BONI SAVILOE UND 320ML (12)"/>
        <s v="IQUI CLORO MAGICLOR POPULINO 1X12X6 235ML"/>
        <s v="IAK FUN C REFR MANZ 200ML TETR (24)"/>
        <s v="IAK FUN C REFR MELOC 200ML TETR (24)"/>
        <s v="IAK KERNS KETCHUP SCH 52GR (144)"/>
        <s v="IAK KERNS NECT MANZ TETR 24X250ml"/>
        <s v="IAK KERNS NECT MELOC TETR 24X250ml"/>
        <s v="IAK DUCAL FRIJ NEGR DyP 8oz (24)"/>
        <s v="IAK DUCAL FRIJ NEGR DyP 14.1oz (18)"/>
        <s v="IAK KERNS KETCHUP 24X375gr PET"/>
        <s v="IAK KERNS 330ml COCTEL VEGETALES  (24)"/>
        <s v="IAK DUCAL FRIJ NEGR DyP 28oz (12)"/>
        <s v="IAK DUCAL BEB TETR MANZ 200ml (24)"/>
        <s v="IAK KERNS 330ml NECT MELOCOTON (24)"/>
        <s v="IAK KERNS 330ml NECT MANZANA  (24)"/>
        <s v="IAK KERNS TE DURAZNO 2500ml (6)"/>
        <s v="IAK KERNS 154mL COCTEL VEGETALES (48)"/>
        <s v="IAK DUCAL FRIJ NEGR DyP 4oz (24)"/>
        <s v="IAK DUCAL FRIJ CARNICOS LAT 28oz (12)"/>
        <s v="IAK DUCAL FRIJ NEGR LAT 10.5oz (48)"/>
        <s v="IAK DUCAL FRIJ NEGR LAT 5.5oz (48)"/>
        <s v="IAK KERNS PASTA TOMATE 4 Oz DyP (48)"/>
        <s v="IAK DUCAL FRIJ NEGR LAT 15oz (24)"/>
        <s v="NSK BIC RASURADORA SHAVER SENS 24 (48)"/>
        <s v="NSK VANISH WHITE 6X12 U"/>
        <s v="NSK FABULOSO CITRIC Y FRU 1X6X12U/80ML"/>
        <s v="NSK FABULOSO LAVANDA 1X6X12U/80ML"/>
        <s v="NSK AZISTIN LAVANDA 1X6X12U/80ML"/>
        <s v="NSK SUAVITEL AROM D SOL 1X6X12U/80ML"/>
        <s v="NSK SUAVITEL COMPL PRIMAV 1X6X12 U"/>
        <s v="NSK JABON PROTEX ALOE 110GR (96)"/>
        <s v="NSK JABON PROTEX FRESH 110GR (96)"/>
        <s v="NSK JABON PROTEX AVENA 110GR (96)"/>
        <s v="NSK LAV POTENSOL CIL 400g (20)"/>
        <s v="NSK AZISTIN MANZANA 1X6X12U/80ML"/>
        <s v="NSK COLGATE KIT DE CEPILL 1X24TXTIRA 6UNDS"/>
        <s v="NSK AZISTIN ALTERNATIVO CLORO 1X6X12U/80ML"/>
        <s v="NSK TAJIN CLASICO TIRA  DE 12 SCH (44T)"/>
        <s v="NSK LAV POTENSOL MARQUETA 215g (42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BEST BOTE CHOCOGOL 150u (12)"/>
        <s v="BEST CHOCOPANDA CHOCOLATE 25X12X14G"/>
        <s v="QUA JUGOS YA FRESA 10X15X18 FIT"/>
        <s v="QUA JUGOS YA PINA 10X15X18 FIT"/>
        <s v="QUA JUGOS YA DURAZNO 10X15X18 FIT"/>
        <s v="QUA JUGOS YA MANGO 10X15X18 FIT"/>
        <s v="QUA JUGOS YA NARANJA 10X15X18 FIT"/>
        <s v="QUA YUS TAMARINDO 9X15X28g"/>
        <s v="QUA YUS NARANJA 9X15X28g)"/>
        <s v="QUA YUS PIÑA 9X15X28g"/>
        <s v="QUA TOKI SURTIDO 25X24X8G"/>
        <s v="QUA YUS FRUTAS TROPICALES 9x15x28g"/>
        <s v="SCH QUA NUTRIBELA HIALURONICO 48X6X27ML"/>
        <s v="SCH QUA NUTRIBELA TRAT CAP 24X12X27ML"/>
        <s v="YAES MUCHO NACHO BARBACOA 16X12X17gr"/>
        <s v="YAES MUCHO NACHO VERDE 16X12X17gr"/>
        <s v="YAES GUENOS BARBACOA 4X12X20gr"/>
        <s v="KELL CORN FLAKES 28X150G (28)" u="1"/>
        <s v="KELL CHOCO KRISPIS 28X290G (28)" u="1"/>
        <s v="FOS ENCENDEDOR FRAGATA MINI 40X25" u="1"/>
        <s v="XHC PFS MAX BLANC/NARAN DUOX 6X3X400G" u="1"/>
        <s v="XHC PFS LIMPIOX CILINDRO LIMON 18X320G" u="1"/>
        <s v="QUA SAVILOE 12X500ML (UNIDAD)" u="1"/>
        <s v="AXE AERO VITTO DARK TEMPT 12X58G" u="1"/>
        <s v="REXONA AERO POWER DRY 12X58G" u="1"/>
        <s v="ALD MASTI MINT 16X100 (4G)" u="1"/>
        <s v="ARE SABUESO ADULTO 40X454G" u="1"/>
        <s v="BEST CHOCOFRUTA TABLETA 32X300G" u="1"/>
        <s v="BEST CHOCOFRUTA 50x350G" u="1"/>
        <s v="BYB CHILE JALAPEÑO SEMIPICANTE BOLSA 12/320g" u="1"/>
        <s v="BYB MERMELADA DE FRESA VASO 12/260g" u="1"/>
        <s v="BYB MERMELADA DE MORA VASO 12/260g" u="1"/>
        <s v="BYB MERMELADA DE PIÑA VASO 12/260g" u="1"/>
        <s v="BYB MAYONESA CLASICA BOLSA 48/200g" u="1"/>
        <s v="BYB MOSTAZA BOLSA 48/200g" u="1"/>
        <s v="BYB SALSA T/KETCHUP ALMOHADITA 48/110g" u="1"/>
        <s v="BYB SALSA T/KETCHUP BOLSA 4/3000g" u="1"/>
        <s v="DCASA HEINZ PERA FLEX 24X113G" u="1"/>
        <s v="BONI QUA FRIJOL NEGRO LAT 5.5 OZ (48)" u="1"/>
        <s v="IAK DUCAL FRIJ CHUB NEGR ENT 1.82kgs (6)" u="1"/>
        <s v="IAK KERNS COCT VEGET 1 LT TETR (12)" u="1"/>
        <s v="IAK KERNS COCT VEGET ALMEJA 1LT (12)" u="1"/>
        <s v="IAK DUCAL BEB TETR MELOC 200ml (24)" u="1"/>
        <s v="IAK BAMB DAIQUIRI FRESA 350ml LT (24)" u="1"/>
        <s v="IAK KERNS TE LIMON 2500ML (6)" u="1"/>
        <s v="IAK DUCAL FRIJ NEGR LAT 29oz (12)" u="1"/>
        <s v="IAK KERNS PASTA TOMATE LATA 48X6oz" u="1"/>
        <s v="IAK KERNS 330ml NECT PIÑA (24)" u="1"/>
        <s v="NSK BIC RASURADORA CONFORT 2 12 (48)" u="1"/>
        <s v="NSK VANISH PINK 6X12 U" u="1"/>
        <s v="NSK JABON PROTEX BALANCE 110GR (96)" u="1"/>
        <s v="NSK COLGATE DOBLE FRESCURA 150ML (72)" u="1"/>
        <s v="NSK BIC BOLIGRAFO NEGRO 12 (100)" u="1"/>
        <s v="NSK BIC BOLIGRAFO AZUL 12 (100)" u="1"/>
        <s v="NSK SUAVITEL ROSADO 6X12X80ML" u="1"/>
        <s v="QUA JUGOS YA JAMAICA 10X15X18 FIT" u="1"/>
        <s v="QUA JUGOS YA LIMON 10X15X18 FIT" u="1"/>
        <s v="QUA YUS GUANABA 9X15X28g)" u="1"/>
        <s v="QUA YUS HORCHATA 9X15X28g" u="1"/>
        <s v="QUA YUS FRESA 9X15X28g" u="1"/>
        <s v="QUA YUS LIMONADA 9X15X28g" u="1"/>
        <s v="QUA YUS DURAZNO 9X15X28g" u="1"/>
        <s v="QUA YUS JAMAICA 9X15X28g" u="1"/>
        <s v="QUA YUS LIMONADA CON CHAN 9X15X28g" u="1"/>
        <s v="QUA YUS SABILA 9X15X28G" u="1"/>
        <s v="QUA SAVILOE FRUTOS ROJOS 12X500ML" u="1"/>
        <s v="TERMO GABACHA #1 (26)" u="1"/>
        <s v="TERMO BOLSA COLOR 5 Lbs (46)" u="1"/>
        <s v="YAES SAL DE MESA REFINADA 25/400G" u="1"/>
        <s v="ALC ARROZ MOLINER BLANC 400G (25)" u="1"/>
        <s v="KELL CHOCO KRISPIS 24X620G (24)" u="1"/>
        <s v="FOS FOSFOROS FOGATA ECO 12X10" u="1"/>
        <s v="FOS FOSFOROS AGUILA 2X10X5" u="1"/>
        <s v="XHC PFS MAX PODER VERDE 6X3X400G" u="1"/>
        <s v="XHC PFS MAX PODER NARANJA 6X3X400G" u="1"/>
        <s v="XHC PFS MAX PODER AMARILLO 6X3X400G" u="1"/>
        <s v="XHC PFS MAX BLANC/VERDE DUOX 6X3X400G" u="1"/>
        <s v="XHC PFS MAX PODER ALOE 6X3X400G" u="1"/>
        <s v="XHC PFS MAX MB BLANC/VERD DUOX 6X3X500G" u="1"/>
        <s v="REXONA AERO V8 12X90G" u="1"/>
        <s v="PONDS CR  50G S HUMECTANTE NUTRITIVA (24)" u="1"/>
        <s v="AXE AERO BS DARK TEMPT 12X97G" u="1"/>
        <s v="XHC DIN ZIXX JAB AZUL 400G (6)" u="1"/>
        <s v="XHC DIN ZIXX JAB AVENA 400G (6)" u="1"/>
        <s v="SCH SEDAL CR LISO PERFECTO 24X28X9ML" u="1"/>
        <s v="FOOD NATURAS SALSA TOMATE ITALIANA 96X90G" u="1"/>
        <s v="ALD PLAY GUSANOS 55g (24)" u="1"/>
        <s v="ALD PLAY TORTU SPLASH 55g (24)" u="1"/>
        <s v="ALD PLAY CORAZONES 55g (24)" u="1"/>
        <s v="ALD PLAY BANANAS 55g (24)" u="1"/>
        <s v="BYB CONCENTRADO DE TAMARINDO 24/225 ml" u="1"/>
        <s v="BYB MERMELADA DE FRESA DOY PACK 24/200g" u="1"/>
        <s v="BYB VINAGRE CLARO GALÓN PLASTICO 4/3785ml" u="1"/>
        <s v="DCASA HEINZ BANANO FLEX 24X113G" u="1"/>
        <s v="DCASA GELATINA POLVO UVA 28X400g" u="1"/>
        <s v="DCASA GELATINA POLVO FRESA 28X400g" u="1"/>
        <s v="DCASA GELATINA POLVO PIÑA 28X400g" u="1"/>
        <s v="DCASA GELATINA POLVO LIMON 28X400g" u="1"/>
        <s v="DCASA GELATINA POLVO CHICLE 28X400g" u="1"/>
        <s v="DM ESPONJAS (5XBOLSA)" u="1"/>
        <s v="BONI DIN MARGARINA MAZOLA 400G (24)" u="1"/>
        <s v="IAK DUCAL FRIJ CHUB ROJO ENT 1.82kgs (6)" u="1"/>
        <s v="IAK DUCAL BEB HOJALAT MELOC 154ml (48)" u="1"/>
        <s v="IAK KERNS 330ml COCTEL VEGETALES ALMEJA  (24)" u="1"/>
        <s v="IAK KERNS TE FRAMBUES 2500ml (6)" u="1"/>
        <s v="IAK BAMB PIÑA COLADA 350ml LATA (24)" u="1"/>
        <s v="NSK LAV DOÑA BLANCA CIL 400g (20)" u="1"/>
        <s v="QUA FRUTY FRESCO 9+9 (8)" u="1"/>
        <s v="QUA JUGOS YA GUANABA 10X15X18 FIT" u="1"/>
        <s v="QUA JUGOS YA MORA 10X15X18 FIT" u="1"/>
        <s v="QUA JUGOS YA HORCHATA 10X15X18 FIT" u="1"/>
        <s v="QUA YUS TE FRIO FRAMBUESA 9X15X28g" u="1"/>
        <s v="QUA NUTRIBELA TARRO 12X300ml" u="1"/>
        <s v="YAES ROSTIZADOR EMPAN POLLO 90G (100)" u="1"/>
        <s v="KELL FROOT LOOPS MINI SCH 5X12X15G (5)" u="1"/>
        <s v="KELL CHOCO KRISPIS MINI SCH 5X12X22G (5)" u="1"/>
        <s v="QUA BONTEA LIMON 10X12X30G" u="1"/>
        <s v="FOS PALILLOS MADERA 12X12X250u" u="1"/>
        <s v="FOS FOSFOROS MADERA GALLO 10X10" u="1"/>
        <s v="XHC PFS CENTELLA CAMPEON VERDE 6X4X330G" u="1"/>
        <s v="XHC PFS CENTELLA CAMPEON BLANCO 6X4X330G" u="1"/>
        <s v="XHC PFS MAX PODER AZUL  6X3X400G" u="1"/>
        <s v="XHC PFS MAX PODER ROSADO 6X3X400G" u="1"/>
        <s v="XHC PFS MAX BLANC/AZUL DUOX 6X3X400G" u="1"/>
        <s v="DIN MAZOLA ACEITE DYP 400ml (24)" u="1"/>
        <s v="DIN MAZOLA MARGARINA LIGHT 400GR (24)" u="1"/>
        <s v="XHC DIN ZIXX JAB AMARILLO 400G (6)" u="1"/>
        <s v="XHC DIN VENZA JABON AVENA 110g (72)" u="1"/>
        <s v="XHC DIN VENZA JABON SABILA 110g (72)" u="1"/>
        <s v="XHC DIN VENZA JABON FRESCURA EXTR 110g (72)" u="1"/>
        <s v="XHC DIN VENZA JABON VITAMINA E 110g (72)" u="1"/>
        <s v="REXONA ROLLON BAMBOO 6X30ML" u="1"/>
        <s v="XHC XEDEX DESIN LAVANDA DYP 24X425ML" u="1"/>
        <s v="XHC XEDEX DESIN CITRICOS DYP 24X425ML" u="1"/>
        <s v="XHC XEDEX DESIN LAVANDA DYP 12X750ML" u="1"/>
        <s v="XHC XEDEX DESIN CITRICOS DYP 12X750ML" u="1"/>
        <s v="XHC XEDEX MAX POD LIMON 13X800G" u="1"/>
        <s v="XHC XEDEX P MAXIMO PODER 31X115G" u="1"/>
        <s v="ALD YOGUETA MILK 16X24 (15G)" u="1"/>
        <s v="ALD PIN POP ICE 16X24 (15G)" u="1"/>
        <s v="ALD PLAY TIBURONES 55g (24)" u="1"/>
        <s v="BYB MAYONESA CLASICA BOLSA 8/1500g" u="1"/>
        <s v="BYB SALSA T/KETCHUP BOLSA 48/100g" u="1"/>
        <s v="BYB SALSA T/KETCHUP BOLSA 48/215g" u="1"/>
        <s v="BYB SALSA T/KETCHUP ALMOHADITA 48/215g" u="1"/>
        <s v="DCASA HEINZ FRUTA MIX FLEX 24X113G" u="1"/>
        <s v="DCASA HEINZ CIRUELA/PASAS FLEX 24X113G" u="1"/>
        <s v="ENV AGUA PURIFICADA SCANDIA 12X600ML" u="1"/>
        <s v="BONI PROMOV" u="1"/>
        <s v="BONI UL PALANGANA" u="1"/>
        <s v="IPR LOZANO MANZANA 500ML (12)" u="1"/>
        <s v="IPR LOZANO UVA 500ML (12)" u="1"/>
        <s v="IAK DUCAL FRIJ ROJO PICANT DyP 8oz (24)" u="1"/>
        <s v="IAK DUCAL FRIJ CARNICOS LAT 14oz (24)" u="1"/>
        <s v="IAK DUCAL FRIJ CARNICOS LAT 5 oz (48)" u="1"/>
        <s v="NSK LAV AXION TARRO 235g (48)" u="1"/>
        <s v="NSK LAV AXION LIMON TIRA 115g (6)" u="1"/>
        <s v="NSK LAV DOÑA BLANCA CIL TIRA 170g (6)" u="1"/>
        <s v="QUA YUS TE FRIO DURAZNO 9X15X28g" u="1"/>
        <s v="TERMO GABACHA #2 (12)" u="1"/>
        <s v="YAES MUCHO NACHO ROSTIZADO 180G (8)" u="1"/>
        <s v="YAES VINAGRE MANZANA CLEMEN 500ml (24)" u="1"/>
        <s v="YAES MUCHO NACHO QUESO 16X12X17gr" u="1"/>
        <s v="ALC ARROZ MACAREN PREC 400G (25)" u="1"/>
        <s v="XHC PFS MAX PODER LILA 6X3X400G" u="1"/>
        <s v="DIN MAZOLA ACEITE DYP 700ml (18)" u="1"/>
        <s v="FOOD HELLMANNS MAY DP 12X190G" u="1"/>
        <s v="FOOD HELLMANNS MAY DP 12X380G" u="1"/>
        <s v="REXONA AERO V8 12X58G" u="1"/>
        <s v="SEDAL SH 340 ML LISO PERFECTO (12)" u="1"/>
        <s v="SEDAL SH 340 ML CERAMIDAS (12)" u="1"/>
        <s v="SEDAL SH 340 ML RIZOS DEFINIDOS (12)" u="1"/>
        <s v="ALD PIN POP BLACK CHERRY 16X24 (15G)" u="1"/>
        <s v="ARE SABUESO CACHORRO 44 LBS" u="1"/>
        <s v="BEST CHOCOFRUTA 10X1400G (10)" u="1"/>
        <s v="BYB CONCENTRADO DE HORCHATA 12/678 ml" u="1"/>
        <s v="BYB CONCENTRADO DE TAMARINDO 12/678 ml" u="1"/>
        <s v="BYB SALSA PICAMAS VERDE JUMBO PLASTICO 24/19oz" u="1"/>
        <s v="DCASA HEINZ POSTRE  FLEX 24X113G" u="1"/>
        <s v="DCASA GELATINA POLVO MELOC.28X400g" u="1"/>
        <s v="DCASA GELATINA POLVO NARANJA 28X400g" u="1"/>
        <s v="BONI ARE PLATO SABUESO" u="1"/>
        <s v="IAK GOYA MAIZ ENTERO 15.25 ONZ (24)" u="1"/>
        <s v="NSK BIC ENCENDEDOR MAXI J6 5+1 (60)" u="1"/>
        <s v="UNS OSITO MIEL QUEENBEE 340gr (24)" u="1"/>
        <s v="TERMO BOLSA DE BASURA NEGRA 24X35 (100)" u="1"/>
        <s v="TERMO BOLSA COLOR 2 Lbs (70)" u="1"/>
        <s v="YAES MUCHO NACHO ROSTIZADO 390G (12)" u="1"/>
        <s v="KELL FROOT LOOPS 28X180G (28)" u="1"/>
        <s v="KELL ZUCARITAS 28X260G (28)" u="1"/>
        <s v="DIN MAZOLA MANTECA 1LB (50)" u="1"/>
        <s v="AXE AERO BS APOLLO 12X97G" u="1"/>
        <s v="AXE AERO BS EXCITE 12X97G" u="1"/>
        <s v="ALD YOGUETA COOKIES &amp; CREAM 16X24 (15G)" u="1"/>
        <s v="BYB SALSA T/KETCHUP BOLSA 32/435g" u="1"/>
        <s v="BYB SALSA INGLESA PLASTICA 48/3.5onz" u="1"/>
        <s v="BYB SALSA INGLESA PLASTICA 24/152 ml" u="1"/>
        <s v="BYB VINAGRE CLARO 24/500ml" u="1"/>
        <s v="IAK KERNS KETCHUP 776gr PET (12)" u="1"/>
        <s v="IAK KERNS 330ml NECT PERA (24)" u="1"/>
        <s v="KELL CORN FLAKES 16X500 (16)" u="1"/>
        <s v="FOS ENCENDEDOR FRAGATA 40x25" u="1"/>
        <s v="FOS FOSFOROS CABALLO ROJO 24x10" u="1"/>
        <s v="FOOD KNORR SOPA COST CRIOL C/FID 12X12X55G (144)" u="1"/>
        <s v="REXONA ROLLON V8 6X30ML" u="1"/>
        <s v="BYB MOSTAZA BOLSA 48/100g" u="1"/>
        <s v="BYB SALSA PICAMAS VERDE BOLSA 48/223g" u="1"/>
        <s v="DCASA HEINZ MANZANA FLEX 24X113G" u="1"/>
        <s v="DCASA GELATINA POLVO FRAMB.28X400g" u="1"/>
        <s v="IAK DUCAL FRIJ NEGR DyP 40oz (12)" u="1"/>
        <s v="ALC ARROZ MACARE BLANC 400G (25)" u="1"/>
        <s v="FOS FOSFOROS GALLO ECO 12X10" u="1"/>
        <s v="PONDS CR 100G  C PEPINO (24)" u="1"/>
        <s v="PONDS CR 100G S HUMECTANTE NUTRITIVA (24)" u="1"/>
        <s v="EGO GEL POWER 4x6x200 ML+5 SCH" u="1"/>
        <s v="SCH DOVE SH HIDRA Y SUAVI (ANTICASPA) 24X28X10ML" u="1"/>
        <s v="FOOD NATURAS SSA TOMATE RANCHERA 24X200G" u="1"/>
        <s v="SCH SEDAL SH HIALURONICO Y VIT C 24X28X15ML" u="1"/>
        <s v="FOOD MAIZENA F MAIZ  FRESA 16X12X45G (192)" u="1"/>
        <s v="BYB MOSTAZA BOLSA 32/390g" u="1"/>
        <s v="BYB SALSA T/KETCHUP BOLSA 16/950g" u="1"/>
        <s v="BONI IAK DUCAL FRIJ DyP 4oz (24)" u="1"/>
        <s v="BONI QUA SAVILOE FRUTOS ROJOS UND 500ML (12)" u="1"/>
        <s v="IAK DUCAL BEB ALUMIN MELOC 330ml (24)" u="1"/>
        <s v="IAK DUCAL BEB ALUMIN MANZ 330ml (24)" u="1"/>
        <s v="NSK BIC ENCENDEDOR HANDY P/ESTUFA (90)" u="1"/>
        <s v="NSK BIC ENCENDEDOR MINI J5 (75)" u="1"/>
        <s v="NSK COLGATE TRIP ACCION 75 ML+CEPIL (72)" u="1"/>
        <s v="FOOD HELLMANNS MAY DYP 12X100G" u="1"/>
        <s v="XHC DIN ZIXX JAB VERDE 400G (6)" u="1"/>
        <s v="AXE AERO BS COLLISION 12X97G" u="1"/>
        <s v="ARE SABUESO ADULTO 50 LBS" u="1"/>
        <s v="BONI IAK VASO PLASTICO KERNS" u="1"/>
        <s v="IAK KERNS JUNIOR MANZ TETRA 200ml (24)" u="1"/>
        <s v="IAK KERNS JUNIOR MELOC TETR 200ml (24)" u="1"/>
        <s v="NSK COLGATE DOBLE FRESC 75ML+CEPIL (72)" u="1"/>
        <s v="PORFIN MARGARINA ORISOL 400gr (24)" u="1"/>
        <s v="REXONA ROLLON BAMBOO 12X50ML" u="1"/>
        <s v="XHC DOVE JAB CUIDA PROTEGE 48X90G" u="1"/>
        <s v="AXE AERO BS FUSION 12X97G" u="1"/>
        <s v="SCH DOVE SH OLEO NUTRI 24X28X10ML" u="1"/>
        <s v="FOOD HELLMANNS  MAY DYP 12X190G" u="1"/>
        <s v="FOOD KNORR SOPA GAL C/ARROZ CHIP 12X12X55G (144)" u="1"/>
        <s v="AXE AERO BS ICE CHILL 12X97G" u="1"/>
        <s v="BONI IAK CUCHARON PLASTICO" u="1"/>
        <s v="IPR LOZANO UVA 3.2L (6)" u="1"/>
        <s v="IAK DUCAL BEB HOJALAT MANZ 154ml (48)" u="1"/>
        <s v="IAK DUCAL FRIJ NEGR DyP 96oz (6)" u="1"/>
        <s v="KELL CHOCO KRISPIS 54X115G (54)" u="1"/>
        <s v="DOVE AERO CUIDADO TOTAL 12X89G" u="1"/>
        <s v="UL CR RIZOS 3 SACHET" u="1"/>
        <s v="NSK BIC ENCENDEDOR J6 MAXI (75)" u="1"/>
        <s v="PONDS CR  50G C PEPINO (24)" u="1"/>
        <s v="SCH SEDAL SH CERAMIDAS 24X28X10ML" u="1"/>
        <s v="SCH DOVE SUPER AC 60 20X12X12ML (20)" u="1"/>
        <s v="FOOD NATURAS SALSA SABOR POLLO 96X100G" u="1"/>
        <s v="BYB CONCENTRADO DE JAMAICA 12/678 ml" u="1"/>
        <s v="IPR MERMELADA MANZANA 12OZ (24)" u="1"/>
        <s v="IAK DUCAL FRIJ ROJO DyP 8oz (24)" u="1"/>
        <s v="UNS BOMBILLO LED 9 WATTS (50)" u="1"/>
        <s v="UNS BOMBILLO LED 12 WATTS (50)" u="1"/>
        <s v="DCASA PAPEL ENCANTO MIL HOJAS ROLLO (24)" u="1"/>
        <s v="IAK BAMB MOJITO 350ml LATA (24)" u="1"/>
        <s v="IAK DE MI TIERRA FRIJ VOLT NEGRO 35OZ DP (12)" u="1"/>
        <s v="EGO GEL POWER 4X6X110ML" u="1"/>
        <s v="FOOD NATURAS PASTA TRADICIONAL 96X90G" u="1"/>
        <s v="BYB MANTEQUILLA DE MANI VASO 24/245g" u="1"/>
        <s v="BYB MIEL DE MAPLE GARRAFA 24/330 ml" u="1"/>
        <s v="XHC PFS CENTELLA CHIBOLONA VERDE 4X3X375G" u="1"/>
        <s v="XHC PFS CENTELLA CHIBOLONA BLANCA 4X3X375G" u="1"/>
        <s v="XHC PFS CENTELLA CHIBOLONA AZUL 4X3X375G" u="1"/>
        <s v="DOVE STICK CUIDADO TOTAL 12X50G" u="1"/>
        <s v="DM ESCOBA FLASH FIBER (UNIDAD)" u="1"/>
        <s v="YAES FLAMAS CHILE LIMON 16X12X17gr" u="1"/>
        <s v="SCH SEDAL SH NEGRO LUM 24X28X10ML" u="1"/>
        <s v="EGO GEL ATTRAC 4X6X110ML" u="1"/>
        <s v="FOOD NATURAS SALSA TOMATE JALAPENO 96X90G" u="1"/>
        <s v="BYB CONCENTRADO DE MORA 12/678 ml" u="1"/>
        <s v="BYB MAYONESA CLASICA BOLSA 16/880g" u="1"/>
        <s v="IAK DUCAL BEB ALUMIN PIÑA 330ml (24)" u="1"/>
        <s v="IAK DUCAL BEB HOJALAT PIÑA 154ml (48)" u="1"/>
        <s v="XHC UNS DETERGENTE PURO SOL 250gr (40)" u="1"/>
        <s v="YAES MUCHO NACHO SALSA DE QUESO 105 G (30)" u="1"/>
        <s v="YAES GUENOS LIMON 4X12X20gr" u="1"/>
        <s v="NSK SUAVITEL COMPL PRIMAV 1X2X36UNDS+6UNDS" u="1"/>
        <s v="KELL ZUCARITAS MINI SCH 5X12X20G" u="1"/>
        <s v="DOVE MINIROLLON ORIGINAL 6X30ML" u="1"/>
        <s v="REXONA AERO WOMAN TONO PERFECTO 12X90G" u="1"/>
        <s v="XHC XEDEX MAX POD FRUTOS BOSQUE 13X800G" u="1"/>
        <s v="BYB SALSA T/KETCHUP PLASTICO 24/400g" u="1"/>
        <s v="BYB SALSA BARBACOA 4/4,400g" u="1"/>
        <s v="BONI YAES CHARROS SALSA ROJA" u="1"/>
        <s v="IAK BLISS HAPPY MIX 350ml VIDR (24)" u="1"/>
        <s v="IPR LOZANO MANZANA 3.2L (6)" u="1"/>
        <s v="IAK KERNS TETRA NECT MANZ 1000ml (12)" u="1"/>
        <s v="IAK KERNS TETRA NECT MELOC 1000ml (12)" u="1"/>
        <s v="IAK KERNS TETRA NECT FRUTAS 1000ml (12)" u="1"/>
        <s v="XHC PFS CENTELLA CHIBOLONA AMARILLA 4X3X375G" u="1"/>
        <s v="XHC PFS CENTELLA CHIBOLONA AVENA 4X3X375G" u="1"/>
        <s v="REXONA STICK MEN V8 12X50G" u="1"/>
        <s v="BONI YAES CHARROS SALSA VERDE" u="1"/>
        <s v="YAES ROSTIZADOR MARISCO 100G (24)" u="1"/>
        <s v="YAES EMPANIZADOR SUKOCINERA 30X6X50G (180)" u="1"/>
        <s v="BYB MAYONESA CLASICA BOLSA 4/3000g" u="1"/>
        <s v="FOS PALITO CHOCOBANANO EL SOL 36X150u" u="1"/>
        <s v="FOOD HELLMANNS MOST DYP 12X100G" u="1"/>
        <s v="ALD SONETTO SURTIDO 16X100 (4G)" u="1"/>
        <s v="BYB CONCENTRADO DE NARANJA 12/678 ml" u="1"/>
        <s v="ALD FRUNAS BARRA 18X50 (8,3)" u="1"/>
        <s v="BYB SALSA PICAMAS ALMOHADITA 48/110 g" u="1"/>
        <s v="BYB CONCENTRADO DE HORCHATA 4/3786 ml" u="1"/>
        <s v="IAK DUCAL BEB ALUMIN PERA 330ml (24)" u="1"/>
        <s v="QUA JUGOS YA FRUTAS TROPICALES 10X15" u="1"/>
        <s v="XHC PFS LIMPIOX CILINDRO ALOE 18X320G" u="1"/>
        <s v="REXONA STICK CLIN SPORT STRENGTH 12X46G" u="1"/>
        <s v="REXONA STICK ACTIVE DRY 12X50G" u="1"/>
        <s v="DOVE STICK EXTRA FRESH 12X50G" u="1"/>
        <s v="REXONA STICK CLIN EXTRA DRY EXP 12X46G" u="1"/>
        <s v="FOOD NATURAS SSA TOMATE QUESO 24X200G" u="1"/>
        <s v="FOOD MAIZENA F MAIZ VAINILLA 16X12X45G (192)" u="1"/>
        <s v="REXONA STICK WOMAN ANTIBAC FRESH 12X50G" u="1"/>
        <s v="IAK DUCAL FRIJ ROJO LAT 5.5oz (48)" u="1"/>
        <s v="QUA FRUTY FRESCO 6+6 (12)" u="1"/>
        <s v="UNS BOMBILLO LED 12 Watt" u="1"/>
        <s v="BYB SALSA INGLESA PLASTICO 4/3850 ml" u="1"/>
        <s v="SCH QUA NUTRIBELA 10 48X6X27ML" u="1"/>
        <s v="TERMO GABACHA MINI/PIWI (26)" u="1"/>
        <s v="YAES LECHE DE COCO 400ml (24)" u="1"/>
        <s v="IAK GOYA MAIZ ENTERO 8.75 ONZ (24)" u="1"/>
        <s v="NSK TAJIN CLASICO POLVO BOTE 142G (24)" u="1"/>
        <s v="ALC CR AVEN HOJUELA 12U 300g" u="1"/>
        <s v="XHC XEDEX MAX POD FRUTOS BOSQUE 30X400G" u="1"/>
        <s v="BEST CHOCOGOL DYP 50X15X4g (50)" u="1"/>
        <s v="UNS EXTENSION DOMESTICA SPT  6MTS" u="1"/>
        <s v="EGO GEL CONTROL CAIDA 24X230ML (24)" u="1"/>
        <s v="AXE AERO AP ICE CHILL 12X88G" u="1"/>
        <s v="AXE AERO AP COLLISION 12X90G" u="1"/>
        <s v="BONI NSK SPAGHETTI 60x200G" u="1"/>
        <s v="DIN SOPA ISSIMA POLLO (12)" u="1"/>
        <s v="DOVE AERO ORQUIDEA 12X87G" u="1"/>
        <s v="ALD BIAGI CAFE 16X100" u="1"/>
        <s v="BYB CHILE JALAPEÑO PICANTE BOLSA 12/320g" u="1"/>
        <s v="BONI DIN SALSA ISSIMA RANCHERA 106g (96)" u="1"/>
        <s v="AXE AERO BS GOLD TEMPTATION 12X97G" u="1"/>
        <s v="DIN SOPA ISSIMA POLLO CON CHILE (12)" u="1"/>
        <s v="DOVE AERO INVISIBLE DRY MEN 12X89G" u="1"/>
        <s v="DOVE AERO AP CALENDULA 12X87G" u="1"/>
        <s v="BONI SAVILOE UND 12X320ML" u="1"/>
        <s v="UNS BOMBILLO LED 9 Watt" u="1"/>
        <s v="PONDS CR 50G CLARANT B3 SECA (24)" u="1"/>
        <s v="BYB SALSA BARBACOA PLAST 12/32oz" u="1"/>
        <s v="IAK KERNS 157mL COCTEL VEGETALES (48)" u="1"/>
        <s v="DOVE AERO ORIGINAL 12X89G" u="1"/>
        <s v="DOVE AERO AP COCO 12X87G" u="1"/>
        <s v="SCH SEDAL CR PEIN KERAT 24X28X10ML" u="1"/>
        <s v="AXE AERO BS EPIC FRESH 12X97G" u="1"/>
        <s v="SCH SEDAL SH NEGRO LUMINOSO 24X28X9ML" u="1"/>
        <s v="IAK KERNS JUNIOR PERA TETR 200ml (24)" u="1"/>
        <s v="EGO GEL ATTRAC 4/6/200ML+5 SCH" u="1"/>
        <s v="PD PEDIALYTE UVA 60 MEQ 500ML (12)" u="1"/>
        <s v="UNS EXTENSION DOMESTICA SPT  8MTS" u="1"/>
        <s v="ALC ORO MAY HARIN MAIZ BLANC 5LB (6)" u="1"/>
        <s v="ALD PIN POP SENSATIONS 16X24 (17G)" u="1"/>
        <s v="IAK KERNS KETCHUP 8grs SACH 1000u" u="1"/>
        <s v="DIN SOPA ISSIMA CAMARON/CHILE (12)" u="1"/>
        <s v="PONDS POLVO COMP AF CARIBE 16X12G" u="1"/>
        <s v="PONDS CR 50G CLARANT B3 GRASA (24)" u="1"/>
        <s v="DIN SOPA ISSIMA CAMARON (12)" u="1"/>
        <s v="UNS CAR MENTOLADO JAAZZ CLOROFILA 100und (30)" u="1"/>
        <s v="BEST MENTAS 50X12X13g (50)" u="1"/>
        <s v="BONI COCA COLA 355 ML" u="1"/>
        <s v="DIN MAZOLA MARGARINA BARRA 6X5X400gr (24)" u="1"/>
        <s v="EGO GEL ATTRAC 6/30/12ML" u="1"/>
        <s v="REXONA STICK FM ANTIBAC  INVISIBLE 12X50G" u="1"/>
        <s v="SCH SEDAL CR LISO PERFECTO 24X28X10ML" u="1"/>
        <s v="PONDS POLVO COMP AF NATURAL2 16X12G" u="1"/>
        <s v="BYB SALSA BARBACOA DOY PACK 24/95g" u="1"/>
        <s v="DIN ISSIMA PAST TOMAT ROJITA 106g (96)" u="1"/>
        <s v="IPR MERMELADA PINA 12OZ (24)" u="1"/>
        <s v="REXONA STICK WOMAN ANTIBAC INVISIBLE 12X50G" u="1"/>
        <s v="XHC PFS LIMPIOX CILINDRO AVENA 18X320G" u="1"/>
        <s v="REXONA STICK MEN INVISIBLE 12X50G" u="1"/>
        <s v="DOVE AEROSOL AP ROSAS 12X87G" u="1"/>
        <s v="FOOD KNORR SOPA GAL CRIOL C/FIDEOS 12X12X54G (144)" u="1"/>
        <s v="ALD PLAY OSOS RELLENOS 55g (24)" u="1"/>
        <s v="ALD SONETTO CHOCOLATE BLANCO 16X100 (4G)" u="1"/>
        <s v="TERMO BOLSA TRANSPARENTE 2 Lbs (36)" u="1"/>
        <s v="BONI DIN CUBETA PLASTICA" u="1"/>
        <s v="ARE ARECANA ADULTO 50 LBS" u="1"/>
        <s v="REXONA STICK MEN ANTIBAC 12X50G" u="1"/>
        <s v="SCH SAVILE SH ARGAN 24X28X15ML" u="1"/>
        <s v="BEST CHOCOFRUTA 50x400G" u="1"/>
        <s v="BONI QUA NUTRIBELA 10 HIALURONICO 24X12X72ml" u="1"/>
        <s v="IAK DUCAL BEB TETR  PIÑA 200ML (24)" u="1"/>
        <s v="FOOD LIPTON TE VERDE C/MENTA 20X20BLS" u="1"/>
        <s v="EGO GEL POWER 6X30X15ML" u="1"/>
        <s v="EGO GEL POWER 6/1000 ML" u="1"/>
        <s v="XHC XEDEX MAX POD LIMON 30X400G" u="1"/>
        <s v="BONI QUA NUTRIBELA 10 HIALURONICO (24)" u="1"/>
        <s v="UNS GOMA DE MASCAR TUMIX MENTA 30x110x1.4g" u="1"/>
        <s v="UNS GOMA DE MASCAR TUMIX SURTIDO 30x110x1.4g" u="1"/>
        <s v="BEST CHOCOFRUTA 50X400G (50)" u="1"/>
        <s v="DOVE AERO INVISIBLE DRY WOMAN 12X89G" u="1"/>
        <s v="SEDAL SH 340 ML KERATINA C ANTIOX (12)" u="1"/>
        <s v="BONI NSK 1 BOLSA KIT CEPILLO" u="1"/>
        <s v="NSK COLGATE DOBLE FRESCURA 150ML" u="1"/>
        <s v="NSK LAVAPLATOS POTENSOL MARQUETA 215GR (42)" u="1"/>
        <s v="BONI PORFIN LIMPIOX AZUL 85g (72)" u="1"/>
        <s v="BONI SAVILOE UND 12X320ML (NUTRIBELA)" u="1"/>
        <s v="PONDS CR 100G CLARANT B3 GRASA (24)" u="1"/>
        <s v="EGO GEL ATTRAC 4x6x200ML" u="1"/>
        <s v="XHC XEDEX P MAXIMO PODER 30X400G" u="1"/>
        <s v="REXONA AERO ANTIBAC INVISIBLE MEN 12X90G" u="1"/>
        <s v="REXONA AERO CLEAN CLASSIC WOMAN 12X91G" u="1"/>
        <s v="REXONA AERO CLIN ANTIBAC W 12X90G" u="1"/>
        <s v="DOVE STICK ROSAS 12X45G" u="1"/>
        <s v="DOVE STICK ORIGINAL 12X50G" u="1"/>
        <s v="BONI BANCO PLASTICO" u="1"/>
        <s v="NSK LAVAPLATOS POTENSOL CILINDRO 400 GR (20)" u="1"/>
        <s v="FOOD KNORR SOPA POLL VERD CODITO 12X12X54G (144)" u="1"/>
        <s v="BONI YAES MUCHO NACHO ARTESANAL 150gr" u="1"/>
        <s v="PONDS CR 100G REJUVENESS DIA (24)" u="1"/>
        <s v="SCH DOVE SH RECON COMPL SUP 24X28X10ML" u="1"/>
        <s v="XHC XEDEX DESIN CITRICOS SCH 5X12X100ML" u="1"/>
        <s v="NSK LAVAPLATOS AXION 235G UNIDAD (48)" u="1"/>
        <s v="NSK LAVAPLATOS DOÑA BCA.CILINDRO TIRA 170GR (6)" u="1"/>
        <s v="BEST GALLETA FRESA 24X12X22G (24)" u="1"/>
        <s v="DOVE MINIROLLON PROTECCION TOTAL 6X30ML" u="1"/>
        <s v="IPR CHILE JALAPEÑO ESCABECHE 5.5OZ (48)" u="1"/>
        <s v="SEDAL CR 300 ML PEIN RIZOS OBEDIENTES (12)" u="1"/>
        <s v="PONDS CR 50G REJUVENESS (24)" u="1"/>
        <s v="NSK LAVAPLATOS AXION LIMON TIRA 115GR (6)" u="1"/>
        <s v="UNS GALLE CAFE COFFEE JOY 6x18x45gr" u="1"/>
        <s v="TERMO BOLSA TRANSPARENTE 5 Lbs (20)" u="1"/>
        <s v="XHC XEDEX P SUAVIZ B PRIMAV 30X115G" u="1"/>
        <s v="XHC DOVE JAB BABY HUMECTANTE 48X75G" u="1"/>
        <s v="BONI BARRA MARGARINA MAZOLA 80g" u="1"/>
        <s v="IQUI CLORO MAGICLOR POPULINO 1X4X12 220ML" u="1"/>
        <s v="NSK LAVAPLATOS DOÑA BCA.CILINDRO 250 GR (24)" u="1"/>
        <s v="NSK BIC ENCENDEDOR MAXI J6 CARTON 15+3 (20)" u="1"/>
        <s v="BEST GALLETA MANI 24X12X22G (24)" u="1"/>
        <s v="XHC DIN ROKU JAB SALMON 400G (4)" u="1"/>
        <s v="FOOD NATURAS PASTA TRADICIONAL 96X100G" u="1"/>
        <s v="FOOD MAIZENA FECULA BAN/FRESA/VAIN 16X12X45G" u="1"/>
        <s v="SCH SEDAL SH LISO PERFECTO 24X28X10ML" u="1"/>
        <s v="PONDS POLVO COMP PIEL CLARA 16X12G" u="1"/>
        <s v="BONI YAES MUCHO NACHO NATURAL 75gr" u="1"/>
        <s v="SEDAL CR 300 ML PEIN KERATINA Y ANTIOX (12)" u="1"/>
        <s v="BONI SOMBRILLAS PEDIALYTE" u="1"/>
        <s v="BONI QUA YUS FRUTAS TROPICALES 9x15x28g" u="1"/>
        <s v="IAK DUCAL FRIJ ROJO PICANT DyP 14oz (18)" u="1"/>
        <s v="NSK LA MODERNA PASTA SPAGHETTI 60x200G" u="1"/>
        <s v="PONDS CR 100G CLARANT B3 SECA (24)" u="1"/>
        <s v="XHC XEDEX DESIN LAVANDA SCH 5X12X100ML" u="1"/>
        <s v="BONI ALD EXHIBIDOR RISTRA DE 5 GANCHERAS" u="1"/>
        <s v="REXONA STICK WOMAN POWDER 12X50G" u="1"/>
        <s v="REXONA STICK BAMBOO 12X50G" u="1"/>
        <s v="EGO GEL ATTRAC 6/1000ML" u="1"/>
        <s v="XHC XEDEX P MULTIACCION 20X250G" u="1"/>
        <s v="REXONA AERO CLINICAL CLEAN MEN 12X90G" u="1"/>
        <s v="REXONA AERO CLINICAL EXTRA DRY 12X91G" u="1"/>
        <s v="SEDAL CR CERAMIDAS 12X300ML" u="1"/>
        <s v="XHC XEDEX P SUAV B PRIMAV 15X900G" u="1"/>
        <s v="CB CAFE BARISTA SOLUBLE 12X24X8g" u="1"/>
        <s v="IAK KERNS KETCHUP SALSA GALON (3)" u="1"/>
        <s v="NSK LAVAPLATOS DOÑA BLANCA CILINDRO 400G (20)" u="1"/>
        <s v="BEST GALLETA CHOCOLATE 24X12X22G (24)" u="1"/>
        <s v="REXONA AERO AP POWDER DRY 12X89G" u="1"/>
        <s v="REXONA AERO ACTIVE DRY 12X89G" u="1"/>
        <s v="XHC XEDEX P MAXIMO PODER LIMON 13X800G" u="1"/>
        <s v="XHC XEDEX MAXIMO PODER FRUTOS BOSQUE 13X800G" u="1"/>
        <s v="BYB MAYONESA EXTRAMAYO 32/375g" u="1"/>
        <s v="DOVE STICK GO FRESH PEPINO" u="1"/>
        <s v="BYB MAYONESA EXTRAMAYO BOLSA 4/3000g" u="1"/>
        <s v="BONI PD EXHIBIDOR PEDIALYTE" u="1"/>
        <s v="FOOD NATURAS FRIJOL NEGRO VOLTEADO 24X380G" u="1"/>
        <s v="SCH SAVILE SH 2EN1 24X28X15ML" u="1"/>
        <s v="AXE STICK TRANS COLLISION 12X54G" u="1"/>
        <s v="REXONA STICK CLIN CLASSIC EXPERT 12X46G" u="1"/>
        <s v="NSK COLGATE KIT DE CEPILL 1X24TX6UNDS" u="1"/>
        <s v="PONDS CR  45G C ORIGINAL (24)" u="1"/>
        <s v="BEST CHOCOGOL DYP 50X15X5g (50)" u="1"/>
        <s v="FOOD MAIZENA FECULA MAIZ NATURAL 20X20X45G (400)" u="1"/>
        <s v="XHC XEDEX P MAXIMO PODER FRUTOS DEL BOSQUE 13X800G" u="1"/>
        <s v="BEST COCOA CHOCOPANDA 24X12X20G" u="1"/>
        <s v="XHC REXONA JAB BAMBOO 48X125G" u="1"/>
        <m u="1"/>
        <s v="AXE AERO BS COLLISION 12X90G" u="1"/>
        <s v="FOOD MAIZENA FECULA MAIZ  FRESA 16X12X45G (192)" u="1"/>
        <s v="BONI EGO POWER 110ML TARRO (24)" u="1"/>
        <s v="ALC ORO MAY HARIN MAIZ BLANC 2LB (9)" u="1"/>
        <s v="NSK BANDIDO VAINILLA DOCENA (24)" u="1"/>
        <s v="SEDAL AC 340 ML RIZOS DEFINIDOS (12)" u="1"/>
        <s v="XHC XEDEX DESIN FRUTOS CITRICOS SCH 5X12X100ML" u="1"/>
        <s v="DOVE STICK COCO 12X50G" u="1"/>
        <s v="BYB CHILE JALAPEÑO LA CONTENTA 48/180g" u="1"/>
        <s v="UNS DULCE KOPIKO CAPUCCINO BOTE 200und (6)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BONI ALC ARROZ MACARENA PRECOCIDO 400g (25)" u="1"/>
        <s v="GRIPETIN GRIPE Y TOS - 12 SOBRES" u="1"/>
        <s v="XHC LIMPIOX CILINDRO ALOE 18X320G" u="1"/>
        <s v="XHC MAX PODER BLANCO 6X4X350G" u="1"/>
        <s v="AXE AERO AP URBAN 48H ABP 12X90G" u="1"/>
        <s v="FOS CERILLO GALLO 10X10" u="1"/>
        <s v="QUA JUGOS YA LIMON 10X15" u="1"/>
        <s v="ALD SONETTO CHOCOLATE BLANCO 16X110u (16)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EGO GEL CONTROL CAIDA 6X30X12ML" u="1"/>
        <s v="BEST BOTONETAS CHOCOLATE 20X24X11.5G (20)" u="1"/>
        <s v="EGO GEL CONTROL CAIDA 3X8X110ML" u="1"/>
        <s v="BEST CHOCOFRUTA TABLETA 410 GRS 1X24" u="1"/>
        <s v="GOMITAS 4 OSOS GRANDES 14GR 12X2X20X4" u="1"/>
        <s v="BYB CONCENTRADO DE TAMARINDO DISPLAY 6/12u" u="1"/>
        <s v="KMD EL ARTESANO SALSA CHILTEPE 95g" u="1"/>
        <s v="BYB CONCENTRADO DE TAMARINDO 4/3785 ml" u="1"/>
        <s v="BEST CARAMELO DURO SURTIDO 30 X 100 UND" u="1"/>
        <s v="XHC PFS MAX MB BLANC/VERD DUOX 6X3X540G" u="1"/>
        <s v="IPR MIEL MAPLE 360ML" u="1"/>
        <s v="BYB CONCENTRADO DE HORCHATA DISPLAY 6/12u" u="1"/>
        <s v="QUA JUGOS YA MORA 10X15" u="1"/>
        <s v="REXONA AERO CLINICAL CLASSIC WOMAN 12X90G" u="1"/>
        <s v="EGO GEL CONTROL CAIDA 2X6X200ML" u="1"/>
        <s v="BONI XTREME GEL 100g" u="1"/>
        <s v="IAK KERNS JUNIOR UVA TETR 200ml (24)" u="1"/>
        <s v="BYB MAYONESA EXTRAMAYO 48/100g" u="1"/>
        <s v="AMS ECO SUAV CASA LIMPIA FRUTOS DEL BOSQUE 1x20 LT" u="1"/>
        <s v="PONDS CR  50G CLARANT B3 GRASA (24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YB MAYONESA SACHET 500/8g" u="1"/>
        <s v="BONI QUA AVENA ESTRELLA 360G" u="1"/>
        <s v="MA AVENA INTEGRAL 25X300G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BONI GORRAS PEDIALYTE" u="1"/>
        <s v="XHC CENTELLA CHIBOLONA VERDE 4X3X400G" u="1"/>
        <s v="SCH SEDAL SH SOS CASPA 12X24X10ML+4" u="1"/>
        <s v="BONI ALC ORO MAYA 400GR" u="1"/>
        <s v="AMS ECO JAB LIQ LAVAPLATOS CL LIMON 1x20 LT" u="1"/>
        <s v="NSK LA MODERNA MOÑO 42x180G" u="1"/>
        <s v="BEST CONITO DYP 90X10X5G (90)" u="1"/>
        <s v="REXONA AERO ANTIBAC INVISIBLE MEN ADVANCE 12/90G" u="1"/>
        <s v="XHC LIMPIOX CILINDRO LIMON 18X320G" u="1"/>
        <s v="BONI NSK  KIT DE CEPILLADO COLGATE UND" u="1"/>
        <s v="NSK BIC RASURADORA CONFORT 2 12+2 (48)" u="1"/>
        <s v="REXONA STICK AP SPORFAN 12X50G" u="1"/>
        <s v="XHC XEDEX P MAXIMO PODER 30X450G" u="1"/>
        <s v="NSK FRUTY DULCE BOLSA 17" u="1"/>
        <s v="FOS ENCENDEDORES FRAGATA MINI 10X12X3 (3 PACK)(10)" u="1"/>
        <s v="ALD YOGUETA CHOCOCARAMEL 1x24u (16)" u="1"/>
        <s v="BONI NSK BANDIDO UNIDAD" u="1"/>
        <s v="GRECO CANASTICAS GALLETA MORA ROJA 270gr (24)" u="1"/>
        <s v="NSK HOT CAKE CAJA 12x500G" u="1"/>
        <s v="XHC PFS MAX PODER VERDE LIMON 6X3X400G" u="1"/>
        <s v="AMS ECO DESIN CL LAVANDA 1x20 LT" u="1"/>
        <s v="DCASA PAPEL ENCANTO MIL HOJAS 12X4" u="1"/>
        <s v="BYB MAYONESA EXTRAMAYO 48/200g" u="1"/>
        <s v="BONI IAK KERNS COCTEL VEGETALES 157ML" u="1"/>
        <s v="BONI PLAST BANCO" u="1"/>
        <s v="BEST DULCES MENTA 100X6X13G (100)" u="1"/>
        <s v="REXONA CLINICAL CLEAN SCENT 12X48G" u="1"/>
        <s v="BONI DINANT PLATO PLASTICO" u="1"/>
        <s v="FOOD NATURAS JUMB SSA RANCH 24X100G" u="1"/>
        <s v="EGO GEL POWER 8X30X15ML+GEL 200ML" u="1"/>
        <s v="FOOD MAIZENA FECULA MAIZ NATURAL 20X20X45G" u="1"/>
        <s v="YAES EMPANIZADOR CEREAL 90G" u="1"/>
        <s v="FOOD MAIZENA FECULA MAIZ NATURAL 20X20X47G" u="1"/>
        <s v="DOVE STICK GO FRESH PEPINO 12X50G" u="1"/>
        <s v="GOMITAS LIMON Y CHILE 20GR 12X2X10X4" u="1"/>
        <s v="GRECO INTEGRAL AVENA FRUTOS ROJOS 156gr (24)" u="1"/>
        <s v="BEST CHOCOPANDA CAJA CHOCOLATE 285G (36)" u="1"/>
        <s v="YAES ROSTIZADOR 18/453G" u="1"/>
        <s v="XHC XEDEX P SUAVIZ YLANG 15X900G" u="1"/>
        <s v="BONI UL NATURAS POLLO 36G (36)" u="1"/>
        <s v="XHC PFS CENTELLA CHIBOLONA BLANCA 6X3X400G" u="1"/>
        <s v="DCASA GELATINA POLVO FRESA 450G (25)" u="1"/>
        <s v="DCASA GELATINA POLVO LIMON 450G (25)" u="1"/>
        <s v="BONI UL MAYO HELLMANS 70G" u="1"/>
        <s v="IAK ADAN Y EVA FRUTOS ROJOS 350ML LAT (24)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AMS PAPEL HIGIENICO MAX PAPPEL 8X6X DORADO NEGRO HT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EGO GEL CONTROL CAIDA 12X450ML" u="1"/>
        <s v="XHC DIN ROKU JAB AQUA 400G (4)" u="1"/>
        <s v="IAK DUCAL FRIJ ROJO LAT 29oz (12)" u="1"/>
        <s v="BONI IAK FUN C TETRA MANZANA 200ML" u="1"/>
        <s v="IAK KERNS SALSITA RANCHERA 106GR DP (24)" u="1"/>
        <s v="EGO GEL POWER 4x6x200 ML" u="1"/>
        <s v="IPR LOZANO UVA 500ML" u="1"/>
        <s v="XHC PFS COLOSO MARQUETA 40X225G" u="1"/>
        <s v="XHC XEDEX P MAXIMO PODER 13X900G" u="1"/>
        <s v="BEST BOTE CONITO CHOCOLATE 70u (12)" u="1"/>
        <s v="AMS ECO DESIN CASA LIMPIA MUNDO MAGICO 1x20 LT" u="1"/>
        <s v="REXONA AERO SPORFAN 12X90G" u="1"/>
        <s v="BONI SH SAVILE BIOTINA DISPLAY" u="1"/>
        <s v="FRV GRIPETIN GRIPE Y TOS - 12 SOBRES" u="1"/>
        <s v="SCH SAVILE CR RIZOS ARGAN 12X28X15ML" u="1"/>
        <s v="XHC XEDEX P PROTECCION COLOR 15X900G" u="1"/>
        <s v="AMS ECO DESIN CASA LIMPIA LAVANDA 1x20 LT" u="1"/>
        <s v="IPR MERMELADA PINA 12OZ" u="1"/>
        <s v="BONI QUA NUTRIBELA 10 24X12X27ML" u="1"/>
        <s v="AMS ECO BOX DETERGENTE MULT ANTIBACT 9.5 LTS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BYB DISPLAY DE CONCENTRADO DE HORCHATA 6/12u" u="1"/>
        <s v="BONI GORRA ALDOR" u="1"/>
        <s v="NSK BIC RASURADORA SHAVER SENS 24+4 (24)" u="1"/>
        <s v="NSK LA MODERNA PASTA TORNILLO 42x200G" u="1"/>
        <s v="IAK ADAN Y EVA LIMON JEMGIBRE 355ML LAT (24)" u="1"/>
        <s v="XHC XEDEX P SUAVIZ B PRIMAV 30X125G" u="1"/>
        <s v="FOOD LIPTON TE YELLOW LABEL 20X20BLS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BEST CARAMELO BLANDO ZUMO SURTIDO 16 X 100 UND" u="1"/>
        <s v="AMS TOALLA HUMEDA LUCCA FAMILIAR 12X80" u="1"/>
        <s v="AMS ECO DETER LIQ MULTIUSOS ANTIBAC CASA LIMPIA 1x20 LT" u="1"/>
        <s v="UNS DULCE KOPIKO CAFE BOTE 200und (6)" u="1"/>
        <s v="BYB MAYONESA BOLSA 48/100g" u="1"/>
        <s v="IQUI CLORO MAGICLOR POPULINO 1X4X12 235ML" u="1"/>
        <s v="NSK LAVAPLATOS DOÑA BCA.CILINDRO 170GR(6)" u="1"/>
        <s v="BEST RODAJAS JAL 24/215G" u="1"/>
        <s v="REXONA AERO CLIN ANTIB MEN 12X91G" u="1"/>
        <s v="XHC PFS MAX MB BLANCA 6X3X540G" u="1"/>
        <s v="AMS PAPEL HIG LUCCA 24X1X168 NARANJA HD" u="1"/>
        <s v="AMS TOALLA DE COCINA MAX PAPEL 12X2X240HD BAJA" u="1"/>
        <s v="BYB SALSA PICAMAS VERDE PLASTICO 24/200g" u="1"/>
        <s v="NSK LAVAPLATOS AXION MAQUETAS 250 GR (42)" u="1"/>
        <s v="NSK LAVAPLATOS AXION MARQUETA 250 GR (42)" u="1"/>
        <s v="SEDAL SH 340 ML NEGROS LUMINOSOS (12)" u="1"/>
        <s v="XHC VENZA JABON AVENA 110g (72)" u="1"/>
        <s v="TERMO BOLSA DE BASURA NEGRA 24X35" u="1"/>
        <s v="TERMO GABACHA #1" u="1"/>
        <s v="XHC MAX PODER AMARILLO 6X3X400G" u="1"/>
        <s v="BONI ROLLO PAPEL HIGIENICO" u="1"/>
        <s v="TERMO BOLSA TRANSPARENTE 1 Lbs (60)" u="1"/>
        <s v="BEST FRUTIBOTONETAS TROPICAL 20Ctx24U 25G" u="1"/>
        <s v="BYB MAYONESA BOLSA 48/200g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XHC MAX PODER AZUL 6X4X350G" u="1"/>
        <s v="IAK KERNS SALSITA HONGOS 106GR DP (24)" u="1"/>
        <s v="XHC DIN SUAVISSIMO TOQ DE CUID 80ml  (6)" u="1"/>
        <s v="FOOD MAIZENA FECULA BAN/FRESA/VAIN 16X12X47G" u="1"/>
        <s v="UNS CHOC. TUBITO CHOKI CHOKI CHOCMAR 6x20" u="1"/>
        <s v="BEST MENTA GLACIAL 30 BOLSAS DE 100 UNIDADES" u="1"/>
        <s v="XHC VENZA JABON SABILA 110g (72)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AMS ECO DESEN MULTI CASA LIMPIA PODER LIMON 1x20 LT" u="1"/>
        <s v="IQUI CLORO BLANCO SOL 1/2 GALON (6)" u="1"/>
        <s v="SCH REXONA CLIN DEO CLAS W 12X8X8G+SCH (12)" u="1"/>
        <s v="PONDS CR  50G REJUVENESS (24)" u="1"/>
        <s v="BEST CHOCOFRUTA TABLETA  24X400G" u="1"/>
        <s v="AMS ALCOHOL GEL ANTIBAC. CLT 12X440ML (12)" u="1"/>
        <s v="XHC MAX BLANC/NARAN DUOX 6X4X330G" u="1"/>
        <s v="XHC REXONA JAB ANTIBAC LIMP PROF 48X125G" u="1"/>
        <s v="BEST FRUTI BOTONETAS ACIDITAS 20X24X25G (20)" u="1"/>
        <s v="BEST FRUTI BOTONETAS TROPICAL 20X24X25G (20)" u="1"/>
        <s v="REXONA CLINICAL SPORT STRENGTH 12X48G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YAES EMPANIZADOR DE POLLO 180/50G" u="1"/>
        <s v="AXE AERO AP ICE CHILL 12X90G/152ML" u="1"/>
        <s v="SCH REXONA CLIN DEO CLAS MIX S6X10X8G+SCH (6)" u="1"/>
        <s v="AMS SERVILLETA MAX PAPPEL 10X1X100 CUADRADA" u="1"/>
        <s v="NSK BIC MAXI J6 CARTÓN 15+3 (20)" u="1"/>
        <s v="XHC XEDEX P MULTIACCION 15X900G" u="1"/>
        <s v="BIOKLAR SPRAY DESIN SIN FRAG 250ML (24)" u="1"/>
        <s v="AMS PAPEL HIG MAX PAPEL ROJO DOR 6X4" u="1"/>
        <s v="BONI ALC ARROZ ESTRELLA PRECOCIDO 350g (25)" u="1"/>
        <s v="TERMO BOLSA TRANSPARENTE 1 Lbs" u="1"/>
        <s v="BONI NSK JABON PROTEX FRESH 110GR (96)" u="1"/>
        <s v="SCH SAVILE SH 2EN1 12X28X15ML" u="1"/>
        <s v="TERMO BOLSA TRANSPARENTE 2 Lbs" u="1"/>
        <s v="IAK DUCAL FRIJ ROJO DyP 14.1oz (18)" u="1"/>
        <s v="TERMO BOLSA TRANSPARENTE 3 Lbs" u="1"/>
        <s v="TERMO BOLSA TRANSPARENTE 3 Lbs (30)" u="1"/>
        <s v="FOOD NATURAS SALSA TOMATE C/CARNES 96X100G" u="1"/>
        <s v="TERMO BOLSA TRANSPARENTE 5 Lbs" u="1"/>
        <s v="AMS ECO DESIN CASA LIMPIA CITRONELA Y PINO 1x20 LT" u="1"/>
        <s v="NSK LAVAPLATOS  POTENSOL MARQUETA 215GR (42)" u="1"/>
        <s v="AMS TOALLAS HUMEDAS BABY STAR 24X40" u="1"/>
        <s v="BYB CHILE JALAPEÑO LA CONTENTA LATA 48/180g" u="1"/>
        <s v="BONI DCASA ORO MAYA 400GR" u="1"/>
        <s v="BONI DIN JABONERA VENZA" u="1"/>
        <s v="NSK LA MODERNA SPAGHETTI QUESO 20x200G" u="1"/>
        <s v="XHC CENTELLA CHIBOLONA AZUL 4X3X400G" u="1"/>
        <s v="XHC MAX BLANC/AZUL DUOX 6X3X400G" u="1"/>
        <s v="GOMITAS 10 OSOS 12X2X20X10" u="1"/>
        <s v="REXONA STICK MEN ANTIBACT FRESH 12X50G" u="1"/>
        <s v="BONI BAÑO 10 LITROS" u="1"/>
        <s v="FOOD KNORR SOPA POLLO C/FIDEO 12X12X55G" u="1"/>
        <s v="NSK LA MODERNA CARACOL 3 42x200G" u="1"/>
        <s v="ALC ARROZ MOLINERO BLANCO 200GR (20)" u="1"/>
        <s v="BEST DULCES MENTA 50X12X13G (50)" u="1"/>
        <s v="ALD YOGUETA SURTIDA 1x24u (16)" u="1"/>
        <s v="AXE AERO BS BLACK 12X90G" u="1"/>
        <s v="BYB MERMELADA DE FRESA TARRO 12/300g" u="1"/>
        <s v="ALD YOGUETA MILK 16X24u (16)" u="1"/>
        <s v="XHC XEDEX P SUAVIZ YLANG 15X1KG" u="1"/>
        <s v="AMS PAPEL HIG MAX PAP. 6X4 MEJOR QUE 1000HD" u="1"/>
        <s v="YAES ROSTIZADOR BOLSA 453G (18)" u="1"/>
        <s v="ALD PIN POP BLACK CHERRY CON CHICLE 16x24u (16)" u="1"/>
        <s v="GOMITAS 4 TAPA Y CORAZONES FRUTA 20GR 12X2X10X4" u="1"/>
        <s v="ALD PIN POP MIX ASSORTED 16X24u (16)" u="1"/>
        <s v="AMS ENVASE DE PLASTICO ALMSA" u="1"/>
        <s v="ALD FRUNAS DUO COLOR 16X100u (16)" u="1"/>
        <s v="NSK LA MODERNA GALL MARIANITA NUEZ 20x185G" u="1"/>
        <s v="DCASA MIRASOL MARG 36X5+1/80G" u="1"/>
        <s v="EGO GEL URBAN 24/200 ML" u="1"/>
        <s v="EGO GEL URBAN 4X6X200ML" u="1"/>
        <s v="BONI QUA SAVILOE UND 500ML (12)" u="1"/>
        <s v="AMS PAPEL HIGENICO LUCCA 24X1X1000 MEJOR HD" u="1"/>
        <s v="BYB MAYONESA BOLSA 32/380g" u="1"/>
        <s v="XHC XEDEX P ANTIBAC 15X1KG" u="1"/>
        <s v="ALM ECO BOX SUAVIZANTE LIBRE DE ENJUAGUE 9.5 LTS" u="1"/>
        <s v="QUA FRUTY F SURTIDO 8X18X14G" u="1"/>
        <s v="QUA NUTRIBELA TRAT CAP 24X12X27ML" u="1"/>
        <s v="QUA JUGOS YA DURAZNO 10X15" u="1"/>
        <s v="XHC MAX PODER VERDE 6X4X330G" u="1"/>
        <s v="IPR CHIIPR CHILE JALAPEÑO 5.5OZLE JALAPEÑO 5.5OZ" u="1"/>
        <s v="AXE AERO AP COLLISION 12X88G" u="1"/>
        <s v="DCASA GELATINA POLVO NARANJA 450G (25)" u="1"/>
        <s v="FOOD NATURAS SALSA ITALIANA CL 96X100G" u="1"/>
        <s v="XHC MAX PODER VERDE 6X4X350G" u="1"/>
        <s v="QUA JUGOS YA FRESA 10X15" u="1"/>
        <s v="FOOD LIPTON TE INFUS MANZANILLA 24X20BLS" u="1"/>
        <s v="DOVE AERO CLEAR TONE 12X89G" u="1"/>
        <s v="GRECO GALL CHOCOCHIPS MINI 16X" u="1"/>
        <s v="BEST GALLETA MICHOKO 24X12X22G (24)" u="1"/>
        <s v="BONI IAK PASTA TOMATE 4 OZ DYP" u="1"/>
        <s v="AMS TOALLA DE COCINA MAX PAPEL 8X3X120" u="1"/>
        <s v="AMS ECO DETER LIQ CL ROPA DELICADA 1x20 LT" u="1"/>
        <s v="FOSFORO QUETZAL 10X10" u="1"/>
        <s v="PONDS CR DPL CLARANT B3 SECA 12X10X10G" u="1"/>
        <s v="BONI QUA FRUTY FRESCO (8)" u="1"/>
        <s v="XHC MAX BLANC/AZUL DUOX 6X4X350G" u="1"/>
        <s v="AMS ECO DETER LIQ CL MULTI ANTIBAC 1x20 LT" u="1"/>
        <s v="NSK LYSOL DESINFECTANTE MULTIUSOS DP 500 ML (18)" u="1"/>
        <s v="BONI DIN SOPA ISSIMA" u="1"/>
        <s v="FOOD NATURAS FRIJOL NEGRO VOLT 24X210G" u="1"/>
        <s v="ALC CR AVEN MOLIDA 12U 300g" u="1"/>
        <s v="TERMO GABACHA #2" u="1"/>
        <s v="AMS ECO BOX SUAVIZANTE LIBRE ENJUAGUE 9.5 LTS" u="1"/>
        <s v="IAK DUCAL FRIJ NEGR LAT 5.5oz PROMO (48)" u="1"/>
        <s v="BEST RODAJAS JAL EN ESCAB 24/170G" u="1"/>
        <s v="XHC PFS CENTELLA CHIBOLONA VERDE 4X3X400G" u="1"/>
        <s v="EGO GEL URBAN 12/500ML" u="1"/>
        <s v="XHC DIN SUAVISSIMO LLUVIA VIOLETAS 80ml (6)" u="1"/>
        <s v="AMS PAPEL HIG MAX PAP. SUPER ECON 4X12 (4)" u="1"/>
        <s v="FOOD KNORR SOPA TORTILLA 12X12X58G (144)" u="1"/>
        <s v="XHC PFS CENTELLA CHIBOLONA VERDE 6X3X400G" u="1"/>
        <s v="AMS TOALLA FEM FEELING MAXI NOCTURNA 12X8" u="1"/>
        <s v="BONI QUA JUGOS YA FRUTAS TROPICALES" u="1"/>
        <s v="XHC CENTELLA CAMPEON BLANCO 6X4X330G" u="1"/>
        <s v="SCH SEDAL SH 2EN1 CERAMIDAS 12X24X10ML+4 SCH" u="1"/>
        <s v="NSK LA MODERNA CODO 2 50x200G" u="1"/>
        <s v="BONI IAK KETCHUP 375 GR" u="1"/>
        <s v="AMS SHAMPOO BABY STAR 5X30X10ML SIN LAGRIMAS" u="1"/>
        <s v="XHC PFS CENTELLA CHIBOLONA AMARILLO 4X3X400G" u="1"/>
        <s v="BYB MAYONESA PRIMA BOLSA 8/1500g" u="1"/>
        <s v="NSK LYSOL DESINFECTANTE MULTIUSOS SPRAY (12)" u="1"/>
        <s v="NSK DOÑA BLANCA CILINDRO 400G (20)" u="1"/>
        <s v="NSK BIC RASURADORA TWIN LADY 12+2 KIT CEP (24)" u="1"/>
        <s v="SEDAL CR 300 ML PEIN LISOS PERFEC (12)" u="1"/>
        <s v="AMS Pañal Bebin SuperFlexi Pequeño 4x40" u="1"/>
        <s v="NSK CHIBOLON SURTIDO BOLSA (18)" u="1"/>
        <s v="XHC MAX BLANC/NARAN DUOX 6X4X350G" u="1"/>
        <s v="XHC MAX BLANC/VERDE DUOX 6X4X350G" u="1"/>
        <s v="SCH SEDAL CR PEIN KERAT 12X24X10ML+SH" u="1"/>
        <s v="DOVE AERO EXTRA FRESH 12X89G" u="1"/>
        <s v="TERMO GABACHA MINI/PIWI" u="1"/>
        <s v="DCASA GELATINA POLVO FRAMB.25X450g" u="1"/>
        <s v="BYB MAYONESA ALMOHADITA 48/100g" u="1"/>
        <s v="DCASA GELATINA POLVO MELOC.25X450g" u="1"/>
        <s v="AMS ECO DESIN MULTI CL PODER LIMON 1x20 LT" u="1"/>
        <s v="BYB PICAMAS HABANERO 24/155G" u="1"/>
        <s v="KELL FROOT LOOPS MINI SCH 5X12X22G (5)" u="1"/>
        <s v="FOOD KNORR SOPA GAL C/CONCHI 12X12X54G (144)" u="1"/>
        <s v="NSK LA MODERNA GALL MALVADISCO 10x624G" u="1"/>
        <s v="BONI ALC ARROZ GALLO DORADO 400g (25)" u="1"/>
        <s v="PONDS CR REJUVENESS DIA 12X400G" u="1"/>
        <s v="XHC XEDEX P SUAVIZ YLANG 30X115G" u="1"/>
        <s v="AMS ALCOHOL LIQUIDO ANTIBACT. CLT 12X1X850ML (12)" u="1"/>
        <s v="XHC XEDEX P SUAVIZ YLANG 30X125G" u="1"/>
        <s v="BONI PFS CLORO MAGICLOR UND" u="1"/>
        <s v="REXONA STICK CLIN MEN EXPERT 12/46G" u="1"/>
        <s v="EGO GEL POWER 6/30/12ML" u="1"/>
        <s v="AMS JAB ANTIBAC CLT NARANJA JUGOSA 12X440" u="1"/>
        <s v="BONI VANISH 3X100ML" u="1"/>
        <s v="SCH SEDAL SH KERATINA 12X24X10ML+4" u="1"/>
        <s v="SCH SEDAL SH NEGR LUM 12X24X10ML+4" u="1"/>
        <s v="BONI QUA GALLETA BEST MANI 24X12 (JUGOS YA)" u="1"/>
        <s v="MA AVENA MOSH ESTRELLA 25X360G" u="1"/>
        <s v="LOT CONSOME CRIOLLO LOTY 225GR (50)" u="1"/>
        <s v="AMS PAPEL HIGIENICO MAX PAPEL 4X6 FUCSIA XGDE HD" u="1"/>
        <s v="QUA JUGOS YA GUANABA 10X15G" u="1"/>
        <s v="BONI IAK DUCAL FRIJOL LATA 5.5 ONZ" u="1"/>
        <s v="AMS ECO BOX DESIN MUNDO MAGICO 9.5 LTS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XHC MAX PODER VERDE LIMON 6X3X425G" u="1"/>
        <s v="QUA SAVILOE 12X320ML (PAQUETE)" u="1"/>
        <s v="QUA SAVILOE 12X500ML (PAQUETE)" u="1"/>
        <s v="AMS TOALLAS HUMEDAS BABY STAR12X80" u="1"/>
        <s v="QUA PROMOCION SAVILOE 500ML 9+3 (PAQUETE)" u="1"/>
        <s v="NSK LYSOL DESINFECTANTE MULTIUSOS SPRAY (18)" u="1"/>
        <s v="BONI ALC HARINA ORO MAYA 400gr (20)" u="1"/>
        <s v="IAK ADAN Y EVA COCO LIMON 355ML LAT (24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XHC XEDEX P MULTI LIMP ACTIVA 15X900G" u="1"/>
        <s v="EGO GEL URBAN 4x6x110 ML" u="1"/>
        <s v="XHC MAX PODER BLANCO 6X3X400G" u="1"/>
        <s v="XHC MAX PODER ROSADO 6X3X400G" u="1"/>
        <s v="XHC XEDEX P MULTI LIMP ACTIVA 30X125G" u="1"/>
        <s v="BONI BIC 1 PAR DE RASURADORA CONFORT 2" u="1"/>
        <s v="BYB MAYONESA EXTRAMAYO BOLSA 8/1500g" u="1"/>
        <s v="MA AVENA MOSH 100X4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ALC CR AVEN HOJUELA 12U 350G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FOS CERILLOS GALLO FAMILIAR (100) 200 L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UL SAVILE ANTICASPA UNIDAD" u="1"/>
        <s v="BONI DIN PLATO PLASTICO" u="1"/>
        <s v="XHC XEDEX P ANTIBAC 15X900G" u="1"/>
        <s v="BYB CHILE JALAPEÑO PICANTE 96/5.8oz" u="1"/>
        <s v="DOVE STICK CLEAR TONE 12X50G" u="1"/>
        <s v="BONI BEST GALLETA MANI 12X12" u="1"/>
        <s v="BYB SALSA PICAMAS VERDE BOLSA 8/1750g" u="1"/>
        <s v="AMS TOALLA HUMEDA LUCCA SUPER SEC 12X80" u="1"/>
        <s v="YAES MUCHO NACHO ROSTIZADO 70GR (24)" u="1"/>
        <s v="BONI IAK FUN C TETRA MELOCOTON 200ML" u="1"/>
        <s v="IAK DUCAL FRIJ NEGR DyP 104oz (6)" u="1"/>
        <s v="BEST BOTE CONITO RELL SUR 70u (12)" u="1"/>
        <s v="FOOD NATURAS SALSA C/QUESO 96X100G" u="1"/>
        <s v="YAES EMPANIZADOR CEREAL 90G (25)" u="1"/>
        <s v="BYB SALSA MILTOMATE SEMI SQUEZZE 24/370g" u="1"/>
        <s v="MA CREMA AVENA 50X100G" u="1"/>
        <s v="IAK KERNS TETRA NECT MANGO 1000ml (12)" u="1"/>
        <s v="BEST DAPI GALLETA VAINILLA 48X12X14.5G (48)" u="1"/>
        <s v="NSK LA MODERNA CABELLO DE ANGEL 20x200G" u="1"/>
        <s v="MA AVENA STEEL CUT 96X40G" u="1"/>
        <s v="GOMITAS 4 TAPA MENTA 20GR 12X2X10X4" u="1"/>
        <s v="AMS PAPEL HIG MAX PAPEL ROLLO HD12X4X400" u="1"/>
        <s v="BONI SAVILE ANTICASPA 7 und" u="1"/>
        <s v="BONI DCAS DETERGENTE 1 . 2 . 3 800g (10)" u="1"/>
        <s v="BONI IAK DUCAL FRIJOL NEGRO DyP 8 ONZ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IOKLAR SPRAY DESIN SIN FRAG 250ML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AK KERNS KETCHUP 775gr PET (12)" u="1"/>
        <s v="AMS ECO SUAVIZ CL FRUTOS DEL BOSQUE 1x20 LT" u="1"/>
        <s v="AMS ECO SUAVIZ CL LIBRE DE ENJUAGUE 1x20 LT" u="1"/>
        <s v="IAK BAMB MARGARITA 350ml LATA (24)" u="1"/>
        <s v="ALD PIN POP WATERMELON 16X24 (15G)" u="1"/>
        <s v="DCASA GELATINA POLVO PIÑA 450G (25)" u="1"/>
        <s v="BYB SALSA PICAMAS COBANERO 24/155g" u="1"/>
        <s v="BONI QUA GALLETA BEST MANI MINI 24X12" u="1"/>
        <s v="BIOKLAR GEL ANTIBAC SIN FRAG 60ML" u="1"/>
        <s v="BIOKLAR SPRAY DESIN SIN FRAG 60ML" u="1"/>
        <s v="IAK KERNS SALSITA CARNE 106GR DP (24)" u="1"/>
        <s v="IAK KERNS SALSITA QUESO 106GR DP (24)" u="1"/>
        <s v="BEST BOTONETA CHOCOLATE 80X6X20G (80)" u="1"/>
        <s v="BEST CHIPOTLES ADOBADOS 24/160G" u="1"/>
        <s v="GRIPETIN MULTISINTOMAS - 12 SOBRES" u="1"/>
        <s v="QUA NUTRIBELA 10 18+6 (12)" u="1"/>
        <s v="AXE AERO AP EPIC FRESH 12X88G" u="1"/>
        <s v="BEST CHOCO PANDA COCOA 6X50X20G (6)" u="1"/>
        <s v="FOOD NATURAS FRIJ NEGR VOLT 24X400GR" u="1"/>
        <s v="XHC REXONA JAB ANTIBAC FRESH 48X125G" u="1"/>
        <s v="AMS JAB ANTIBAC CLT PINK LIMONADE 12X500" u="1"/>
        <s v="ALC ARROZ GALLO DORADO PRE COCIDO 200GR (20)" u="1"/>
        <s v="XHC MAX MB NARANJA 6X3X540G" u="1"/>
        <s v="XHC XEDEX P PROTECCION COLOR 20X250G" u="1"/>
        <s v="BYB SALSA PICAMAS VERDE BOLSA 4/3000g" u="1"/>
        <s v="BONI QUA JUGO YA NARANJA" u="1"/>
        <s v="XHC MAX MB BLANCA 6X3X540G" u="1"/>
        <s v="MA AVENA INTEGRAL 100X40G" u="1"/>
        <s v="NSK LA MODERNA PLUMA 42x200G" u="1"/>
        <s v="NSK LA MODERNA MACARRON LARGO 20x200G" u="1"/>
        <s v="BONI ALC ARROZ ESTRELLA BLANCO 350g (25)" u="1"/>
        <s v="XHC MAX PODER LILA 6X3X400G" u="1"/>
        <s v="NSK LYSOL DESINFECTANTE MULTIUSOS DP 500 ML" u="1"/>
        <s v="AXE AERO BS GOLD TEMPTATION 12X90G" u="1"/>
        <s v="DCASA MIRASOL MARG 6X60X35G" u="1"/>
        <s v="NSK BIC RASURADORA CONFORT 3 12+2 (24)" u="1"/>
        <s v="XHC PFS MAX MB BLANC/NAR DUOX 6X3X540G" u="1"/>
        <s v="XHC CENTELLA CHIBOLONA BLANCO 4X3X400G" u="1"/>
        <s v="XHC CENTELLA CHIBOLONA ROSADO 4X3X400G" u="1"/>
        <s v="EGO GEL ATTRAC 24/110ML" u="1"/>
        <s v="BYB MOSTAZA ALMOHADITA 48/110 g" u="1"/>
        <s v="GOMITAS 4 OSOS 12X2X20X4" u="1"/>
        <s v="BONI PLAST PALANGANA XEDEX" u="1"/>
        <s v="XHC SURF P ROSAS 15X1KG" u="1"/>
        <s v="AMS SERVILLETA LUCCA 10X1X100" u="1"/>
        <s v="IQUI CLORO BLANCO SOL 1LT (12)" u="1"/>
        <s v="BONI ALC HARINA ORO MAYA 800g (9)" u="1"/>
        <s v="BONI ARROZ GALLO DORADO 400G" u="1"/>
        <s v="DCASA MIRASOL MARG 2X24X90G" u="1"/>
        <s v="BYB MAYONESA PRIMA 32/375g" u="1"/>
        <s v="AMS TOALLA DE COCINA MAX PAPEL 12X2HD" u="1"/>
        <s v="BONI IAK DUCAL FRIJOL LATA 10.5 OZ (48)" u="1"/>
        <s v="XHC XEDEX P MULTI LIMP ACTIVA 15X1KG" u="1"/>
        <s v="BEST BOTONETA MANÍ 80X6X20G (80)" u="1"/>
        <s v="BONI HERMETICO RECTANGULAR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XHC DIN ROKU JAB AMARILLO 400G (4)" u="1"/>
        <s v="BEST CHOCOFRUTA TABLETA 24X375G" u="1"/>
        <s v="NSK COLGATE TRIP ACCION+PROTEX 75ML (48)" u="1"/>
        <s v="BEST BOTONETAS MANI 20X24X13G (20)" u="1"/>
        <s v="XHC MAX BLANC/NARAN DUOX 6X3X400G" u="1"/>
        <s v="XHC MAX BLANC/VERDE DUOX 6X3X400G" u="1"/>
        <s v="FOOD NATURAS FRIJ NEGR VOLT 24X210G" u="1"/>
        <s v="DOVE STICK CALENDULA 12X50G" u="1"/>
        <s v="GOMITAS 5 OSOS PEQUEÑOS 12.5GR 12X2X20X5" u="1"/>
        <s v="EGO GEL POWER 12/500 ML" u="1"/>
        <s v="FOOD MAIZENA FECULA MAIZ VAINILLA 16X12X45G" u="1"/>
        <s v="FOOD KNORR SOPA GAL C/CONCHI 12X12X54G" u="1"/>
        <s v="KELL CHOCO KRISPI SCH 8X6X150G (8)" u="1"/>
        <s v="AMS TOALLA DE COCINA MAX PAPEL 24X1 HD" u="1"/>
        <s v="PONDS CR 100G H (24)" u="1"/>
        <s v="MA AVENA FORTIFICADA 100X40G" u="1"/>
        <s v="FOOD HELLMANNS MAY DYP 12X200G" u="1"/>
        <s v="REXONA STICK ACTR BAMBOO 12X50G" u="1"/>
        <s v="SCH SAVILE SH BIOTINA 12X28X15ML" u="1"/>
        <s v="XHC CENTELLA CAMPEON VERDE 6X4X330G" u="1"/>
        <s v="XHC SURF P FUERZA SOLAR 15X1KG" u="1"/>
        <s v="SCH SAVILE SH ANTICASPA 24X28X15ML (24)" u="1"/>
        <s v="AXE AERO BS ICE CHILL 12X90G" u="1"/>
        <s v="NSK BANDIDO CHOCOLATE DOCENA (24)" u="1"/>
        <s v="DOVE MINIROLLON CUIDADO TOTAL 6X30ML" u="1"/>
        <s v="BONI 1 BOLSA KIT CEPILLO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758"/>
    </cacheField>
    <cacheField name="Columna4" numFmtId="0">
      <sharedItems containsSemiMixedTypes="0" containsString="0" containsNumber="1" minValue="4.1666666666666664E-2" maxValue="100"/>
    </cacheField>
    <cacheField name="Columna5" numFmtId="0">
      <sharedItems containsSemiMixedTypes="0" containsString="0" containsNumber="1" minValue="8.3333333333333329E-2" maxValue="585.176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7199073" createdVersion="7" refreshedVersion="8" minRefreshableVersion="3" recordCount="154" xr:uid="{00000000-000A-0000-FFFF-FFFF42000000}">
  <cacheSource type="worksheet">
    <worksheetSource name="RUTA474"/>
  </cacheSource>
  <cacheFields count="5">
    <cacheField name="Columna1" numFmtId="0">
      <sharedItems containsMixedTypes="1" containsNumber="1" containsInteger="1" minValue="201" maxValue="7401192400143" count="553">
        <n v="10010010010"/>
        <n v="10010020002"/>
        <n v="10020040002"/>
        <n v="1008010073"/>
        <n v="1008011812"/>
        <n v="1008012355"/>
        <n v="400000127"/>
        <n v="400000221"/>
        <n v="4040000841"/>
        <n v="50491101"/>
        <n v="50491106"/>
        <n v="50491107"/>
        <n v="50491108"/>
        <n v="50491109"/>
        <n v="50491122"/>
        <n v="50491131"/>
        <n v="50491133"/>
        <n v="50491134"/>
        <n v="52480086"/>
        <n v="5460400"/>
        <n v="5467000"/>
        <n v="574983"/>
        <n v="576003"/>
        <n v="60000094"/>
        <n v="60000205"/>
        <n v="60000209"/>
        <n v="60000210"/>
        <n v="620500"/>
        <n v="620678"/>
        <n v="620821"/>
        <n v="620845"/>
        <n v="621330"/>
        <n v="69584500"/>
        <n v="69678219"/>
        <n v="69678222"/>
        <n v="69761868"/>
        <n v="69761870"/>
        <n v="69780941"/>
        <n v="84153470"/>
        <s v="ALD05665"/>
        <s v="ALD06514"/>
        <s v="ALD06515"/>
        <s v="ALD06517"/>
        <s v="ALD06519"/>
        <s v="ALD06520"/>
        <s v="ALD06521"/>
        <s v="ALD06522"/>
        <s v="ALD06523"/>
        <s v="ALD06524"/>
        <s v="ALD06526"/>
        <s v="ARE15059"/>
        <s v="BA016439"/>
        <s v="BA016784"/>
        <s v="BA016785"/>
        <s v="BA018244"/>
        <s v="BA019820"/>
        <s v="BYB00020500"/>
        <s v="BYB00020502"/>
        <s v="BYB00025001"/>
        <s v="BYB00025002"/>
        <s v="BYB00051109"/>
        <s v="BYB00051123"/>
        <s v="BYB00080707"/>
        <s v="BYB00084423"/>
        <s v="BYB00084424"/>
        <s v="BYB00084425"/>
        <s v="BYB00100401"/>
        <s v="BYB00100801"/>
        <s v="BYB00170440"/>
        <s v="BYB00170441"/>
        <s v="BYB00190450"/>
        <s v="BYB00190454"/>
        <s v="BYB00190850"/>
        <s v="BYB00191650"/>
        <s v="BYB00200400"/>
        <s v="BYB00220400"/>
        <s v="BYB00230438"/>
        <s v="BYB00230939"/>
        <s v="BYB00441400"/>
        <s v="CB003461"/>
        <s v="DCAS0425"/>
        <s v="DCAS0533"/>
        <s v="DCAS2310"/>
        <s v="DCAS4292131"/>
        <s v="DCAS4292132"/>
        <s v="DCAS4292133"/>
        <s v="DCAS4292134"/>
        <s v="DIN641628"/>
        <s v="DIN642205"/>
        <s v="DIN642304"/>
        <s v="DM1001"/>
        <s v="DM1002"/>
        <s v="GTALD006"/>
        <s v="GTQ0012"/>
        <s v="GTQ0023"/>
        <s v="IQM1010110"/>
        <s v="K124099"/>
        <s v="K124100"/>
        <s v="K126679"/>
        <s v="K129027"/>
        <s v="K129029"/>
        <s v="K150793"/>
        <s v="K150801"/>
        <s v="K154182"/>
        <s v="K155094"/>
        <s v="K156745"/>
        <s v="K156746"/>
        <s v="K158273"/>
        <s v="K167451"/>
        <s v="K167452"/>
        <s v="K186227"/>
        <s v="K194082"/>
        <s v="K209481"/>
        <s v="K209575"/>
        <s v="K51788"/>
        <s v="K51795"/>
        <s v="K51798"/>
        <s v="K51818"/>
        <s v="K59080"/>
        <s v="K64347"/>
        <s v="K64348"/>
        <s v="K73543"/>
        <s v="N3639009"/>
        <s v="N7508"/>
        <s v="N7509"/>
        <s v="N7510"/>
        <s v="N7511"/>
        <s v="N7512"/>
        <s v="N7516"/>
        <s v="N7518"/>
        <s v="N7524"/>
        <s v="N7525"/>
        <s v="N7526"/>
        <s v="N7546"/>
        <s v="N7748"/>
        <s v="N8680"/>
        <s v="N8767"/>
        <s v="N9005"/>
        <s v="N9006"/>
        <s v="PD39206"/>
        <s v="PD39241"/>
        <s v="PD39248"/>
        <s v="PD39360"/>
        <s v="PD39842"/>
        <s v="PRC00019"/>
        <s v="PT010836"/>
        <s v="Q000246"/>
        <s v="Q000247"/>
        <s v="Q000249"/>
        <s v="Q000252"/>
        <s v="Q000253"/>
        <s v="Q1021"/>
        <s v="QUA79240105"/>
        <s v="YAESSC00028"/>
        <n v="10020010007" u="1"/>
        <n v="400000160" u="1"/>
        <n v="50470111" u="1"/>
        <n v="50470112" u="1"/>
        <n v="50491102" u="1"/>
        <n v="50491103" u="1"/>
        <n v="50491132" u="1"/>
        <n v="574986" u="1"/>
        <n v="586703" u="1"/>
        <n v="640676" u="1"/>
        <n v="641833" u="1"/>
        <n v="642359" u="1"/>
        <n v="67767705" u="1"/>
        <n v="69714154" u="1"/>
        <n v="69761861" u="1"/>
        <n v="19640304" u="1"/>
        <n v="19640306" u="1"/>
        <n v="50470107" u="1"/>
        <n v="50470108" u="1"/>
        <n v="60000133" u="1"/>
        <n v="621439" u="1"/>
        <n v="621491" u="1"/>
        <n v="640959" u="1"/>
        <n v="642557" u="1"/>
        <n v="68667235" u="1"/>
        <n v="68667239" u="1"/>
        <n v="68798139" u="1"/>
        <n v="68865806" u="1"/>
        <n v="69678220" u="1"/>
        <n v="1008010113" u="1"/>
        <n v="400000048" u="1"/>
        <n v="400000411" u="1"/>
        <n v="400000542" u="1"/>
        <n v="579407" u="1"/>
        <n v="579409" u="1"/>
        <n v="642366" u="1"/>
        <n v="642373" u="1"/>
        <n v="642380" u="1"/>
        <n v="680078" u="1"/>
        <n v="680092" u="1"/>
        <n v="680672" u="1"/>
        <n v="680689" u="1"/>
        <n v="68798140" u="1"/>
        <n v="69584482" u="1"/>
        <n v="69584487" u="1"/>
        <n v="69717303" u="1"/>
        <n v="84153561" u="1"/>
        <n v="84157362" u="1"/>
        <n v="50491100" u="1"/>
        <n v="588828" u="1"/>
        <n v="68874809" u="1"/>
        <n v="69584483" u="1"/>
        <n v="1008014100" u="1"/>
        <n v="1008071533" u="1"/>
        <n v="1008094293" u="1"/>
        <n v="19640305" u="1"/>
        <n v="50470114" u="1"/>
        <n v="68441503" u="1"/>
        <n v="68441507" u="1"/>
        <n v="1008013091" u="1"/>
        <n v="400000033" u="1"/>
        <n v="50491104" u="1"/>
        <n v="60000215" u="1"/>
        <n v="84157033" u="1"/>
        <n v="10080010002" u="1"/>
        <n v="50470115" u="1"/>
        <n v="621323" u="1"/>
        <n v="642236" u="1"/>
        <n v="67139177" u="1"/>
        <n v="52480094" u="1"/>
        <n v="68524861" u="1"/>
        <n v="68647716" u="1"/>
        <n v="68647722" u="1"/>
        <n v="68923657" u="1"/>
        <n v="69584479" u="1"/>
        <n v="20110020" u="1"/>
        <n v="640683" u="1"/>
        <n v="640690" u="1"/>
        <n v="642694" u="1"/>
        <n v="576004" u="1"/>
        <n v="579235" u="1"/>
        <n v="68395025" u="1"/>
        <n v="68441512" u="1"/>
        <n v="68441544" u="1"/>
        <n v="68524859" u="1"/>
        <n v="68524852" u="1"/>
        <n v="2103011672" u="1"/>
        <n v="400000158" u="1"/>
        <n v="68775732" u="1"/>
        <n v="69618163" u="1"/>
        <n v="68437778" u="1"/>
        <n v="68874810" u="1"/>
        <n v="84168418" u="1"/>
        <n v="84168484" u="1"/>
        <n v="578086" u="1"/>
        <n v="60000212" u="1"/>
        <n v="67611014" u="1"/>
        <n v="67611013" u="1"/>
        <n v="579305" u="1"/>
        <n v="68524857" u="1"/>
        <n v="68637162" u="1"/>
        <n v="69714162" u="1"/>
        <n v="69786713" u="1"/>
        <n v="84153562" u="1"/>
        <n v="69584486" u="1"/>
        <n v="69761865" u="1"/>
        <n v="1008010115" u="1"/>
        <n v="69761866" u="1"/>
        <n v="84159040" u="1"/>
        <n v="403000261" u="1"/>
        <n v="52480095" u="1"/>
        <n v="579405" u="1"/>
        <n v="84163148" u="1"/>
        <n v="84163149" u="1"/>
        <n v="68193098" u="1"/>
        <n v="68649837" u="1"/>
        <n v="84158961" u="1"/>
        <n v="50491121" u="1"/>
        <n v="68115523" u="1"/>
        <n v="69714199" u="1"/>
        <n v="68170131" u="1"/>
        <n v="68865803" u="1"/>
        <n v="68380352" u="1"/>
        <n v="400000412" u="1"/>
        <n v="588831" u="1"/>
        <n v="68155562" u="1"/>
        <n v="68380364" u="1"/>
        <n v="69627014" u="1"/>
        <n v="68193096" u="1"/>
        <n v="68193097" u="1"/>
        <n v="68436592" u="1"/>
        <n v="68444066" u="1"/>
        <n v="68444067" u="1"/>
        <n v="84158963" u="1"/>
        <n v="68524849" u="1"/>
        <n v="69678218" u="1"/>
        <n v="67622624" u="1"/>
        <n v="583415" u="1"/>
        <n v="67611010" u="1"/>
        <n v="579403" u="1"/>
        <n v="68780160" u="1"/>
        <n v="571467" u="1"/>
        <n v="68786597" u="1"/>
        <n v="652532" u="1"/>
        <n v="67409831" u="1"/>
        <n v="68524850" u="1"/>
        <n v="84162865" u="1"/>
        <n v="68380353" u="1"/>
        <n v="84157012" u="1"/>
        <n v="565119" u="1"/>
        <n v="68357624" u="1"/>
        <n v="68524848" u="1"/>
        <n v="579412" u="1"/>
        <n v="50470118" u="1"/>
        <n v="67721092" u="1"/>
        <n v="68611972" u="1"/>
        <n v="69714198" u="1"/>
        <n v="84158965" u="1"/>
        <n v="84171222" u="1"/>
        <n v="84171576" u="1"/>
        <n v="642205" u="1"/>
        <n v="579264" u="1"/>
        <n v="67611016" u="1"/>
        <n v="67707590" u="1"/>
        <n v="67707595" u="1"/>
        <n v="69620218" u="1"/>
        <n v="84160187" u="1"/>
        <n v="576000" u="1"/>
        <n v="68436586" u="1"/>
        <n v="68688972" u="1"/>
        <n v="68754734" u="1"/>
        <n v="68875982" u="1"/>
        <n v="579337" u="1"/>
        <n v="68524854" u="1"/>
        <n v="68649838" u="1"/>
        <n v="68786560" u="1"/>
        <n v="68818454" u="1"/>
        <n v="68865804" u="1"/>
        <n v="84163166" u="1"/>
        <n v="68645445" u="1"/>
        <n v="68766039" u="1"/>
        <n v="67519203" u="1"/>
        <n v="68864406" u="1"/>
        <n v="67986539" u="1"/>
        <n v="68354529" u="1"/>
        <n v="579413" u="1"/>
        <n v="641628" u="1"/>
        <n v="67707587" u="1"/>
        <n v="68524847" u="1"/>
        <n v="67409941" u="1"/>
        <n v="579362" u="1"/>
        <n v="576690" u="1"/>
        <n v="67707584" u="1"/>
        <n v="84162953" u="1"/>
        <n v="1008011991" u="1"/>
        <n v="68875985" u="1"/>
        <n v="68876989" u="1"/>
        <n v="566030" u="1"/>
        <n v="52460025" u="1"/>
        <n v="68354542" u="1"/>
        <n v="67190950" u="1"/>
        <n v="67279488" u="1"/>
        <n v="68436589" u="1"/>
        <n v="60000262" u="1"/>
        <n v="207" u="1"/>
        <n v="68285450" u="1"/>
        <n v="256" u="1"/>
        <n v="400000161" u="1"/>
        <n v="68802170" u="1"/>
        <n v="579213" u="1"/>
        <n v="67140989" u="1"/>
        <n v="67171635" u="1"/>
        <n v="50470101" u="1"/>
        <n v="68614030" u="1"/>
        <n v="68455320" u="1"/>
        <n v="68534543" u="1"/>
        <n v="69629507" u="1"/>
        <n v="68882798" u="1"/>
        <n v="84157831" u="1"/>
        <n v="68141796" u="1"/>
        <n v="67746868" u="1"/>
        <n v="67885788" u="1"/>
        <n v="69620216" u="1"/>
        <n v="84154860" u="1"/>
        <n v="68647721" u="1"/>
        <n v="579308" u="1"/>
        <n v="579319" u="1"/>
        <n v="579321" u="1"/>
        <n v="50470105" u="1"/>
        <n v="68399684" u="1"/>
        <n v="50491116" u="1"/>
        <n v="68534556" u="1"/>
        <n v="68565714" u="1"/>
        <n v="50491112" u="1"/>
        <n v="68524841" u="1"/>
        <n v="69629504" u="1"/>
        <n v="84168063" u="1"/>
        <n v="67663498" u="1"/>
        <n v="68534532" u="1"/>
        <n v="19790106" u="1"/>
        <n v="67409938" u="1"/>
        <n v="68564978" u="1"/>
        <n v="579404" u="1"/>
        <n v="579406" u="1"/>
        <n v="84156604" u="1"/>
        <n v="579410" u="1"/>
        <n v="579411" u="1"/>
        <n v="19790102" u="1"/>
        <n v="67411722" u="1"/>
        <n v="67409922" u="1"/>
        <n v="67150066" u="1"/>
        <n v="67466523" u="1"/>
        <n v="588520" u="1"/>
        <n v="588521" u="1"/>
        <n v="50470102" u="1"/>
        <n v="214902" u="1"/>
        <n v="68141798" u="1"/>
        <n v="68637131" u="1"/>
        <n v="571466" u="1"/>
        <n v="560374" u="1"/>
        <n v="68170124" u="1"/>
        <n v="1000" u="1"/>
        <n v="67986536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7401192400013" u="1"/>
        <n v="68174780" u="1"/>
        <n v="68534542" u="1"/>
        <n v="1003" u="1"/>
        <n v="68142902" u="1"/>
        <n v="50491105" u="1"/>
        <n v="586682" u="1"/>
        <n v="1004" u="1"/>
        <n v="84151286" u="1"/>
        <n v="67409940" u="1"/>
        <n v="68809921" u="1"/>
        <n v="586699" u="1"/>
        <n v="1005" u="1"/>
        <n v="247" u="1"/>
        <n v="68227509" u="1"/>
        <n v="84150507" u="1"/>
        <n v="68170129" u="1"/>
        <n v="79790105" u="1"/>
        <n v="1006" u="1"/>
        <n v="68401571" u="1"/>
        <n v="67279484" u="1"/>
        <n v="1007" u="1"/>
        <n v="60000264" u="1"/>
        <n v="6777546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0470103" u="1"/>
        <n v="68444073" u="1"/>
        <n v="84161579" u="1"/>
        <n v="69629503" u="1"/>
        <n v="84150971" u="1"/>
        <n v="68564993" u="1"/>
        <n v="10080010001" u="1"/>
        <n v="67631819" u="1"/>
        <n v="567647" u="1"/>
        <n v="588829" u="1"/>
        <n v="84158931" u="1"/>
        <n v="249" u="1"/>
        <n v="67409937" u="1"/>
        <n v="67574559" u="1"/>
        <n v="642304" u="1"/>
        <n v="68787808" u="1"/>
        <n v="50490902" u="1"/>
        <n v="576774" u="1"/>
        <n v="566701" u="1"/>
        <n v="201" u="1"/>
        <n v="68436574" u="1"/>
        <n v="50491118" u="1"/>
        <n v="250" u="1"/>
        <n v="67611021" u="1"/>
        <n v="50491114" u="1"/>
        <n v="68614031" u="1"/>
        <n v="67409830" u="1"/>
        <n v="1019" u="1"/>
        <n v="573809" u="1"/>
        <n v="67611005" u="1"/>
        <n v="84168003" u="1"/>
        <n v="573811" u="1"/>
        <n v="573812" u="1"/>
        <n v="68142904" u="1"/>
        <n v="573816" u="1"/>
        <n v="573817" u="1"/>
        <n v="573818" u="1"/>
        <n v="573819" u="1"/>
        <n v="573820" u="1"/>
        <n v="52480083" u="1"/>
        <n v="10040010015" u="1"/>
        <n v="250042" u="1"/>
        <n v="1021" u="1"/>
        <n v="251" u="1"/>
        <n v="50490906" u="1"/>
        <n v="68141797" u="1"/>
        <n v="19790103" u="1"/>
        <n v="67746869" u="1"/>
        <n v="404000140" u="1"/>
        <n v="203" u="1"/>
        <n v="68647714" u="1"/>
        <n v="252" u="1"/>
        <n v="68524853" u="1"/>
        <n v="68466961" u="1"/>
        <n v="576943" u="1"/>
        <n v="68646674" u="1"/>
        <n v="68534549" u="1"/>
        <n v="50470100" u="1"/>
        <n v="84151549" u="1"/>
        <n v="204" u="1"/>
        <n v="253" u="1"/>
        <n v="68646586" u="1"/>
        <n v="557831" u="1"/>
        <n v="574978" u="1"/>
        <n v="574982" u="1"/>
        <n v="67279491" u="1"/>
        <n v="589111" u="1"/>
        <n v="576002" u="1"/>
        <n v="67551222" u="1"/>
        <n v="576006" u="1"/>
        <n v="67409923" u="1"/>
        <n v="7401192400136" u="1"/>
        <n v="84168485" u="1"/>
        <n v="205" u="1"/>
        <n v="68466966" u="1"/>
        <n v="50491119" u="1"/>
        <n v="254" u="1"/>
        <n v="50470104" u="1"/>
        <n v="67952534" u="1"/>
        <n v="84157802" u="1"/>
        <n v="67627146" u="1"/>
        <n v="67611015" u="1"/>
        <n v="547830" u="1"/>
        <n v="547832" u="1"/>
        <n v="578100" u="1"/>
        <n v="68661570" u="1"/>
        <n v="206" u="1"/>
        <n v="547856" u="1"/>
        <n v="400000386" u="1"/>
        <n v="255" u="1"/>
      </sharedItems>
    </cacheField>
    <cacheField name="Columna2" numFmtId="0">
      <sharedItems containsBlank="1" count="1137">
        <s v="ALC ARROZ GALL DORA PREC 400G (25)"/>
        <s v="ALC ARROZ MACAREN PREC 400G (25)"/>
        <s v="ALC ARROZ MACARE BLANC 400G (25)"/>
        <s v="KELL CORN FLAKES 28X150G (28)"/>
        <s v="KELL CHOCO KRISPIS 28X290G (28)"/>
        <s v="KELL CHOCO KRISPIS 24X620G (24)"/>
        <s v="FOS FOSFOROS FOGATA 10x10"/>
        <s v="FOS FOSFOROS AGUILA 2X10X5"/>
        <s v="FOS ENCENDEDOR FRAGATA MINI 40X25"/>
        <s v="XHC PFS MAX PODER AZUL  6X3X400G"/>
        <s v="XHC PFS MAX PODER AMARILLO 6X3X400G"/>
        <s v="XHC PFS MAX BLANC/NARAN DUOX 6X3X400G"/>
        <s v="XHC PFS MAX BLANC/AZUL DUOX 6X3X400G"/>
        <s v="XHC PFS MAX BLANC/VERDE DUOX 6X3X400G"/>
        <s v="XHC PFS MAX PODER LILA 6X3X400G"/>
        <s v="XHC PFS MAX MB BLANCA 6X3X500G"/>
        <s v="XHC PFS MAX MB BLANC/NARAN DUOX 6X3X500G"/>
        <s v="XHC PFS MAX MB BLANC/VERD DUOX 6X3X500G"/>
        <s v="XHC PFS LIMPIOX AVENA DISCO 108G (72)"/>
        <s v="QUA SAVILOE 12X320ML(UNIDAD)"/>
        <s v="QUA SAVILOE 12X500ML (UNIDAD)"/>
        <s v="FOOD HELLMANNS MAY DP 12X100G"/>
        <s v="FOOD KNORR SOPA POLLO C/FIDEO 12X12X55G (144)"/>
        <s v="ALC ORO MAY  HARIN MAIZ BLANC 800 (9)"/>
        <s v="ALC ORO MAY HARIN MAIZ BLANC 400G (20)"/>
        <s v="ALC ARROZ ESTRELLA PRECO 350G (25)"/>
        <s v="ALC ARROZ ESTRELLA BLANCO 350G (25)"/>
        <s v="DIN MAZOLA ACEITE  BOT 32onz (12)"/>
        <s v="DIN MAZOLA MANTECA 1LB (50)"/>
        <s v="DIN MAZOLA ACEITE DYP 400ml (24)"/>
        <s v="DIN MAZOLA ACEITE DYP 700ml (18)"/>
        <s v="DIN MAZOLA MARGARINA BARRA 400gr (24)"/>
        <s v="FOOD MAIZENA F MAIZ NATURAL 20X20X45G (400)"/>
        <s v="SCH SEDAL CR PEIN KERAT 24X28X9ML"/>
        <s v="SCH SEDAL CR PEIN RIZ OBED 24X28X9ML"/>
        <s v="FOOD NATURAS SALSA TOMATE RANCHERA 96X90G"/>
        <s v="FOOD NATURAS SALSA TOMATE C/CARNE 96X90G"/>
        <s v="FOOD NATURAS JUMB SSA RANCH 24X90G"/>
        <s v="PONDS POLVO COMP PIEL CLARA 16X12G"/>
        <s v="ALD PIN POP SANDIA 16X24 (16)"/>
        <s v="ALD YOGUETA SURTIDA RELLENA 16X24  (15G)"/>
        <s v="ALD YOGUETA CHOCOCARAMEL 16X24 (15G)"/>
        <s v="ALD PIN POP MANGO 16X24 (15G)"/>
        <s v="ALD PIN POP THE MOST WANTED 16X24 (15G)"/>
        <s v="ALD PIN POP ASSORTED 16X24 (15G)"/>
        <s v="ALD PIN POP KOLA 16X24 (15G)"/>
        <s v="ALD PIN POP PINTALENGUA 16X24 (15G)"/>
        <s v="ALD PIN POP X2 16X24 (15G)"/>
        <s v="ALD YOGUETA MILKY CARAMEL 16X24 (15G)"/>
        <s v="ALD PIN POP FRESA 16x24 (15G)"/>
        <s v="ARE SABUESO ADULTO 40X454G"/>
        <s v="BEST GALLETA MANI 24X12X20G (24)"/>
        <s v="BEST GALLETA FRESA 24X12X20G (24)"/>
        <s v="BEST GALLETA CHOCOLATE 24X12X20G (24)"/>
        <s v="BEST BOTONETAS CHOCOLATE 20X24X9G (20)"/>
        <s v="BEST CHOCOFRUTA 50x350G"/>
        <s v="BYB CHILE JALAPEÑO SEMIPICANTE LATA 96/5.8oz"/>
        <s v="BYB CHILE JALAPEÑO PICANTE LATA 96/5.8oz"/>
        <s v="BYB CHILE JALAPEÑO PICANTE BOLSA 12/320g"/>
        <s v="BYB CHILE JALAPEÑO SEMIPICANTE BOLSA 12/320g"/>
        <s v="BYB CONCENTRADO DE HORCHATA 24/225 ml"/>
        <s v="BYB CONCENTRADO DE TAMARINDO 24/225 ml"/>
        <s v="BYB MERMELADA DE FRESA DOY PACK 24/200g"/>
        <s v="BYB MERMELADA DE FRESA VASO 12/260g"/>
        <s v="BYB MERMELADA DE MORA VASO 12/260g"/>
        <s v="BYB MERMELADA DE PIÑA VASO 12/260g"/>
        <s v="BYB MAYONESA CLASICA BOLSA 48/100g"/>
        <s v="BYB MAYONESA CLASICA BOLSA 48/200g"/>
        <s v="BYB SALSA PICAMAS VERDE PLASTICO 48/100g"/>
        <s v="BYB SALSA PICAMAS ROJA PLASTICO 48/100g"/>
        <s v="BYB SALSA T/KETCHUP BOLSA 48/100g"/>
        <s v="BYB SALSA T/KETCHUP ALMOHADITA 48/110g"/>
        <s v="BYB SALSA T/KETCHUP BOLSA 48/215g"/>
        <s v="BYB SALSA T/KETCHUP BOLSA 32/435g"/>
        <s v="BYB SALSA INGLESA PLASTICA 48/3.5onz"/>
        <s v="BYB SALSA SOYA PLASTICA 48/3.5oz"/>
        <s v="BYB VINAGRE CLARO 48/100ml"/>
        <s v="BYB VINAGRE CLARO 24/200ml"/>
        <s v="BYB SALSA BARBACOA SQUEZZE PLASTICO 24/14oz"/>
        <s v="BEST CAFE BARISTA SOLUBLE 12X24X8g"/>
        <s v="DCASA PAPEL ENCANTO GDE. 1X12X4 (12)"/>
        <s v="DCASA HEINZ MELOCOTO FLEX 24X113G"/>
        <s v="DCASA MIRASOL MARG 24X5X80G"/>
        <s v="DCASA GELATINA POLVO UVA 28X400g"/>
        <s v="DCASA GELATINA POLVO FRESA 28X400g"/>
        <s v="DCASA GELATINA POLVO PIÑA 28X400g"/>
        <s v="DCASA GELATINA POLVO NARANJA 28X400g"/>
        <s v="XHC DIN ROKU JAB AMARILLO 375G (4)"/>
        <s v="XHC DIN ROKU JAB SALMON 375G (4)"/>
        <s v="XHC DIN ROKU JAB AQUA 375G (4)"/>
        <s v="DM ESCOBA FLASH FIBER (UNIDAD)"/>
        <s v="DM ESPONJAS (5XBOLSA)"/>
        <s v="BONI GORRA ALDOR"/>
        <s v="BONI SAVILOE UND 320ML (12)"/>
        <s v="BONI QUA SAVILOE FRUTOS ROJOS UND 500ML (12)"/>
        <s v="IQUI CLORO MAGICLOR POPULINO 1X12X6 235ML"/>
        <s v="IAK FUN C REFR MANZ 200ML TETR (24)"/>
        <s v="IAK FUN C REFR MELOC 200ML TETR (24)"/>
        <s v="IAK KERNS KETCHUP SCH 52GR (144)"/>
        <s v="IAK KERNS NECT MANZ TETR 24X250ml"/>
        <s v="IAK KERNS NECT MELOC TETR 24X250ml"/>
        <s v="IAK DUCAL FRIJ NEGR DyP 8oz (24)"/>
        <s v="IAK DUCAL FRIJ NEGR DyP 14.1oz (18)"/>
        <s v="IAK KERNS 330ml COCTEL VEGETALES  (24)"/>
        <s v="IAK DUCAL FRIJ NEGR DyP 28oz (12)"/>
        <s v="IAK DUCAL BEB TETR MELOC 200ml (24)"/>
        <s v="IAK DUCAL BEB TETR MANZ 200ml (24)"/>
        <s v="IAK KERNS 330ml COCTEL VEGETALES ALMEJA  (24)"/>
        <s v="IAK KERNS 330ml NECT MELOCOTON (24)"/>
        <s v="IAK KERNS 330ml NECT MANZANA  (24)"/>
        <s v="IAK GOYA MAIZ ENTERO 15.25 ONZ (24)"/>
        <s v="IAK KERNS 154mL COCTEL VEGETALES (48)"/>
        <s v="IAK DUCAL FRIJ NEGR DyP 4oz (24)"/>
        <s v="IAK DUCAL FRIJ CARNICOS LAT 14oz (24)"/>
        <s v="IAK DUCAL FRIJ NEGR LAT 29oz (12)"/>
        <s v="IAK DUCAL FRIJ NEGR LAT 10.5oz (48)"/>
        <s v="IAK DUCAL FRIJ NEGR LAT 5.5oz (48)"/>
        <s v="IAK KERNS PASTA TOMATE LATA 48X6oz"/>
        <s v="IAK KERNS PASTA TOMATE 4 Oz DyP (48)"/>
        <s v="IAK KERNS 330ml NECT PERA (24)"/>
        <s v="IAK KERNS 330ml NECT PIÑA (24)"/>
        <s v="IAK DUCAL FRIJ NEGR LAT 15oz (24)"/>
        <s v="NSK BIC ENCENDEDOR J6 MAXI (75)"/>
        <s v="NSK FABULOSO CITRIC Y FRU 1X6X12U/80ML"/>
        <s v="NSK FABULOSO LAVANDA 1X6X12U/80ML"/>
        <s v="NSK AZISTIN LAVANDA 1X6X12U/80ML"/>
        <s v="NSK SUAVITEL AROM D SOL 1X6X12U/80ML"/>
        <s v="NSK SUAVITEL COMPL PRIMAV 1X6X12 U"/>
        <s v="NSK LAV AXION LIMON TIRA 115g (6)"/>
        <s v="NSK LAV DOÑA BLANCA CIL TIRA 170g (6)"/>
        <s v="NSK JABON PROTEX ALOE 110GR (96)"/>
        <s v="NSK JABON PROTEX FRESH 110GR (96)"/>
        <s v="NSK JABON PROTEX AVENA 110GR (96)"/>
        <s v="NSK COLGATE DOBLE FRESCURA 150ML (72)"/>
        <s v="NSK AZISTIN ALTERNATIVO CLORO 1X6X12U/80ML"/>
        <s v="NSK TAJIN CLASICO TIRA  DE 12 SCH (44T)"/>
        <s v="NSK LAV POTENSOL MARQUETA 215g (42)"/>
        <s v="NSK BIC BOLIGRAFO NEGRO 12 (100)"/>
        <s v="NSK BIC BOLIGRAFO AZUL 12 (100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UNS OSITO MIEL QUEENBEE 340gr (24)"/>
        <s v="BEST BOTE CHOCOGOL 150u (12)"/>
        <s v="QUA JUGOS YA FRESA 10X15X18 FIT"/>
        <s v="QUA JUGOS YA JAMAICA 10X15X18 FIT"/>
        <s v="QUA JUGOS YA PINA 10X15X18 FIT"/>
        <s v="QUA JUGOS YA MORA 10X15X18 FIT"/>
        <s v="QUA JUGOS YA DURAZNO 10X15X18 FIT"/>
        <s v="QUA TOKI SURTIDO 25X24X8G"/>
        <s v="SCH QUA NUTRIBELA TRAT CAP 24X12X27ML"/>
        <s v="YAES SAL DE MESA REFINADA 25/400G"/>
        <s v="ALC ARROZ MOLINER BLANC 400G (25)" u="1"/>
        <s v="FOS FOSFOROS FOGATA ECO 12X10" u="1"/>
        <s v="XHC PFS CENTELLA CHIBOLONA VERDE 4X3X375G" u="1"/>
        <s v="XHC PFS CENTELLA CHIBOLONA BLANCA 4X3X375G" u="1"/>
        <s v="XHC PFS MAX PODER BLANCO 6X3X400G" u="1"/>
        <s v="XHC PFS MAX PODER ROSADO 6X3X400G" u="1"/>
        <s v="XHC PFS MAX MB NARANJA 6X3X500G" u="1"/>
        <s v="FOOD HELLMANNS MOST DYP 12X100G" u="1"/>
        <s v="AXE AERO VITTO DARK TEMPT 12X58G" u="1"/>
        <s v="XHC DIN ZIXX JAB BLANCO 400G (6)" u="1"/>
        <s v="XHC DIN ZIXX JAB LILA 400G (6)" u="1"/>
        <s v="XHC DIN VENZA JABON AVENA 110g (72)" u="1"/>
        <s v="REXONA ROLLON BAMBOO 6X30ML" u="1"/>
        <s v="XHC XEDEX MAX POD LIMON 13X800G" u="1"/>
        <s v="FOOD NATURAS SALSA TOMATE C/QUESO 96X90G" u="1"/>
        <s v="ALD PLAY GUSANOS AZUCARADOS JARRA 6X200 (3G)" u="1"/>
        <s v="ALD PLAY GUSANOS 55g (24)" u="1"/>
        <s v="ALD PLAY CORAZONES 55g (24)" u="1"/>
        <s v="ARE SABUESO CACHORRO 40X420G" u="1"/>
        <s v="BEST CHOCOFRUTA TABLETA 32X300G" u="1"/>
        <s v="BEST BOTONETAS MANI 20X24X9G (20)" u="1"/>
        <s v="BEST CHOCOGOL DYP 50X15X4g (50)" u="1"/>
        <s v="BYB MAYONESA CLASICA ALMOHADITA 48/100g" u="1"/>
        <s v="ALD COMODATO EXHIBIDOR PIN POP" u="1"/>
        <s v="IAK KERNS KETCHUP 24X375gr PET" u="1"/>
        <s v="IAK KERNS COCT VEGET 1 LT TETR (12)" u="1"/>
        <s v="IAK KERNS COCT VEGET ALMEJA 1LT (12)" u="1"/>
        <s v="IAK DUCAL BEB ALUMIN PIÑA 330ml (24)" u="1"/>
        <s v="IAK DUCAL BEB ALUMIN MANZ 330ml (24)" u="1"/>
        <s v="IAK DUCAL FRIJ ROJO PICANT DyP 8oz (24)" u="1"/>
        <s v="IAK DUCAL BEB ALUMIN PERA 330ml (24)" u="1"/>
        <s v="NSK LAV DOÑA BLANCA CIL 400g (20)" u="1"/>
        <s v="NSK BIC RASURADORA CONFORT 2 12 (48)" u="1"/>
        <s v="NSK JABON PROTEX BALANCE 110GR (96)" u="1"/>
        <s v="NSK LAV POTENSOL CIL 400g (20)" u="1"/>
        <s v="NSK AZISTIN MANZANA 1X6X12U/80ML" u="1"/>
        <s v="QUA FRUTY FRESCO 9+9 (8)" u="1"/>
        <s v="BEST CHOCOPANDA CHOCOLATE 25X12X14G" u="1"/>
        <s v="QUA JUGOS YA GUANABA 10X15X18 FIT" u="1"/>
        <s v="QUA JUGOS YA LIMON 10X15X18 FIT" u="1"/>
        <s v="QUA JUGOS YA HORCHATA 10X15X18 FIT" u="1"/>
        <s v="QUA YUS HORCHATA 9X15X28g" u="1"/>
        <s v="TERMO GABACHA #1 (26)" u="1"/>
        <s v="YAES ROSTIZADOR BOLSA 453G (24)" u="1"/>
        <s v="QUA BONTEA DURAZNO 10X12X30G" u="1"/>
        <s v="QUA BONTEA MANZANA 10X12X30G" u="1"/>
        <s v="XHC PFS CENTELLA CAMPEON VERDE 6X4X330G" u="1"/>
        <s v="XHC PFS CENTELLA CAMPEON BLANCO 6X4X330G" u="1"/>
        <s v="ALC ORO MAY HARIN MAIZ BLANC 50LBS (1)" u="1"/>
        <s v="DIN MAZOLA MARGARINA LIGHT 400GR (24)" u="1"/>
        <s v="DIN MAZOLA MARGARINA  AJO/HIERBAS 400GR (24)" u="1"/>
        <s v="XHC DIN ZIXX JAB ROSADO 400G (6)" u="1"/>
        <s v="XHC DIN ZIXX JAB AVENA 400G (6)" u="1"/>
        <s v="FOOD HELLMANNS MAY DP 12X190G" u="1"/>
        <s v="FOOD HELLMANNS MAY DP 12X380G" u="1"/>
        <s v="REXONA AERO POWER DRY 12X58G" u="1"/>
        <s v="XHC XEDEX DESIN CITRICOS DYP 24X425ML" u="1"/>
        <s v="SCH SEDAL CR LISO PERFECTO 24X28X9ML" u="1"/>
        <s v="BEST BOTE CONITO CHOCOLATE 80u (12)" u="1"/>
        <s v="BYB VINAGRE CLARO 24/360ml" u="1"/>
        <s v="BYB VINAGRE CLARO BOTE LARGO 12/750ml" u="1"/>
        <s v="BYB VINAGRE CLARO GALÓN PLASTICO 4/3785ml" u="1"/>
        <s v="DCASA HEINZ BANANO FLEX 24X113G" u="1"/>
        <s v="DCASA HEINZ POSTRE  FLEX 24X113G" u="1"/>
        <s v="DCASA GELATINA POLVO LIMON 28X400g" u="1"/>
        <s v="BONI NSK ROLLO PAPEL HIGIENICO" u="1"/>
        <s v="BONI DIN MARGARINA MAZOLA 400G (24)" u="1"/>
        <s v="BONI QUA FRIJOL NEGRO LAT 5.5 OZ (48)" u="1"/>
        <s v="BONI UL PALANGANA" u="1"/>
        <s v="IPR LOZANO MANZANA 500ML (12)" u="1"/>
        <s v="IPR LOZANO UVA 500ML (12)" u="1"/>
        <s v="IAK DUCAL FRIJ NEGR DyP 96oz (6)" u="1"/>
        <s v="IAK DUCAL FRIJ CARNICOS LAT 5 oz (48)" u="1"/>
        <s v="NSK LAV AXION TARRO 235g (48)" u="1"/>
        <s v="NSK VANISH PINK 6X12 U" u="1"/>
        <s v="NSK VANISH WHITE 6X12 U" u="1"/>
        <s v="NSK COLGATE KIT DE CEPILL 1X24TXTIRA 6UNDS" u="1"/>
        <s v="NSK SUAVITEL ROSADO 6X12X80ML" u="1"/>
        <s v="QUA JUGOS YA NARANJA 10X15X18 FIT" u="1"/>
        <s v="QUA YUS TAMARINDO 9X15X28g" u="1"/>
        <s v="QUA YUS FRESA 9X15X28g" u="1"/>
        <s v="QUA YUS DURAZNO 9X15X28g" u="1"/>
        <s v="QUA YUS JAMAICA 9X15X28g" u="1"/>
        <s v="QUA YUS NARANJA 9X15X28g)" u="1"/>
        <s v="QUA YUS PIÑA 9X15X28g" u="1"/>
        <s v="QUA YUS LIMONADA CON CHAN 9X15X28g" u="1"/>
        <s v="QUA YUS SABILA 9X15X28G" u="1"/>
        <s v="QUA YUS FRUTAS TROPICALES 9x15x28g" u="1"/>
        <s v="QUA YUS TE FRIO FRAMBUESA 9X15X28g" u="1"/>
        <s v="QUA YUS TE FRIO DURAZNO 9X15X28g" u="1"/>
        <s v="SCH QUA NUTRIBELA HIALURONICO 48X6X27ML" u="1"/>
        <s v="QUA SAVILOE FRUTOS ROJOS 12X500ML" u="1"/>
        <s v="TERMO BOLSA DE BASURA NEGRA 24X35 (100)" u="1"/>
        <s v="YAES VINAGRE MANZANA CLEMEN 500ml (24)" u="1"/>
        <s v="YAES ROSTIZADOR EMPAN POLLO 90G (100)" u="1"/>
        <s v="KELL FROOT LOOPS MINI SCH 5X12X15G (5)" u="1"/>
        <s v="FOS PALILLOS MADERA 12X12X250u" u="1"/>
        <s v="FOS FOSFOROS MADERA GALLO 10X10" u="1"/>
        <s v="FOS FOSFOROS GALLO ECO 12X10" u="1"/>
        <s v="PONDS CR  50G S HUMECTANTE NUTRITIVA (24)" u="1"/>
        <s v="PONDS CR  50G C PEPINO (24)" u="1"/>
        <s v="XHC DIN VENZA JABON SABILA 110g (72)" u="1"/>
        <s v="XHC DIN VENZA JABON FRESCURA EXTR 110g (72)" u="1"/>
        <s v="XHC DIN VENZA JABON VITAMINA E 110g (72)" u="1"/>
        <s v="DIN SOPA ISSIMA POLLO (12)" u="1"/>
        <s v="DIN SOPA ISSIMA CAMARON (12)" u="1"/>
        <s v="DIN SOPA ISSIMA POLLO CON CHILE (12)" u="1"/>
        <s v="DIN SOPA ISSIMA CAMARON/CHILE (12)" u="1"/>
        <s v="REXONA AERO V8 12X58G" u="1"/>
        <s v="FOOD MAIZENA F MAIZ  FRESA 16X12X45G (192)" u="1"/>
        <s v="FOOD MAIZENA F MAIZ VAINILLA 16X12X45G (192)" u="1"/>
        <s v="XHC XEDEX P MAXIMO PODER 31X115G" u="1"/>
        <s v="PONDS POLVO COMP AF NATURAL2 16X12G" u="1"/>
        <s v="REXONA ROLLON V8 6X30ML" u="1"/>
        <s v="ALD YOGUETA MILK 16X24 (15G)" u="1"/>
        <s v="ALD PLAY TORTU SPLASH 55g (24)" u="1"/>
        <s v="ALD PLAY BANANAS 55g (24)" u="1"/>
        <s v="ALD PLAY TIBURONES 55g (24)" u="1"/>
        <s v="ARE SABUESO ADULTO 100 LBS" u="1"/>
        <s v="BYB MAYONESA CLASICA BOLSA 32/380g" u="1"/>
        <s v="BONI PROMOV" u="1"/>
        <s v="BONI DIN SALSA ISSIMA RANCHERA 106g (96)" u="1"/>
        <s v="IAK DUCAL BEB TETR  PIÑA 200ML (24)" u="1"/>
        <s v="IAK KERNS TE LIMON 2500ML (6)" u="1"/>
        <s v="IAK DUCAL FRIJ ROJO LAT 29oz (12)" u="1"/>
        <s v="NSK TAJIN CLASICO POLVO BOTE 142G (24)" u="1"/>
        <s v="NSK BIC ENCENDEDOR HANDY P/ESTUFA (90)" u="1"/>
        <s v="NSK BIC RASURADORA SHAVER SENS 24 (48)" u="1"/>
        <s v="QUA NUTRIBELA TARRO 12X300ml" u="1"/>
        <s v="YAES MUCHO NACHO ROSTIZADO 180G (8)" u="1"/>
        <s v="YAES MUCHO NACHO BARBACOA 16X12X17gr" u="1"/>
        <s v="YAES MUCHO NACHO QUESO 16X12X17gr" u="1"/>
        <s v="XHC PFS MAX PODER VERDE 6X3X400G" u="1"/>
        <s v="AXE AERO BS DARK TEMPT 12X97G" u="1"/>
        <s v="XHC XEDEX DESIN LAVANDA DYP 12X750ML" u="1"/>
        <s v="FOOD MAIZENA ALMIDON MAIZ NATURAL 80X185G" u="1"/>
        <s v="ALD PIN POP BLACK CHERRY 16X24 (15G)" u="1"/>
        <s v="ALD PIN POP ICE 16X24 (15G)" u="1"/>
        <s v="ARE SABUESO CACHORRO 44 LBS" u="1"/>
        <s v="BYB CONCENTRADO DE HORCHATA 12/678 ml" u="1"/>
        <s v="BYB MOSTAZA BOLSA 48/200g" u="1"/>
        <s v="BYB SALSA INGLESA PLASTICA 24/152 ml" u="1"/>
        <s v="BYB SALSA SOYA PLASTICA 24/152 ml" u="1"/>
        <s v="DCASA HEINZ PERA FLEX 24X113G" u="1"/>
        <s v="DCASA HEINZ FRUTA MIX FLEX 24X113G" u="1"/>
        <s v="DCASA HEINZ CIRUELA/PASAS FLEX 24X113G" u="1"/>
        <s v="DCASA GELATINA POLVO CHICLE 28X400g" u="1"/>
        <s v="ENV AGUA PURIFICADA SCANDIA 12X600ML" u="1"/>
        <s v="IAK KERNS JUNIOR MANZ TETRA 200ml (24)" u="1"/>
        <s v="IAK KERNS JUNIOR MELOC TETR 200ml (24)" u="1"/>
        <s v="IAK BAMB DAIQUIRI FRESA 350ml LT (24)" u="1"/>
        <s v="IAK BAMB PIÑA COLADA 350ml LATA (24)" u="1"/>
        <s v="NSK BIC ENCENDEDOR MINI J5 (75)" u="1"/>
        <s v="QUA JUGOS YA MANGO 10X15X18 FIT" u="1"/>
        <s v="TERMO GABACHA #2 (12)" u="1"/>
        <s v="TERMO BOLSA TRANSPARENTE 5 Lbs (20)" u="1"/>
        <s v="TERMO PAJILLA TRANSPARENTE (50)" u="1"/>
        <s v="YAES MUCHO NACHO ROSTIZADO 390G (12)" u="1"/>
        <s v="KELL CORN FLAKES 16X500 (16)" u="1"/>
        <s v="KELL FROOT LOOPS 28X180G (28)" u="1"/>
        <s v="KELL ZUCARITAS 28X260G (28)" u="1"/>
        <s v="QUA BONTEA LIMON 10X12X30G" u="1"/>
        <s v="XHC PFS CENTELLA CHIBOLONA AMARILLA 4X3X375G" u="1"/>
        <s v="AXE AERO BS APOLLO 12X97G" u="1"/>
        <s v="AXE AERO BS EXCITE 12X97G" u="1"/>
        <s v="ALD BIAGI CARAMELO 16X100" u="1"/>
        <s v="ALD YOGUETA COOKIES &amp; CREAM 16X24 (15G)" u="1"/>
        <s v="BYB MAYONESA CLASICA BOLSA 16/880g" u="1"/>
        <s v="BYB MAYONESA CLASICA BOLSA 4/3000g" u="1"/>
        <s v="BYB SALSA PICAMAS VERDE BOLSA 48/100g" u="1"/>
        <s v="BYB SALSA T/KETCHUP BOLSA 16/950g" u="1"/>
        <s v="DCASA GELATINA POLVO MELOC.28X400g" u="1"/>
        <s v="DCASA GELATINA POLVO FRAMB.28X400g" u="1"/>
        <s v="DCASA PAPEL ENCANTO MIL HOJAS ROLLO (24)" u="1"/>
        <s v="BONI ARE MOCHILA SABUESO" u="1"/>
        <s v="IAK DUCAL FRIJ ROJO DyP 8oz (24)" u="1"/>
        <s v="NSK BIC ENCENDEDOR MAXI J6 5+1 (60)" u="1"/>
        <s v="TERMO BOLSA COLOR 2 Lbs (70)" u="1"/>
        <s v="KELL CHOCO KRISPIS MINI SCH 5X12X22G (5)" u="1"/>
        <s v="FOS ENCENDEDOR FRAGATA 40x25" u="1"/>
        <s v="XHC PFS MAX PODER NARANJA 6X3X400G" u="1"/>
        <s v="ALC CR AVEN MOLIDA 12U 300g" u="1"/>
        <s v="FOOD KNORR SOPA COST CRIOL C/FID 12X12X55G (144)" u="1"/>
        <s v="BYB CONCENTRADO DE NARANJA 12/678 ml" u="1"/>
        <s v="BYB CHEEZ DIP DOY PACK 12/200g" u="1"/>
        <s v="DCASA HEINZ MANZANA FLEX 24X113G" u="1"/>
        <s v="IPR LOZANO MANZANA 3.2L (6)" u="1"/>
        <s v="IAK DUCAL FRIJ NEGR DyP 40oz (12)" u="1"/>
        <s v="ALC ORO MAY HARIN MAIZ BLANC 5LB (6)" u="1"/>
        <s v="XHC PFS CENTELLA CHIBOLONA AZUL 4X3X375G" u="1"/>
        <s v="DIN ISSIMA MARGARINA 400gr (24)" u="1"/>
        <s v="XHC DIN ZIXX JAB AMARILLO 400G (6)" u="1"/>
        <s v="AXE AERO BS COLLISION 12X97G" u="1"/>
        <s v="ALD SONETTO SURTIDO 16X100 (4G)" u="1"/>
        <s v="BEST CHOCOFRUTA 10X1400G (10)" u="1"/>
        <s v="BEST GALLETA CHAPETIN 24X12 (24)" u="1"/>
        <s v="BYB VINAGRE CLARO 24/500ml" u="1"/>
        <s v="XHC DIN ZIXX JAB COCO 400G (6)" u="1"/>
        <s v="IAK KERNS KETCHUP 776gr PET (12)" u="1"/>
        <s v="IAK DUCAL BEB ALUMIN MELOC 330ml (24)" u="1"/>
        <s v="NSK COLGATE TRIP ACCION 75 ML+CEPIL (72)" u="1"/>
        <s v="XHC PFS LIMPIOX CILINDRO LIMON 18X320G" u="1"/>
        <s v="FOOD HELLMANNS MAY DYP 12X100G" u="1"/>
        <s v="SCH DOVE SH HIDRA Y SUAVI (ANTICASPA) 24X28X10ML" u="1"/>
        <s v="FOOD NATURAS SSA TOMATE RANCHERA 24X200G" u="1"/>
        <s v="FOOD NATURAS SSA TOMATE QUESO 24X200G" u="1"/>
        <s v="FOOD HELLMANNS  MAY DYP 12X190G" u="1"/>
        <s v="SCH SEDAL SH HIALURONICO Y VIT C 24X28X15ML" u="1"/>
        <s v="FOOD MAIZENA ALMIDON MAIZ NATURAL 40X375G" u="1"/>
        <s v="BYB MOSTAZA BOLSA 48/100g" u="1"/>
        <s v="IAK DUCAL FRIJ CHUB ROJO ENT 1.82kgs (6)" u="1"/>
        <s v="IAK DUCAL FRIJ CHUB NEGR ENT 1.82kgs (6)" u="1"/>
        <s v="PORFIN MARGARINA ORISOL 400gr (24)" u="1"/>
        <s v="XHC DIN ZIXX JAB VERDE 400G (6)" u="1"/>
        <s v="XHC DIN ZIXX JAB AZUL 400G (6)" u="1"/>
        <s v="XHC DIN ZIXX JAB AQUA 400G (6)" u="1"/>
        <s v="BONI ALD EXHIBIDOR RISTRA DE 5 GANCHERAS" u="1"/>
        <s v="BONI YAES CHARROS SALSA ROJA" u="1"/>
        <s v="NSK COLGATE DOBLE FRESC 75ML+CEPIL (72)" u="1"/>
        <s v="TERMO BOLSA COLOR 5 Lbs (46)" u="1"/>
        <s v="FOOD KNORR SOPA GAL C/ARROZ CHIP 12X12X55G (144)" u="1"/>
        <s v="REXONA AERO BAMBOO 12X90G" u="1"/>
        <s v="XHC DOVE JAB CUIDA PROTEGE 48X90G" u="1"/>
        <s v="AXE AERO BS FUSION 12X97G" u="1"/>
        <s v="AXE AERO BS ICE CHILL 12X97G" u="1"/>
        <s v="SCH DOVE SH OLEO NUTRI 24X28X10ML" u="1"/>
        <s v="BYB SALSA PICAMAS VERDE JUMBO PLASTICO 24/19oz" u="1"/>
        <s v="BYB SALSA T/KETCHUP ALMOHADITA 48/215g" u="1"/>
        <s v="BONI IAK FUN C TETRA MELOCOTON 200ML" u="1"/>
        <s v="QUA YUS LIMONADA 9X15X28g" u="1"/>
        <s v="SCH SEDAL SH CERAMIDAS 24X28X10ML" u="1"/>
        <s v="BYB MOSTAZA BOLSA 32/390g" u="1"/>
        <s v="UL CR RIZOS 3 SACHET" u="1"/>
        <s v="IAK BAMB MOJITO 350ml LATA (24)" u="1"/>
        <s v="UNS BOMBILLO LED 9 WATTS (50)" u="1"/>
        <s v="KELL CHOCO KRISPIS 54X115G (54)" u="1"/>
        <s v="FOS FOSFOROS CABALLO ROJO 24x10" u="1"/>
        <s v="SCH DOVE SUPER AC 60 20X12X12ML (20)" u="1"/>
        <s v="FOOD NATURAS SALSA SABOR POLLO 96X100G" u="1"/>
        <s v="BYB MIEL DE MAPLE GARRAFA 24/330 ml" u="1"/>
        <s v="BYB SALSA T/KETCHUP BOLSA 4/3000g" u="1"/>
        <s v="XHC UNS DETERGENTE PURO SOL 250gr (40)" u="1"/>
        <s v="UNS EXTENSION DOMESTICA SPT  6MTS" u="1"/>
        <s v="REXONA AERO WOMAN TONO PERFECTO 12X90G" u="1"/>
        <s v="XHC XEDEX DESIN CITRICOS DYP 12X750ML" u="1"/>
        <s v="DOVE STICK CUIDADO TOTAL 12X50G" u="1"/>
        <s v="DOVE STICK EXTRA FRESH 12X50G" u="1"/>
        <s v="UNS EXTENSION DOMESTICA SPT  8MTS" u="1"/>
        <s v="DOVE MINIROLLON ORIGINAL 6X30ML" u="1"/>
        <s v="ALC CR AVEN HOJUELA 12U 300g" u="1"/>
        <s v="EGO GEL POWER 4X6X110ML" u="1"/>
        <s v="BYB MAYONESA CLASICA BOLSA 8/1500g" u="1"/>
        <s v="BONI YAES CHARROS SALSA VERDE" u="1"/>
        <s v="EGO GEL POWER 4x6x200 ML+5 SCH" u="1"/>
        <s v="BYB SALSA PICAMAS VERDE BOLSA 48/223g" u="1"/>
        <s v="BYB SALSA PICAMAS VERDE BOLSA 32/454g" u="1"/>
        <s v="REXONA AERO V8 12X90G" u="1"/>
        <s v="SCH SEDAL SH NEGRO LUM 24X28X10ML" u="1"/>
        <s v="EGO GEL ATTRAC 4X6X110ML" u="1"/>
        <s v="XHC XEDEX MAX POD FRUTOS BOSQUE 13X800G" u="1"/>
        <s v="IPR LOZANO UVA 3.2L (6)" u="1"/>
        <s v="IAK DE MI TIERRA FRIJ VOLT NEGRO 35OZ DP (12)" u="1"/>
        <s v="NSK SUAVITEL COMPL PRIMAV 1X2X36UNDS+6UNDS" u="1"/>
        <s v="QUA YUS GUANABA 9X15X28g)" u="1"/>
        <s v="FOOD NATURAS SALSA TOMATE JALAPENO 96X90G" u="1"/>
        <s v="PONDS POLVO COMP AF CARIBE 16X12G" u="1"/>
        <s v="YAES MUCHO NACHO VERDE 16X12X17gr" u="1"/>
        <s v="YAES FLAMAS CHILE LIMON 16X12X17gr" u="1"/>
        <s v="YAES GUENOS BARBACOA 4X12X20gr" u="1"/>
        <s v="FOOD MAIZENA FECULA BAN/FRESA/VAIN 16X12X45G" u="1"/>
        <s v="FOOD NATURAS SALSA TOMATE ITALIANA 96X90G" u="1"/>
        <s v="BYB SALSA INGLESA PLASTICO 4/3850 ml" u="1"/>
        <s v="TERMO BOLSA TRANSPARENTE 2 Lbs (36)" u="1"/>
        <s v="YAES ROSTIZADOR MARISCO 100G (24)" u="1"/>
        <s v="ARE SABUESO ADULTO 50 LBS" u="1"/>
        <s v="YAES MUCHO NACHO SALSA DE QUESO 105 G (30)" u="1"/>
        <s v="KELL ZUCARITAS MINI SCH 5X12X20G" u="1"/>
        <s v="BYB MANTEQUILLA DE MANI VASO 24/245g" u="1"/>
        <s v="IPR MERMELADA MANZANA 12OZ (24)" u="1"/>
        <s v="YAES GUENOS LIMON 4X12X20gr" u="1"/>
        <s v="FOOD NATURAS PASTA TRADICIONAL 96X90G" u="1"/>
        <s v="SEDAL SH 340 ML RIZOS DEFINIDOS (12)" u="1"/>
        <s v="YAES EMPANIZADOR SUKOCINERA 30X6X50G (180)" u="1"/>
        <s v="FOS PALITO CHOCOBANANO EL SOL 36X150u" u="1"/>
        <s v="IAK KERNS TE FRAMBUES 2500ml (6)" u="1"/>
        <s v="ALD FRUNAS BARRA 18X50 (8,3)" u="1"/>
        <s v="IAK KERNS SALSITA RANCHERA 106GR DP (24)" u="1"/>
        <s v="UNS CAR MENTOLADO JAAZZ CLOROFILA 100und (30)" u="1"/>
        <s v="UNS BOMBILLO LED 12 WATTS (50)" u="1"/>
        <s v="XHC PFS LIMPIOX CILINDRO ALOE 18X320G" u="1"/>
        <s v="PONDS CR 100G S HUMECTANTE NUTRITIVA (24)" u="1"/>
        <s v="PONDS CR 50G CLARANT B3 GRASA (24)" u="1"/>
        <s v="PONDS CR 50G CLARANT B3 SECA (24)" u="1"/>
        <s v="QUA FRUTY FRESCO 6+6 (12)" u="1"/>
        <s v="QUA JUGOS YA FRUTAS TROPICALES 10X15" u="1"/>
        <s v="REXONA STICK MEN V8 12X50G" u="1"/>
        <s v="UNS BOMBILLO LED 9 Watt" u="1"/>
        <s v="UNS BOMBILLO LED 12 Watt" u="1"/>
        <s v="BEST GALLETA FRESA 24X12X22G (24)" u="1"/>
        <s v="BYB CONCENTRADO DE JAMAICA 12/678 ml" u="1"/>
        <s v="BONI IAK KERNS COCTEL VEGETALES 157ML" u="1"/>
        <s v="IAK DUCAL FRIJ CARNICOS LAT 28oz (12)" u="1"/>
        <s v="FOOD NATURAS FRIJOL NEGRO VOLT 24X210G" u="1"/>
        <s v="BYB CONCENTRADO DE TAMARINDO 12/678 ml" u="1"/>
        <s v="IAK GOYA MAIZ ENTERO 8.75 ONZ (24)" u="1"/>
        <s v="SCH QUA NUTRIBELA 10 48X6X27ML" u="1"/>
        <s v="TERMO GABACHA MINI/PIWI (26)" u="1"/>
        <s v="SEDAL SH 340 ML LISO PERFECTO (12)" u="1"/>
        <s v="XHC PFS MAX PODER ALOE 6X3X400G" u="1"/>
        <s v="DOVE AERO CUIDADO TOTAL 12X89G" u="1"/>
        <s v="XHC XEDEX MAX POD FRUTOS BOSQUE 30X400G" u="1"/>
        <s v="ALD BIAGI CAFE 16X100" u="1"/>
        <s v="IAK KERNS TE DURAZNO 2500ml (6)" u="1"/>
        <s v="EGO GEL CONTROL CAIDA 24X230ML (24)" u="1"/>
        <s v="XHC XEDEX DESIN LAVANDA DYP 24X425ML" u="1"/>
        <s v="DOVE AERO AP CALENDULA 12X87G" u="1"/>
        <s v="FOS Fosforos Propasa 10x10" u="1"/>
        <s v="AXE AERO BS GOLD TEMPTATION 12X97G" u="1"/>
        <s v="DOVE AERO INVISIBLE DRY MEN 12X89G" u="1"/>
        <s v="DOVE AERO AP COCO 12X87G" u="1"/>
        <s v="DOVE AERO ORQUIDEA 12X87G" u="1"/>
        <s v="BONI SAVILOE UND 12X320ML" u="1"/>
        <s v="REXONA STICK FM ANTIBAC  INVISIBLE 12X50G" u="1"/>
        <s v="REXONA STICK MEN INVISIBLE 12X50G" u="1"/>
        <s v="REXONA STICK CLIN SPORT STRENGTH 12X46G" u="1"/>
        <s v="AXE AERO AP ICE CHILL 12X88G" u="1"/>
        <s v="AXE AERO AP COLLISION 12X90G" u="1"/>
        <s v="SEDAL SH 340 ML CERAMIDAS (12)" u="1"/>
        <s v="BONI DIN CUBETA PLASTICA" u="1"/>
        <s v="IAK KERNS KETCHUP SALSA GALON (3)" u="1"/>
        <s v="SCH SEDAL CR PEIN KERAT 24X28X10ML" u="1"/>
        <s v="SCH SEDAL SH NEGRO LUMINOSO 24X28X9ML" u="1"/>
        <s v="REXONA ROLLON BAMBOO 12X50ML" u="1"/>
        <s v="IAK KERNS 157mL COCTEL VEGETALES (48)" u="1"/>
        <s v="IAK DUCAL BEB HOJALAT MANZ 154ml (48)" u="1"/>
        <s v="IAK DUCAL BEB HOJALAT MELOC 154ml (48)" u="1"/>
        <s v="IAK DUCAL BEB HOJALAT PIÑA 154ml (48)" u="1"/>
        <s v="NSK BIC ENCENDEDOR MAXI J6 CARTON 15+3 (20)" u="1"/>
        <s v="DOVE AERO ORIGINAL 12X89G" u="1"/>
        <s v="ALD PIN POP SENSATIONS 16X24 (17G)" u="1"/>
        <s v="BYB CONCENTRADO DE HORCHATA DISPLAY 6/12u" u="1"/>
        <s v="BYB CONCENTRADO DE MORA 12/678 ml" u="1"/>
        <s v="PD PEDIALYTE UVA 60 MEQ 500ML (12)" u="1"/>
        <s v="EGO GEL ATTRAC 4/6/200ML+5 SCH" u="1"/>
        <s v="ALD SONETTO CHOCOLATE BLANCO 16X100 (4G)" u="1"/>
        <s v="IAK DUCAL FRIJ ROJO DyP 14.1oz (18)" u="1"/>
        <s v="PONDS CR 100G  C PEPINO (24)" u="1"/>
        <s v="AXE AERO BS EPIC FRESH 12X97G" u="1"/>
        <s v="REXONA STICK MEN ANTIBAC 12X50G" u="1"/>
        <s v="REXONA STICK ACTIVE DRY 12X50G" u="1"/>
        <s v="BYB SALSA BARBACOA DOY PACK 24/95g" u="1"/>
        <s v="BONI IAK CUCHARON PLASTICO" u="1"/>
        <s v="DIN MAZOLA MARGARINA BARRA 6X5X400gr (24)" u="1"/>
        <s v="EGO GEL ATTRAC 6/30/12ML" u="1"/>
        <s v="IAK KERNS TETRA NECT FRUTAS 1000ml (12)" u="1"/>
        <s v="SCH SEDAL CR LISO PERFECTO 24X28X10ML" u="1"/>
        <s v="REXONA STICK WOMAN ANTIBAC FRESH 12X50G" u="1"/>
        <s v="BEST MENTAS 50X12X13g (50)" u="1"/>
        <s v="BYB CONCENTRADO DE TAMARINDO 4/3785 ml" u="1"/>
        <s v="DOVE AEROSOL AP ROSAS 12X87G" u="1"/>
        <s v="FOOD KNORR SOPA GAL CRIOL C/FIDEOS 12X12X54G (144)" u="1"/>
        <s v="BONI PORFIN LIMPIOX AZUL 85g (72)" u="1"/>
        <s v="ALD PLAY OSOS RELLENOS 55g (24)" u="1"/>
        <s v="DOVE AERO INVISIBLE DRY WOMAN 12X89G" u="1"/>
        <s v="UNS GALLE CAFE COFFEE JOY 6x18x45gr" u="1"/>
        <s v="DOVE ROLLON CALENDULA 12X50ML" u="1"/>
        <s v="SCH SAVILE SH ARGAN 24X28X15ML" u="1"/>
        <s v="BEST CHOCOFRUTA 50x400G" u="1"/>
        <s v="BONI COCA COLA 355 ML" u="1"/>
        <s v="PONDS CR 100G CLARANT B3 GRASA (24)" u="1"/>
        <s v="BONI QUA NUTRIBELA 10 HIALURONICO 24X12X72ml" u="1"/>
        <s v="UNS GOMA DE MASCAR TUMIX SURTIDO 30x110x1.4g" u="1"/>
        <s v="ARE SABUESO CACHORRO 22 LBS" u="1"/>
        <s v="IAK KERNS JUNIOR PERA TETR 200ml (24)" u="1"/>
        <s v="XHC PFS CENTELLA CHIBOLONA AVENA 4X3X375G" u="1"/>
        <s v="EGO GEL POWER 6X30X15ML" u="1"/>
        <s v="BONI QUA NUTRIBELA 10 HIALURONICO (24)" u="1"/>
        <s v="TERMO BOLSA TRANSPARENTE 3 Lbs (30)" u="1"/>
        <s v="DOVE STICK ORIGINAL 12X50G" u="1"/>
        <s v="XHC XEDEX MAX POD LIMON 30X400G" u="1"/>
        <s v="BONI SOMBRILLAS PEDIALYTE" u="1"/>
        <s v="IAK DUCAL FRIJ ROJO LAT 5.5oz (48)" u="1"/>
        <s v="SEDAL SH 340 ML KERATINA C ANTIOX (12)" u="1"/>
        <s v="REXONA AERO ANTIBAC INVISIBLE MEN 12X90G" u="1"/>
        <s v="REXONA STICK WOMAN ANTIBAC INVISIBLE 12X50G" u="1"/>
        <s v="BONI NSK 1 BOLSA KIT CEPILLO" u="1"/>
        <s v="NSK COLGATE DOBLE FRESCURA 150ML" u="1"/>
        <s v="NSK LAVAPLATOS AXION 235G UNIDAD (48)" u="1"/>
        <s v="NSK LAVAPLATOS POTENSOL CILINDRO 400 GR (20)" u="1"/>
        <s v="XHC DIN ROKU JAB SALMON 400G (4)" u="1"/>
        <s v="IPR MERMELADA PINA 12OZ (24)" u="1"/>
        <s v="BONI SAVILOE UND 12X320ML (NUTRIBELA)" u="1"/>
        <s v="NSK LAVAPLATOS DOÑA BCA.CILINDRO 250 GR (24)" u="1"/>
        <s v="SEDAL CR 300 ML PEIN RIZOS OBEDIENTES (12)" u="1"/>
        <s v="EGO GEL ATTRAC 4x6x200ML" u="1"/>
        <s v="NSK LAVAPLATOS DOÑA BCA.CILINDRO TIRA 170GR (6)" u="1"/>
        <s v="YAES LECHE DE COCO 400ml (24)" u="1"/>
        <s v="REXONA AERO CLEAN CLASSIC WOMAN 12X91G" u="1"/>
        <s v="REXONA AERO CLIN ANTIBAC W 12X90G" u="1"/>
        <s v="XHC XEDEX P MAXIMO PODER 30X400G" u="1"/>
        <s v="NSK LAVAPLATOS POTENSOL MARQUETA 215GR (42)" u="1"/>
        <s v="XHC DOVE JAB BABY HUMECTANTE 48X75G" u="1"/>
        <s v="IPR CHILE JALAPEÑO ESCABECHE 5.5OZ (48)" u="1"/>
        <s v="FOOD KNORR SOPA POLL VERD CODITO 12X12X54G (144)" u="1"/>
        <s v="REXONA STICK CLIN EXTRA DRY EXP 12X46G" u="1"/>
        <s v="NSK LAVAPLATOS DOÑA BLANCA CILINDRO 400G (20)" u="1"/>
        <s v="NSK LAVAPLATOS AXION LIMON TIRA 115GR (6)" u="1"/>
        <s v="SCH DOVE SH RECON COMPL SUP 24X28X10ML" u="1"/>
        <s v="DOVE MINIROLLON PROTECCION TOTAL 6X30ML" u="1"/>
        <s v="XHC XEDEX P SUAVIZ B PRIMAV 30X115G" u="1"/>
        <s v="BONI BARRA MARGARINA MAZOLA 80g" u="1"/>
        <s v="IQUI CLORO MAGICLOR POPULINO 1X4X12 220ML" u="1"/>
        <s v="BEST GALLETA MANI 24X12X22G (24)" u="1"/>
        <s v="ALD MASTI MINT 16X100 (4G)" u="1"/>
        <s v="TERMO BOLSA TRANSPARENTE 1 Lbs (60)" u="1"/>
        <s v="SEDAL CR 300 ML PEIN LISOS PERFEC (12)" u="1"/>
        <s v="SCH SEDAL SH LISO PERFECTO 24X28X10ML" u="1"/>
        <s v="FOOD NATURAS FRIJOL NEGRO VOLTEADO 24X380G" u="1"/>
        <s v="REXONA AERO ACTIVE DRY 12X89G" u="1"/>
        <s v="SEDAL CR CERAMIDAS 12X300ML" u="1"/>
        <s v="XHC XEDEX DESIN CITRICOS SCH 5X12X100ML" u="1"/>
        <s v="PONDS CR 50G REJUVENESS (24)" u="1"/>
        <s v="BYB MAYONESA EXTRAMAYO BOLSA 8/1500g" u="1"/>
        <s v="BYB MAYONESA EXTRAMAYO 32/375g" u="1"/>
        <s v="BONI YAES MUCHO NACHO NATURAL 75gr" u="1"/>
        <s v="FOOD NATURAS PASTA TRADICIONAL 96X100G" u="1"/>
        <s v="REXONA AERO AP POWDER DRY 12X89G" u="1"/>
        <s v="BONI QUA YUS FRUTAS TROPICALES 9x15x28g" u="1"/>
        <s v="BONI BIC 1 PAR DE RASURADORA CONFORT 2" u="1"/>
        <s v="UNS CHOC. TUBITO CHOKI CHOKI CHOCMAR 6x20" u="1"/>
        <s v="ARE ARECANA ADULTO 50 LBS" u="1"/>
        <s v="XHC XEDEX P MULTIACCION 20X250G" u="1"/>
        <s v="XHC XEDEX DESIN LAVANDA SCH 5X12X100ML" u="1"/>
        <s v="CB CAFE BARISTA SOLUBLE 12X24X8g" u="1"/>
        <s v="SEDAL CR 300 ML PEIN KERATINA Y ANTIOX (12)" u="1"/>
        <s v="BYB SALSA BARBACOA 4/4,400g" u="1"/>
        <s v="BYB MAYONESA EXTRAMAYO BOLSA 4/3000g" u="1"/>
        <s v="BONI IAK VASO PLASTICO KERNS" u="1"/>
        <s v="DOVE STICK CALENDULA 12X50G" u="1"/>
        <s v="XHC XEDEX P MAXIMO PODER LIMON 13X800G" u="1"/>
        <s v="BEST GALLETA CHOCOLATE 24X12X22G (24)" u="1"/>
        <s v="PONDS CR 100G CLARANT B3 SECA (24)" u="1"/>
        <s v="XHC DIN ROKU JAB AMARILLO 400G (4)" u="1"/>
        <s v="XHC XEDEX MAXIMO PODER FRUTOS BOSQUE 13X800G" u="1"/>
        <s v="NSK LA MODERNA SPAGHETTI QUESO 20x200G" u="1"/>
        <s v="REXONA AERO CLINICAL CLEAN MEN 12X90G" u="1"/>
        <s v="SCH SAVILE SH 2EN1 24X28X15ML" u="1"/>
        <s v="BEST CHOCOGOL DYP 50X15X5g (50)" u="1"/>
        <s v="ARE SABUESO ADULTO 44 LBS" u="1"/>
        <s v="EGO GEL ATTRAC 6/1000ML" u="1"/>
        <s v="NSK LAVAPLATOS DOÑA BCA.CILINDRO 170GR(6)" u="1"/>
        <s v="NSK LAVAPLATOS  POTENSOL MARQUETA 215GR (42)" u="1"/>
        <s v="PONDS CR 100G REJUVENESS DIA (24)" u="1"/>
        <s v="BONI PD EXHIBIDOR PEDIALYTE" u="1"/>
        <s v="REXONA STICK WOMAN POWDER 12X50G" u="1"/>
        <s v="REXONA AERO CLIN ANTIB MEN 12X91G" u="1"/>
        <s v="REXONA STICK MEN ANTIBACT FRESH 12X50G" u="1"/>
        <s v="BONI NSK SPAGHETTI 60x200G" u="1"/>
        <s v="NSK LA MODERNA PASTA SPAGHETTI 60x200G" u="1"/>
        <s v="NSK DOÑA BLANCA CILINDRO 400G (20)" u="1"/>
        <s v="NSK COLGATE KIT DE CEPILL 1X24TX6UNDS" u="1"/>
        <s v="KELL CHOCO KRISPI SCH 8X6X150G (8)" u="1"/>
        <s v="XHC XEDEX P SUAVIZ YLANG 30X115G" u="1"/>
        <s v="FOOD MAIZENA FECULA MAIZ NATURAL 20X20X45G (400)" u="1"/>
        <s v="BONI QUA SAVILOE UND 500ML (12)" u="1"/>
        <s v="FOOD MAIZENA FECULA MAIZ  FRESA 16X12X45G (192)" u="1"/>
        <s v="FOOD MAIZENA FECULA MAIZ VAINILLA 16X12X45G (192)" u="1"/>
        <s v="BEST COCOA CHOCOPANDA 24X12X20G" u="1"/>
        <s v="NSK LA MODERNA CARACOL 3 42x200G" u="1"/>
        <s v="NSK LA MODERNA MOÑO 42x180G" u="1"/>
        <s v="SCH SEDAL CR PEIN KERAT 12X24X10ML+SH" u="1"/>
        <s v="UNS DULCE KOPIKO CAPUCCINO BOTE 200und (6)" u="1"/>
        <m u="1"/>
        <s v="AXE AERO BS COLLISION 12X90G" u="1"/>
        <s v="BONI EGO POWER 110ML TARRO (24)" u="1"/>
        <s v="ALC ORO MAY HARIN MAIZ BLANC 2LB (9)" u="1"/>
        <s v="NSK BANDIDO VAINILLA DOCENA (24)" u="1"/>
        <s v="ALM ECO BOX DETER MULT ANTIBACTERIAL 9.5 LTS" u="1"/>
        <s v="SEDAL AC 340 ML RIZOS DEFINIDOS (12)" u="1"/>
        <s v="XHC XEDEX DESIN FRUTOS CITRICOS SCH 5X12X100ML" u="1"/>
        <s v="DOVE STICK COCO 12X50G" u="1"/>
        <s v="BYB CHILE JALAPEÑO LA CONTENTA 48/180g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BONI ALC ARROZ MACARENA PRECOCIDO 400g (25)" u="1"/>
        <s v="GRIPETIN GRIPE Y TOS - 12 SOBRES" u="1"/>
        <s v="XHC LIMPIOX CILINDRO ALOE 18X320G" u="1"/>
        <s v="XHC MAX PODER BLANCO 6X4X350G" u="1"/>
        <s v="AXE AERO AP URBAN 48H ABP 12X90G" u="1"/>
        <s v="FOS CERILLO GALLO 10X10" u="1"/>
        <s v="QUA JUGOS YA LIMON 10X15" u="1"/>
        <s v="ALD SONETTO CHOCOLATE BLANCO 16X110u (16)" u="1"/>
        <s v="BEST CHOCO PANDA COCOA 9+1 10X30X20G (30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EGO GEL CONTROL CAIDA 6X30X12ML" u="1"/>
        <s v="BEST BOTONETAS CHOCOLATE 20X24X11.5G (20)" u="1"/>
        <s v="EGO GEL CONTROL CAIDA 3X8X110ML" u="1"/>
        <s v="BEST CHOCOFRUTA TABLETA 410 GRS 1X24" u="1"/>
        <s v="GOMITAS 4 OSOS GRANDES 14GR 12X2X20X4" u="1"/>
        <s v="KMD EL ARTESANO SALSA CHILTEPE 95g" u="1"/>
        <s v="BEST CARAMELO DURO SURTIDO 30 X 100 UND" u="1"/>
        <s v="XHC PFS MAX MB BLANC/VERD DUOX 6X3X540G" u="1"/>
        <s v="IPR MIEL MAPLE 360ML" u="1"/>
        <s v="QUA JUGOS YA MORA 10X15" u="1"/>
        <s v="XHC XEDEX P SUAV B PRIMAV 15X900G" u="1"/>
        <s v="REXONA AERO CLINICAL CLASSIC WOMAN 12X90G" u="1"/>
        <s v="EGO GEL CONTROL CAIDA 2X6X200ML" u="1"/>
        <s v="BONI XTREME GEL 100g" u="1"/>
        <s v="IAK KERNS JUNIOR UVA TETR 200ml (24)" u="1"/>
        <s v="XHC XEDEX P MAXIMO PODER FRUTOS DEL BOSQUE 13X800G" u="1"/>
        <s v="PONDS CR  50G CLARANT B3 GRASA (24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ONI QUA AVENA ESTRELLA 360G" u="1"/>
        <s v="BYB SALSA PICAMAS ALMOHADITA 48/110 g" u="1"/>
        <s v="MA AVENA INTEGRAL 25X300G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EGO GEL CONTROL CAIDA 2X6X200 ML" u="1"/>
        <s v="BONI GORRAS PEDIALYTE" u="1"/>
        <s v="XHC CENTELLA CHIBOLONA VERDE 4X3X400G" u="1"/>
        <s v="SCH SEDAL SH SOS CASPA 12X24X10ML+4" u="1"/>
        <s v="BONI ALC ORO MAYA 400GR" u="1"/>
        <s v="BEST CONITO DYP 90X10X5G (90)" u="1"/>
        <s v="REXONA AERO ANTIBAC INVISIBLE MEN ADVANCE 12/90G" u="1"/>
        <s v="XHC LIMPIOX CILINDRO LIMON 18X320G" u="1"/>
        <s v="BONI NSK  KIT DE CEPILLADO COLGATE UND" u="1"/>
        <s v="NSK BIC RASURADORA CONFORT 2 12+2 (48)" u="1"/>
        <s v="REXONA STICK AP SPORFAN 12X50G" u="1"/>
        <s v="XHC XEDEX P MAXIMO PODER 30X450G" u="1"/>
        <s v="NSK FRUTY DULCE BOLSA 17" u="1"/>
        <s v="XHC PFS CENTELLA AVENA 4X3X375G" u="1"/>
        <s v="FOS ENCENDEDORES FRAGATA MINI 10X12X3 (3 PACK)(10)" u="1"/>
        <s v="ALD YOGUETA CHOCOCARAMEL 1x24u (16)" u="1"/>
        <s v="BONI NSK BANDIDO UNIDAD" u="1"/>
        <s v="GRECO CANASTICAS GALLETA MORA ROJA 270gr (24)" u="1"/>
        <s v="NSK HOT CAKE CAJA 12x500G" u="1"/>
        <s v="XHC PFS MAX PODER VERDE LIMON 6X3X400G" u="1"/>
        <s v="DCASA PAPEL ENCANTO MIL HOJAS 12X4" u="1"/>
        <s v="AMS ECO DETER LIQ CASA LIMPIA ROPA DELICADA 1x20 LT" u="1"/>
        <s v="BONI PLAST BANCO" u="1"/>
        <s v="REXONA CLINICAL CLEAN SCENT 12X48G" u="1"/>
        <s v="BONI DINANT PLATO PLASTICO" u="1"/>
        <s v="FOOD NATURAS JUMB SSA RANCH 24X100G" u="1"/>
        <s v="EGO GEL POWER 8X30X15ML+GEL 200ML" u="1"/>
        <s v="FOOD MAIZENA FECULA MAIZ NATURAL 20X20X45G" u="1"/>
        <s v="YAES EMPANIZADOR CEREAL 90G" u="1"/>
        <s v="FOOD MAIZENA FECULA MAIZ NATURAL 20X20X47G" u="1"/>
        <s v="DOVE STICK GO FRESH PEPINO 12X50G" u="1"/>
        <s v="IAK DUCAL FRIJ ROJO PICANT DyP 14oz (18)" u="1"/>
        <s v="GOMITAS LIMON Y CHILE 20GR 12X2X10X4" u="1"/>
        <s v="GRECO INTEGRAL AVENA FRUTOS ROJOS 156gr (24)" u="1"/>
        <s v="BEST CHOCOPANDA CAJA CHOCOLATE 285G (36)" u="1"/>
        <s v="YAES ROSTIZADOR 18/453G" u="1"/>
        <s v="XHC XEDEX P SUAVIZ YLANG 15X900G" u="1"/>
        <s v="BONI UL NATURAS POLLO 36G (36)" u="1"/>
        <s v="XHC PFS CENTELLA CHIBOLONA BLANCA 6X3X400G" u="1"/>
        <s v="REXONA STICK BAMBOO 12X50G" u="1"/>
        <s v="DCASA GELATINA POLVO FRESA 450G (25)" u="1"/>
        <s v="DCASA GELATINA POLVO LIMON 450G (25)" u="1"/>
        <s v="BONI UL MAYO HELLMANS 70G" u="1"/>
        <s v="AMS PAPEL HIG MAX PAP 8X6 DORADO NEGRO HT" u="1"/>
        <s v="IAK ADAN Y EVA FRUTOS ROJOS 350ML LAT (24)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EGO GEL CONTROL CAIDA 12X450ML" u="1"/>
        <s v="XHC DIN ROKU JAB AQUA 400G (4)" u="1"/>
        <s v="BONI IAK FUN C TETRA MANZANA 200ML" u="1"/>
        <s v="EGO GEL POWER 4x6x200 ML" u="1"/>
        <s v="IPR LOZANO UVA 500ML" u="1"/>
        <s v="XHC PFS COLOSO MARQUETA 40X225G" u="1"/>
        <s v="XHC XEDEX P MAXIMO PODER 13X900G" u="1"/>
        <s v="IAK FRIJOLES CARNICOS 14OZ HL (24)" u="1"/>
        <s v="BEST BOTE CONITO CHOCOLATE 70u (12)" u="1"/>
        <s v="REXONA AERO SPORFAN 12X90G" u="1"/>
        <s v="BONI SH SAVILE BIOTINA DISPLAY" u="1"/>
        <s v="SCH SAVILE CR RIZOS ARGAN 12X28X15ML" u="1"/>
        <s v="XHC XEDEX P PROTECCION COLOR 15X900G" u="1"/>
        <s v="BONI QUA NUTRIBELA 10 24X12X27ML" u="1"/>
        <s v="AMS ECO BOX DETERGENTE MULT ANTIBACT 9.5 LTS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NSK BIC RASURADORA SHAVER SENS 24+4 (24)" u="1"/>
        <s v="NSK LA MODERNA PASTA TORNILLO 42x200G" u="1"/>
        <s v="IAK ADAN Y EVA LIMON JEMGIBRE 355ML LAT (24)" u="1"/>
        <s v="XHC XEDEX P SUAVIZ B PRIMAV 30X125G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AMS TOALLA HUMEDA LUCCA FAMILIAR 12X80" u="1"/>
        <s v="AMS ECO DETER LIQ MULTIUSOS ANTIBAC CASA LIMPIA 1x20 LT" u="1"/>
        <s v="FOOD LIPTON TE VERDE C/MENTA 20X20BLS" u="1"/>
        <s v="UNS DULCE KOPIKO CAFE BOTE 200und (6)" u="1"/>
        <s v="FOOD LIPTON TE ROSA JAMAICA 24X20BLS" u="1"/>
        <s v="BYB MAYONESA BOLSA 48/100g" u="1"/>
        <s v="IQUI CLORO MAGICLOR POPULINO 1X4X12 235ML" u="1"/>
        <s v="BEST RODAJAS JAL 24/215G" u="1"/>
        <s v="XHC PFS MAX MB BLANCA 6X3X540G" u="1"/>
        <s v="AMS PAPEL HIG LUCCA 24X1X168 NARANJA HD" u="1"/>
        <s v="BYB SALSA PICAMAS VERDE PLASTICO 24/200g" u="1"/>
        <s v="NSK LAVAPLATOS AXION MAQUETAS 250 GR (42)" u="1"/>
        <s v="NSK LAVAPLATOS AXION MARQUETA 250 GR (42)" u="1"/>
        <s v="UNS GOMA DE MASC. AGOGO CENT. LIQ.SURT. 16x44x8.3gr" u="1"/>
        <s v="SEDAL SH 340 ML NEGROS LUMINOSOS (12)" u="1"/>
        <s v="XHC VENZA JABON AVENA 110g (72)" u="1"/>
        <s v="MA AVENA FORTIFICADA 25X454G" u="1"/>
        <s v="TERMO BOLSA DE BASURA NEGRA 24X35" u="1"/>
        <s v="TERMO GABACHA #1" u="1"/>
        <s v="XHC MAX PODER AMARILLO 6X3X400G" u="1"/>
        <s v="BONI ROLLO PAPEL HIGIENICO" u="1"/>
        <s v="BONI NSK LAPICERO BIC" u="1"/>
        <s v="BEST FRUTIBOTONETAS TROPICAL 20Ctx24U 25G" u="1"/>
        <s v="BYB MAYONESA BOLSA 48/200g" u="1"/>
        <s v="BEST CHOCOFRUTA 50X400G (50)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BIOKLAR GEL ANTIBAC SIN FRAG 60ML (72)" u="1"/>
        <s v="BIOKLAR SPRAY DESIN SIN FRAG 60ML (72)" u="1"/>
        <s v="IAK KERNS SALSITA HONGOS 106GR DP (24)" u="1"/>
        <s v="DOVE STICK ROSAS 12X45G" u="1"/>
        <s v="FOOD MAIZENA FECULA BAN/FRESA/VAIN 16X12X47G" u="1"/>
        <s v="BEST MENTA GLACIAL 30 BOLSAS DE 100 UNIDADES" u="1"/>
        <s v="XHC VENZA JABON SABILA 110g (72)" u="1"/>
        <s v="AMS PAPEL HIG MAX PAP. DORADO NEGRO HT 12X4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IQUI CLORO BLANCO SOL 1/2 GALON (6)" u="1"/>
        <s v="SCH REXONA CLIN DEO CLAS W 12X8X8G+SCH (12)" u="1"/>
        <s v="XHC MAX BLANC/NARAN DUOX 6X4X330G" u="1"/>
        <s v="XHC REXONA JAB ANTIBAC LIMP PROF 48X125G" u="1"/>
        <s v="BEST FRUTI BOTONETAS TROPICAL 20X24X25G (20)" u="1"/>
        <s v="REXONA CLINICAL SPORT STRENGTH 12X48G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YAES EMPANIZADOR DE POLLO 180/50G" u="1"/>
        <s v="AXE AERO AP ICE CHILL 12X90G/152ML" u="1"/>
        <s v="NSK TAJIN SALSA LIQ CHAMOY 475MLl (12)" u="1"/>
        <s v="SCH REXONA CLIN DEO CLAS MIX S6X10X8G+SCH (6)" u="1"/>
        <s v="AMS SERVILLETA MAX PAPPEL 10X1X100 CUADRADA" u="1"/>
        <s v="NSK BIC MAXI J6 CARTÓN 15+3 (20)" u="1"/>
        <s v="BEST CARAMELO DURO LECHE Y MIEL 24 X 100 UND" u="1"/>
        <s v="BIOKLAR SPRAY DESIN SIN FRAG 250ML (24)" u="1"/>
        <s v="BONI ALC ARROZ ESTRELLA PRECOCIDO 350g (25)" u="1"/>
        <s v="TERMO BOLSA TRANSPARENTE 1 Lbs" u="1"/>
        <s v="BONI NSK JABON PROTEX FRESH 110GR (96)" u="1"/>
        <s v="SCH SAVILE SH 2EN1 12X28X15ML" u="1"/>
        <s v="TERMO BOLSA TRANSPARENTE 2 Lbs" u="1"/>
        <s v="TERMO BOLSA TRANSPARENTE 3 Lbs" u="1"/>
        <s v="FOOD NATURAS SALSA TOMATE C/CARNES 96X100G" u="1"/>
        <s v="TERMO BOLSA TRANSPARENTE 5 Lbs" u="1"/>
        <s v="NSK TAJIN SALSA LIQ CLASICA 475ML (12)" u="1"/>
        <s v="AMS TOALLAS HUMEDAS BABY STAR 24X40" u="1"/>
        <s v="BYB CHILE JALAPEÑO LA CONTENTA LATA 48/180g" u="1"/>
        <s v="BYB MAYONESA EXTRAMAYO BOLSA 16/880g" u="1"/>
        <s v="BONI DCASA ORO MAYA 400GR" u="1"/>
        <s v="BONI DIN JABONERA VENZA" u="1"/>
        <s v="XHC CENTELLA CHIBOLONA AZUL 4X3X400G" u="1"/>
        <s v="XHC MAX BLANC/AZUL DUOX 6X3X400G" u="1"/>
        <s v="GOMITAS 10 OSOS 12X2X20X10" u="1"/>
        <s v="BONI BAÑO 10 LITROS" u="1"/>
        <s v="FOOD KNORR SOPA POLLO C/FIDEO 12X12X55G" u="1"/>
        <s v="ALC ARROZ MOLINERO BLANCO 200GR (20)" u="1"/>
        <s v="ALD YOGUETA SURTIDA 1x24u (16)" u="1"/>
        <s v="AXE AERO BS BLACK 12X90G" u="1"/>
        <s v="BYB MERMELADA DE FRESA TARRO 12/300g" u="1"/>
        <s v="ALD YOGUETA MILK 16X24u (16)" u="1"/>
        <s v="IAK KERNS KETCHUP 8grs SACH 1000u" u="1"/>
        <s v="XHC XEDEX P SUAVIZ YLANG 15X1KG" u="1"/>
        <s v="AMS PAPEL HIG MAX PAP. 6X4 MEJOR QUE 1000HD" u="1"/>
        <s v="YAES ROSTIZADOR BOLSA 453G (18)" u="1"/>
        <s v="ALD PIN POP BLACK CHERRY CON CHICLE 16x24u (16)" u="1"/>
        <s v="XHC REXONA JAB BAMBOO 48X125G" u="1"/>
        <s v="ALD PIN POP MIX ASSORTED 16X24u (16)" u="1"/>
        <s v="PONDS CR  45G C ORIGINAL (24)" u="1"/>
        <s v="ALD FRUNAS DUO COLOR 16X100u (16)" u="1"/>
        <s v="NSK LA MODERNA GALL MARIANITA NUEZ 20x185G" u="1"/>
        <s v="DCASA MIRASOL MARG 36X5+1/80G" u="1"/>
        <s v="EGO GEL URBAN 24/200 ML" u="1"/>
        <s v="EGO GEL URBAN 4X6X200ML" u="1"/>
        <s v="AMS PAPEL HIGENICO LUCCA 24X1X1000 MEJOR HD" u="1"/>
        <s v="BYB MAYONESA BOLSA 32/380g" u="1"/>
        <s v="EGO GEL POWER 6/1000 ML" u="1"/>
        <s v="XHC XEDEX P ANTIBAC 15X1KG" u="1"/>
        <s v="QUA FRUTY F SURTIDO 8X18X14G" u="1"/>
        <s v="AXE AERO BS ANARCHY FW 12X90G" u="1"/>
        <s v="QUA NUTRIBELA TRAT CAP 24X12X27ML" u="1"/>
        <s v="QUA JUGOS YA DURAZNO 10X15" u="1"/>
        <s v="XHC MAX PODER VERDE 6X4X330G" u="1"/>
        <s v="IPR CHIIPR CHILE JALAPEÑO 5.5OZLE JALAPEÑO 5.5OZ" u="1"/>
        <s v="AXE AERO AP COLLISION 12X88G" u="1"/>
        <s v="DCASA GELATINA POLVO NARANJA 450G (25)" u="1"/>
        <s v="FOOD NATURAS SALSA ITALIANA CL 96X100G" u="1"/>
        <s v="QUA JUGOS YA FRESA 10X15" u="1"/>
        <s v="FOOD LIPTON TE INFUS MANZANILLA 24X20BLS" u="1"/>
        <s v="BONI PLAST PALANGANA PEQ" u="1"/>
        <s v="DOVE AERO CLEAR TONE 12X89G" u="1"/>
        <s v="GRECO GALL CHOCOCHIPS MINI 16X" u="1"/>
        <s v="UNS GOMA DE MASCAR TUMIX MENTA 30x110x1.4g" u="1"/>
        <s v="BEST GALLETA MICHOKO 24X12X22G (24)" u="1"/>
        <s v="BONI IAK PASTA TOMATE 4 OZ DYP" u="1"/>
        <s v="AMS TOALLA DE COCINA MAX PAPEL 8X3X120" u="1"/>
        <s v="FOSFORO QUETZAL 10X10" u="1"/>
        <s v="PONDS CR DPL CLARANT B3 SECA 12X10X10G" u="1"/>
        <s v="BONI QUA FRUTY FRESCO (8)" u="1"/>
        <s v="BYB CHOCONELA 12/273g" u="1"/>
        <s v="NSK LYSOL DESINFECTANTE MULTIUSOS DP 500 ML (18)" u="1"/>
        <s v="AMS PAPEL HIG MAX PAPPEL DORADO NEGRO HT 12X4" u="1"/>
        <s v="TERMO GABACHA #2" u="1"/>
        <s v="BYB PICAMAS CHILTEPE 24/155g" u="1"/>
        <s v="REXONA STICK CLIN CLASSIC EXPERT 12X46G" u="1"/>
        <s v="IAK DUCAL FRIJ NEGR LAT 5.5oz PROMO (48)" u="1"/>
        <s v="BEST RODAJAS JAL EN ESCAB 24/170G" u="1"/>
        <s v="XHC PFS CENTELLA CHIBOLONA VERDE 4X3X400G" u="1"/>
        <s v="AMS PAPEL HIG MAX PAP. SUPER ECON 4X12 (4)" u="1"/>
        <s v="XHC PFS CENTELLA CHIBOLONA VERDE 6X3X400G" u="1"/>
        <s v="DOVE STICK GO FRESH PEPINO" u="1"/>
        <s v="AMS TOALLA FEM FEELING MAXI NOCTURNA 12X8" u="1"/>
        <s v="BONI QUA JUGOS YA FRUTAS TROPICALES" u="1"/>
        <s v="XHC CENTELLA CAMPEON BLANCO 6X4X330G" u="1"/>
        <s v="SCH SEDAL SH 2EN1 CERAMIDAS 12X24X10ML+4 SCH" u="1"/>
        <s v="NSK LA MODERNA CODO 2 50x200G" u="1"/>
        <s v="AMS SHAMPOO BABY STAR 5X30X10ML SIN LAGRIMAS" u="1"/>
        <s v="XHC PFS CENTELLA CHIBOLONA AMARILLO 4X3X400G" u="1"/>
        <s v="BYB MAYONESA PRIMA BOLSA 8/1500g" u="1"/>
        <s v="NSK BIC RASURADORA TWIN LADY 12+2 KIT CEP (24)" u="1"/>
        <s v="BONI BAÑO 9 LITROS" u="1"/>
        <s v="XHC MAX BLANC/VERDE DUOX 6X4X350G" u="1"/>
        <s v="DOVE AERO EXTRA FRESH 12X89G" u="1"/>
        <s v="TERMO GABACHA MINI/PIWI" u="1"/>
        <s v="DCASA GELATINA POLVO FRAMB.25X450g" u="1"/>
        <s v="BYB MAYONESA ALMOHADITA 48/100g" u="1"/>
        <s v="DCASA GELATINA POLVO MELOC.25X450g" u="1"/>
        <s v="BYB PICAMAS COBANERO 24/155g" u="1"/>
        <s v="BYB PICAMAS HABANERO 24/155G" u="1"/>
        <s v="KELL FROOT LOOPS MINI SCH 5X12X22G (5)" u="1"/>
        <s v="FOOD KNORR SOPA GAL C/CONCHI 12X12X54G (144)" u="1"/>
        <s v="AMS PAPEL HIG MAX PAP MED VERDE HD 24X1X320" u="1"/>
        <s v="NSK LA MODERNA GALL MALVADISCO 10x624G" u="1"/>
        <s v="BONI ALC ARROZ GALLO DORADO 400g (25)" u="1"/>
        <s v="YAES ROSTIZADOR 100/90G" u="1"/>
        <s v="AMS ALCOHOL LIQUIDO ANTIBACT. CLT 12X1X850ML (12)" u="1"/>
        <s v="XHC XEDEX P SUAVIZ YLANG 30X125G" u="1"/>
        <s v="BONI PFS CLORO MAGICLOR UND" u="1"/>
        <s v="REXONA STICK CLIN MEN EXPERT 12/46G" u="1"/>
        <s v="SEDAL SH 2EN1 SOS CERAM 12X24X10ML+4 SCH" u="1"/>
        <s v="EGO GEL POWER 6/30/12ML" u="1"/>
        <s v="AMS JAB ANTIBAC CLT NARANJA JUGOSA 12X440" u="1"/>
        <s v="BONI VANISH 3X100ML" u="1"/>
        <s v="SCH SEDAL SH NEGR LUM 12X24X10ML+4" u="1"/>
        <s v="BONI QUA GALLETA BEST MANI 24X12 (JUGOS YA)" u="1"/>
        <s v="MA AVENA MOSH ESTRELLA 25X360G" u="1"/>
        <s v="LOT CONSOME CRIOLLO LOTY 225GR (50)" u="1"/>
        <s v="QUA JUGOS YA GUANABA 10X15G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QUA FRUTY FRESCO 6+6" u="1"/>
        <s v="QUA SAVILOE 12X320ML (PAQUETE)" u="1"/>
        <s v="QUA SAVILOE 12X500ML (PAQUETE)" u="1"/>
        <s v="AMS TOALLAS HUMEDAS BABY STAR12X80" u="1"/>
        <s v="QUA PROMOCION SAVILOE 500ML 9+3 (PAQUETE)" u="1"/>
        <s v="NSK LYSOL DESINFECTANTE MULTIUSOS SPRAY (18)" u="1"/>
        <s v="IAK ADAN Y EVA COCO LIMON 355ML LAT (24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EGO GEL URBAN 4x6x110 ML" u="1"/>
        <s v="XHC MAX PODER BLANCO 6X3X400G" u="1"/>
        <s v="XHC MAX PODER ROSADO 6X3X400G" u="1"/>
        <s v="IAK FRIJOLES CARNICOS 5OZ HL (48)" u="1"/>
        <s v="MA AVENA MOSH 100X400G" u="1"/>
        <s v="XHC XEDEX P MULTI LIMP ACTIVA 30X125G" u="1"/>
        <s v="MA AVENA MOSH 100X4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ALC CR AVEN HOJUELA 12U 350G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FOS CERILLOS GALLO FAMILIAR (100) 200 L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ARROZ MOLINERO BLANCO 400G" u="1"/>
        <s v="AXE STICK TRANS COLLISION 12X54G" u="1"/>
        <s v="IAK BLISS HAPPY MIX 350ml VIDR (24)" u="1"/>
        <s v="BYB CHILE JALAPEÑO PICANTE 96/5.8oz" u="1"/>
        <s v="DOVE STICK CLEAR TONE 12X50G" u="1"/>
        <s v="BYB SALSA PICAMAS VERDE BOLSA 8/1750g" u="1"/>
        <s v="AMS TOALLA HUMEDA LUCCA SUPER SEC 12X80" u="1"/>
        <s v="IAK DUCAL FRIJ NEGR DyP 104oz (6)" u="1"/>
        <s v="BEST BOTE CONITO RELL SUR 70u (12)" u="1"/>
        <s v="FOOD NATURAS SALSA C/QUESO 96X100G" u="1"/>
        <s v="YAES EMPANIZADOR CEREAL 90G (25)" u="1"/>
        <s v="BYB SALSA MILTOMATE SEMI SQUEZZE 24/370g" u="1"/>
        <s v="IAK KERNS TETRA NECT MELOC 1000ml (12)" u="1"/>
        <s v="BEST DAPI GALLETA VAINILLA 48X12X14.5G (48)" u="1"/>
        <s v="NSK LA MODERNA CABELLO DE ANGEL 20x200G" u="1"/>
        <s v="MA AVENA STEEL CUT 96X40G" u="1"/>
        <s v="GOMITAS 4 TAPA MENTA 20GR 12X2X10X4" u="1"/>
        <s v="BONI SAVILE ANTICASPA 7 und" u="1"/>
        <s v="BONI DCAS DETERGENTE 1 . 2 . 3 800g (10)" u="1"/>
        <s v="BONI IAK DUCAL FRIJOL NEGRO DyP 8 ONZ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IOKLAR SPRAY DESIN SIN FRAG 250ML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AK BAMB MARGARITA 350ml LATA (24)" u="1"/>
        <s v="ALD PIN POP WATERMELON 16X24 (15G)" u="1"/>
        <s v="DCASA GELATINA POLVO PIÑA 450G (25)" u="1"/>
        <s v="BYB SALSA PICAMAS COBANERO 24/155g" u="1"/>
        <s v="BONI QUA GALLETA BEST MANI MINI 24X12" u="1"/>
        <s v="BIOKLAR SPRAY DESIN SIN FRAG 60ML" u="1"/>
        <s v="IAK KERNS SALSITA CARNE 106GR DP (24)" u="1"/>
        <s v="IAK KERNS SALSITA QUESO 106GR DP (24)" u="1"/>
        <s v="BEST BOTONETA CHOCOLATE 80X6X20G (80)" u="1"/>
        <s v="BEST CHIPOTLES ADOBADOS 24/160G" u="1"/>
        <s v="GRIPETIN MULTISINTOMAS - 12 SOBRES" u="1"/>
        <s v="QUA NUTRIBELA 10 18+6 (12)" u="1"/>
        <s v="AXE AERO AP EPIC FRESH 12X88G" u="1"/>
        <s v="BEST CHOCO PANDA COCOA 6X50X20G (6)" u="1"/>
        <s v="FOOD NATURAS FRIJ NEGR VOLT 24X400GR" u="1"/>
        <s v="XHC REXONA JAB ANTIBAC FRESH 48X125G" u="1"/>
        <s v="AMS JAB ANTIBAC CLT PINK LIMONADE 12X500" u="1"/>
        <s v="ALC ARROZ GALLO DORADO PRE COCIDO 200GR (20)" u="1"/>
        <s v="XHC MAX MB NARANJA 6X3X540G" u="1"/>
        <s v="BYB SALSA PICANTE FRONTERA 32/16onz" u="1"/>
        <s v="XHC XEDEX P PROTECCION COLOR 20X250G" u="1"/>
        <s v="BYB SALSA PICAMAS VERDE BOLSA 4/3000g" u="1"/>
        <s v="IAK KERNS TETRA NECT MANZ 1000ml (12)" u="1"/>
        <s v="BONI QUA JUGO YA NARANJA" u="1"/>
        <s v="XHC MAX MB BLANCA 6X3X540G" u="1"/>
        <s v="AMS PAPEL HIG MAX PAP. 12X4 MEJOR QUE 1000 HD" u="1"/>
        <s v="REXONA AERO CLINICAL EXTRA DRY 12X91G" u="1"/>
        <s v="MA AVENA INTEGRAL 100X40G" u="1"/>
        <s v="NSK LA MODERNA PLUMA 42x200G" u="1"/>
        <s v="NSK LA MODERNA MACARRON LARGO 20x200G" u="1"/>
        <s v="BONI ALC ARROZ ESTRELLA BLANCO 350g (25)" u="1"/>
        <s v="XHC MAX PODER LILA 6X3X400G" u="1"/>
        <s v="NSK LYSOL DESINFECTANTE MULTIUSOS DP 500 ML" u="1"/>
        <s v="AXE AERO BS GOLD TEMPTATION 12X90G" u="1"/>
        <s v="DCASA MIRASOL MARG 6X60X35G" u="1"/>
        <s v="NSK BIC RASURADORA CONFORT 3 12+2 (24)" u="1"/>
        <s v="XHC PFS MAX MB BLANC/NAR DUOX 6X3X540G" u="1"/>
        <s v="XHC CENTELLA CHIBOLONA BLANCO 4X3X400G" u="1"/>
        <s v="XHC CENTELLA CHIBOLONA ROSADO 4X3X400G" u="1"/>
        <s v="EGO GEL ATTRAC 24/110ML" u="1"/>
        <s v="BYB CONCENTRADO DE HORCHATA 4/3786 ml" u="1"/>
        <s v="BYB MOSTAZA ALMOHADITA 48/110 g" u="1"/>
        <s v="GOMITAS 4 OSOS 12X2X20X4" u="1"/>
        <s v="BONI PLAST PALANGANA XEDEX" u="1"/>
        <s v="XHC SURF P ROSAS 15X1KG" u="1"/>
        <s v="AMS SERVILLETA LUCCA 10X1X100" u="1"/>
        <s v="IQUI CLORO BLANCO SOL 1LT (12)" u="1"/>
        <s v="BONI ALC HARINA ORO MAYA 800g (9)" u="1"/>
        <s v="BONI ARROZ GALLO DORADO 400G" u="1"/>
        <s v="XHC PFS LIMPIOX CILINDRO AVENA 18X320G" u="1"/>
        <s v="BONI IAK DUCAL FRIJ DyP 4oz (24)" u="1"/>
        <s v="DCASA MIRASOL MARG 2X24X90G" u="1"/>
        <s v="BYB MAYONESA PRIMA 32/375g" u="1"/>
        <s v="BONI IAK DUCAL FRIJOL LATA 10.5 OZ (48)" u="1"/>
        <s v="XHC XEDEX P MULTI LIMP ACTIVA 15X1KG" u="1"/>
        <s v="BEST BOTONETA MANÍ 80X6X20G (80)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EST BOTONETAS MANI 20X24X13G (20)" u="1"/>
        <s v="XHC MAX BLANC/NARAN DUOX 6X3X400G" u="1"/>
        <s v="XHC MAX BLANC/VERDE DUOX 6X3X400G" u="1"/>
        <s v="GOMITAS 5 OSOS PEQUEÑOS 12.5GR 12X2X20X5" u="1"/>
        <s v="EGO GEL POWER 12/500 ML" u="1"/>
        <s v="FOOD MAIZENA FECULA MAIZ VAINILLA 16X12X45G" u="1"/>
        <s v="FOOD KNORR SOPA GAL C/CONCHI 12X12X54G" u="1"/>
        <s v="AMS TOALLA DE COCINA MAX PAPEL 24X1 HD" u="1"/>
        <s v="PONDS CR 100G H (24)" u="1"/>
        <s v="MA AVENA FORTIFICADA 100X40G" u="1"/>
        <s v="FOOD HELLMANNS MAY DYP 12X200G" u="1"/>
        <s v="REXONA STICK ACTR BAMBOO 12X50G" u="1"/>
        <s v="SCH SAVILE SH BIOTINA 12X28X15ML" u="1"/>
        <s v="XHC CENTELLA CAMPEON VERDE 6X4X330G" u="1"/>
        <s v="XHC SURF P FUERZA SOLAR 15X1KG" u="1"/>
        <s v="SCH SAVILE SH ANTICASPA 24X28X15ML (24)" u="1"/>
        <s v="AXE AERO BS ICE CHILL 12X90G" u="1"/>
        <s v="BONI AMSA ROLLO MAX PAPPEL MORADO MED 24X1" u="1"/>
        <s v="NSK BANDIDO CHOCOLATE DOCENA (24)" u="1"/>
        <s v="DOVE MINIROLLON CUIDADO TOTAL 6X30ML" u="1"/>
        <s v="BONI 1 BOLSA KIT CEPILLO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696"/>
    </cacheField>
    <cacheField name="Columna4" numFmtId="0">
      <sharedItems containsSemiMixedTypes="0" containsString="0" containsNumber="1" minValue="0.01" maxValue="3.3049999999999997"/>
    </cacheField>
    <cacheField name="Columna5" numFmtId="0">
      <sharedItems containsSemiMixedTypes="0" containsString="0" containsNumber="1" minValue="0.01" maxValue="375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7314812" createdVersion="7" refreshedVersion="8" minRefreshableVersion="3" recordCount="133" xr:uid="{00000000-000A-0000-FFFF-FFFF46000000}">
  <cacheSource type="worksheet">
    <worksheetSource name="RUTA475"/>
  </cacheSource>
  <cacheFields count="5">
    <cacheField name="Columna1" numFmtId="0">
      <sharedItems containsMixedTypes="1" containsNumber="1" containsInteger="1" minValue="201" maxValue="7401192400143" count="525">
        <n v="10010010010"/>
        <n v="10020010007"/>
        <n v="1008010073"/>
        <n v="1008011812"/>
        <n v="400000127"/>
        <n v="400000160"/>
        <n v="50470107"/>
        <n v="50470114"/>
        <n v="50470115"/>
        <n v="50491102"/>
        <n v="50491108"/>
        <n v="50491122"/>
        <n v="50491132"/>
        <n v="50491134"/>
        <n v="52480086"/>
        <n v="5460400"/>
        <n v="5467000"/>
        <n v="576003"/>
        <n v="60000094"/>
        <n v="60000210"/>
        <n v="620678"/>
        <n v="620845"/>
        <n v="621330"/>
        <n v="642557"/>
        <n v="642694"/>
        <n v="67767705"/>
        <n v="68798139"/>
        <n v="68798140"/>
        <n v="69584479"/>
        <n v="69584483"/>
        <n v="69584486"/>
        <n v="69584500"/>
        <n v="69678219"/>
        <n v="69761861"/>
        <n v="69761868"/>
        <n v="69780941"/>
        <n v="84153562"/>
        <n v="84157362"/>
        <n v="84158961"/>
        <n v="84159040"/>
        <s v="ALD05665"/>
        <s v="ALD05669"/>
        <s v="ALD06514"/>
        <s v="ALD06517"/>
        <s v="ALD06519"/>
        <s v="ALD06520"/>
        <s v="ALD06521"/>
        <s v="ALD06522"/>
        <s v="ALD06523"/>
        <s v="ALD06526"/>
        <s v="ARE15052"/>
        <s v="BA016439"/>
        <s v="BA017850"/>
        <s v="BA018244"/>
        <s v="BYB00020500"/>
        <s v="BYB00020502"/>
        <s v="BYB00100401"/>
        <s v="BYB00100801"/>
        <s v="BYB00101601"/>
        <s v="BYB00104400"/>
        <s v="BYB00140401"/>
        <s v="BYB00170440"/>
        <s v="BYB00170441"/>
        <s v="BYB00171940"/>
        <s v="BYB00190454"/>
        <s v="BYB00220400"/>
        <s v="BYB00230438"/>
        <s v="BYB00231838"/>
        <s v="BYB00232538"/>
        <s v="DCAS0425"/>
        <s v="DCAS0533"/>
        <s v="DCAS2310"/>
        <s v="DCAS4292131"/>
        <s v="DCAS4292132"/>
        <s v="DCAS4292133"/>
        <s v="DCAS4292134"/>
        <s v="DCAS4292135"/>
        <s v="DCAS4292136"/>
        <s v="DCAS4292137"/>
        <s v="ENV0013"/>
        <s v="GT001N"/>
        <s v="GTQ0012"/>
        <s v="GTQ0023"/>
        <s v="IQM1010110"/>
        <s v="K124099"/>
        <s v="K124100"/>
        <s v="K126679"/>
        <s v="K129027"/>
        <s v="K129029"/>
        <s v="K150793"/>
        <s v="K150801"/>
        <s v="K154182"/>
        <s v="K155094"/>
        <s v="K156745"/>
        <s v="K156746"/>
        <s v="K161597"/>
        <s v="K167451"/>
        <s v="K167452"/>
        <s v="K194082"/>
        <s v="K209481"/>
        <s v="K51788"/>
        <s v="K51795"/>
        <s v="K51798"/>
        <s v="K73543"/>
        <s v="N13510211"/>
        <s v="N3639009"/>
        <s v="N3639161"/>
        <s v="N5458237"/>
        <s v="N7157"/>
        <s v="N7509"/>
        <s v="N7510"/>
        <s v="N7512"/>
        <s v="N7519"/>
        <s v="N7524"/>
        <s v="N7525"/>
        <s v="N7526"/>
        <s v="N7527"/>
        <s v="N7528"/>
        <s v="N7546"/>
        <s v="N8680"/>
        <s v="N8767"/>
        <s v="N9656"/>
        <s v="P370040"/>
        <s v="PD39206"/>
        <s v="PD39241"/>
        <s v="PD39248"/>
        <s v="PD39360"/>
        <s v="PD39842"/>
        <s v="PT010836"/>
        <s v="PT09713"/>
        <s v="Q1000"/>
        <s v="QUA79240105"/>
        <s v="TRM1002"/>
        <n v="10010020002" u="1"/>
        <n v="10020040002" u="1"/>
        <n v="1008012355" u="1"/>
        <n v="400000221" u="1"/>
        <n v="50491100" u="1"/>
        <n v="50491101" u="1"/>
        <n v="50491106" u="1"/>
        <n v="50491107" u="1"/>
        <n v="50491109" u="1"/>
        <n v="50491133" u="1"/>
        <n v="586703" u="1"/>
        <n v="60000205" u="1"/>
        <n v="60000209" u="1"/>
        <n v="620500" u="1"/>
        <n v="620821" u="1"/>
        <n v="621491" u="1"/>
        <n v="69584482" u="1"/>
        <n v="69584487" u="1"/>
        <n v="69629500" u="1"/>
        <n v="69678222" u="1"/>
        <n v="50491103" u="1"/>
        <n v="50491121" u="1"/>
        <n v="50491131" u="1"/>
        <n v="641833" u="1"/>
        <n v="68170124" u="1"/>
        <n v="84153470" u="1"/>
        <n v="84153561" u="1"/>
        <n v="10080010002" u="1"/>
        <n v="19640306" u="1"/>
        <n v="52480094" u="1"/>
        <n v="579235" u="1"/>
        <n v="68667235" u="1"/>
        <n v="68874809" u="1"/>
        <n v="69714154" u="1"/>
        <n v="69761870" u="1"/>
        <n v="1008013091" u="1"/>
        <n v="1008071533" u="1"/>
        <n v="19640305" u="1"/>
        <n v="400000048" u="1"/>
        <n v="400000411" u="1"/>
        <n v="4040000841" u="1"/>
        <n v="579305" u="1"/>
        <n v="588828" u="1"/>
        <n v="640683" u="1"/>
        <n v="640959" u="1"/>
        <n v="68667239" u="1"/>
        <n v="69678220" u="1"/>
        <n v="1008014100" u="1"/>
        <n v="1008094293" u="1"/>
        <n v="19640304" u="1"/>
        <n v="20110020" u="1"/>
        <n v="400000158" u="1"/>
        <n v="60000133" u="1"/>
        <n v="680689" u="1"/>
        <n v="68436586" u="1"/>
        <n v="68441503" u="1"/>
        <n v="68441507" u="1"/>
        <n v="84162865" u="1"/>
        <n v="1008010113" u="1"/>
        <n v="400000033" u="1"/>
        <n v="50470112" u="1"/>
        <n v="50470118" u="1"/>
        <n v="621323" u="1"/>
        <n v="640676" u="1"/>
        <n v="642236" u="1"/>
        <n v="68649837" u="1"/>
        <n v="579405" u="1"/>
        <n v="642359" u="1"/>
        <n v="642366" u="1"/>
        <n v="642373" u="1"/>
        <n v="642380" u="1"/>
        <n v="68395025" u="1"/>
        <n v="68524861" u="1"/>
        <n v="68923657" u="1"/>
        <n v="50491104" u="1"/>
        <n v="67139177" u="1"/>
        <n v="68524859" u="1"/>
        <n v="84157033" u="1"/>
        <n v="400000542" u="1"/>
        <n v="576004" u="1"/>
        <n v="60000212" u="1"/>
        <n v="640690" u="1"/>
        <n v="67611013" u="1"/>
        <n v="68441512" u="1"/>
        <n v="68441544" u="1"/>
        <n v="68865803" u="1"/>
        <n v="68865806" u="1"/>
        <n v="69761865" u="1"/>
        <n v="68436592" u="1"/>
        <n v="68787808" u="1"/>
        <n v="68437778" u="1"/>
        <n v="68524852" u="1"/>
        <n v="68775732" u="1"/>
        <n v="69618163" u="1"/>
        <n v="50470111" u="1"/>
        <n v="68115523" u="1"/>
        <n v="84158963" u="1"/>
        <n v="400000412" u="1"/>
        <n v="1008010115" u="1"/>
        <n v="67611014" u="1"/>
        <n v="52480095" u="1"/>
        <n v="680092" u="1"/>
        <n v="69714162" u="1"/>
        <n v="68637162" u="1"/>
        <n v="69761866" u="1"/>
        <n v="574983" u="1"/>
        <n v="578086" u="1"/>
        <n v="69786713" u="1"/>
        <n v="2103011672" u="1"/>
        <n v="621439" u="1"/>
        <n v="579407" u="1"/>
        <n v="680078" u="1"/>
        <n v="50470108" u="1"/>
        <n v="84163148" u="1"/>
        <n v="84163149" u="1"/>
        <n v="400000161" u="1"/>
        <n v="68193096" u="1"/>
        <n v="68380364" u="1"/>
        <n v="68170131" u="1"/>
        <n v="69714199" u="1"/>
        <n v="68444067" u="1"/>
        <n v="68874810" u="1"/>
        <n v="69627014" u="1"/>
        <n v="68193098" u="1"/>
        <n v="68444066" u="1"/>
        <n v="84168418" u="1"/>
        <n v="84168484" u="1"/>
        <n v="588831" u="1"/>
        <n v="68380352" u="1"/>
        <n v="68155562" u="1"/>
        <n v="68524849" u="1"/>
        <n v="69678218" u="1"/>
        <n v="400000386" u="1"/>
        <n v="583415" u="1"/>
        <n v="67611010" u="1"/>
        <n v="579409" u="1"/>
        <n v="68780160" u="1"/>
        <n v="403000261" u="1"/>
        <n v="67190950" u="1"/>
        <n v="68647722" u="1"/>
        <n v="69717303" u="1"/>
        <n v="652532" u="1"/>
        <n v="67409831" u="1"/>
        <n v="68524850" u="1"/>
        <n v="68524857" u="1"/>
        <n v="68647716" u="1"/>
        <n v="579412" u="1"/>
        <n v="67409940" u="1"/>
        <n v="565119" u="1"/>
        <n v="68380353" u="1"/>
        <n v="84157012" u="1"/>
        <n v="571467" u="1"/>
        <n v="67707590" u="1"/>
        <n v="68524848" u="1"/>
        <n v="579406" u="1"/>
        <n v="67707595" u="1"/>
        <n v="67721092" u="1"/>
        <n v="69714198" u="1"/>
        <n v="576000" u="1"/>
        <n v="579264" u="1"/>
        <n v="69620218" u="1"/>
        <n v="84171222" u="1"/>
        <n v="68865804" u="1"/>
        <n v="67611016" u="1"/>
        <n v="68354542" u="1"/>
        <n v="68611972" u="1"/>
        <n v="68818454" u="1"/>
        <n v="68193097" u="1"/>
        <n v="68754734" u="1"/>
        <n v="84171576" u="1"/>
        <n v="84160187" u="1"/>
        <n v="84168064" u="1"/>
        <n v="642205" u="1"/>
        <n v="67171635" u="1"/>
        <n v="68688972" u="1"/>
        <n v="579337" u="1"/>
        <n v="68436574" u="1"/>
        <n v="69629503" u="1"/>
        <n v="67986539" u="1"/>
        <n v="68645445" u="1"/>
        <n v="52480083" u="1"/>
        <n v="68524854" u="1"/>
        <n v="68786560" u="1"/>
        <n v="84158965" u="1"/>
        <n v="680672" u="1"/>
        <n v="68455320" u="1"/>
        <n v="67707587" u="1"/>
        <n v="68354529" u="1"/>
        <n v="68766039" u="1"/>
        <n v="67519203" u="1"/>
        <n v="67409923" u="1"/>
        <n v="84163166" u="1"/>
        <n v="67409941" u="1"/>
        <n v="84162953" u="1"/>
        <n v="579413" u="1"/>
        <n v="579362" u="1"/>
        <n v="67150066" u="1"/>
        <n v="68174780" u="1"/>
        <n v="84168485" u="1"/>
        <n v="67707584" u="1"/>
        <n v="68524847" u="1"/>
        <n v="68864406" u="1"/>
        <n v="69629502" u="1"/>
        <n v="69629507" u="1"/>
        <n v="576690" u="1"/>
        <n v="641628" u="1"/>
        <n v="1008011991" u="1"/>
        <n v="566030" u="1"/>
        <n v="68436589" u="1"/>
        <n v="60000262" u="1"/>
        <n v="207" u="1"/>
        <n v="256" u="1"/>
        <n v="84163138" u="1"/>
        <n v="67624575" u="1"/>
        <n v="68802170" u="1"/>
        <n v="579213" u="1"/>
        <n v="67140989" u="1"/>
        <n v="50470101" u="1"/>
        <n v="68614030" u="1"/>
        <n v="68534543" u="1"/>
        <n v="68882798" u="1"/>
        <n v="68875982" u="1"/>
        <n v="67574563" u="1"/>
        <n v="84157831" u="1"/>
        <n v="68141796" u="1"/>
        <n v="68170130" u="1"/>
        <n v="67746868" u="1"/>
        <n v="67885788" u="1"/>
        <n v="69620216" u="1"/>
        <n v="84154860" u="1"/>
        <n v="68647721" u="1"/>
        <n v="579308" u="1"/>
        <n v="579319" u="1"/>
        <n v="579321" u="1"/>
        <n v="50470105" u="1"/>
        <n v="68399684" u="1"/>
        <n v="50491116" u="1"/>
        <n v="68534556" u="1"/>
        <n v="5049280" u="1"/>
        <n v="68565714" u="1"/>
        <n v="50491112" u="1"/>
        <n v="68524841" u="1"/>
        <n v="69629504" u="1"/>
        <n v="579364" u="1"/>
        <n v="680214" u="1"/>
        <n v="84168063" u="1"/>
        <n v="67663498" u="1"/>
        <n v="60000215" u="1"/>
        <n v="68534532" u="1"/>
        <n v="19790106" u="1"/>
        <n v="67409938" u="1"/>
        <n v="68564978" u="1"/>
        <n v="579403" u="1"/>
        <n v="579404" u="1"/>
        <n v="84156604" u="1"/>
        <n v="579410" u="1"/>
        <n v="579411" u="1"/>
        <n v="67411722" u="1"/>
        <n v="67409922" u="1"/>
        <n v="67466523" u="1"/>
        <n v="68649838" u="1"/>
        <n v="588520" u="1"/>
        <n v="588521" u="1"/>
        <n v="50470102" u="1"/>
        <n v="214902" u="1"/>
        <n v="68637139" u="1"/>
        <n v="68141798" u="1"/>
        <n v="68357624" u="1"/>
        <n v="68637131" u="1"/>
        <n v="571466" u="1"/>
        <n v="560374" u="1"/>
        <n v="1000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7401192400013" u="1"/>
        <n v="68534542" u="1"/>
        <n v="1003" u="1"/>
        <n v="68142902" u="1"/>
        <n v="50491105" u="1"/>
        <n v="586682" u="1"/>
        <n v="1004" u="1"/>
        <n v="84151286" u="1"/>
        <n v="68809921" u="1"/>
        <n v="586699" u="1"/>
        <n v="1005" u="1"/>
        <n v="247" u="1"/>
        <n v="68227509" u="1"/>
        <n v="84150507" u="1"/>
        <n v="79790105" u="1"/>
        <n v="1006" u="1"/>
        <n v="68401571" u="1"/>
        <n v="68876989" u="1"/>
        <n v="1007" u="1"/>
        <n v="60000264" u="1"/>
        <n v="6777546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0470103" u="1"/>
        <n v="68444073" u="1"/>
        <n v="84161579" u="1"/>
        <n v="84150971" u="1"/>
        <n v="68564993" u="1"/>
        <n v="10080010001" u="1"/>
        <n v="567647" u="1"/>
        <n v="588829" u="1"/>
        <n v="249" u="1"/>
        <n v="67409937" u="1"/>
        <n v="67574559" u="1"/>
        <n v="642304" u="1"/>
        <n v="566701" u="1"/>
        <n v="201" u="1"/>
        <n v="50491118" u="1"/>
        <n v="250" u="1"/>
        <n v="67611021" u="1"/>
        <n v="50491114" u="1"/>
        <n v="68614031" u="1"/>
        <n v="67409830" u="1"/>
        <n v="1019" u="1"/>
        <n v="573809" u="1"/>
        <n v="67611005" u="1"/>
        <n v="573811" u="1"/>
        <n v="573812" u="1"/>
        <n v="68142904" u="1"/>
        <n v="573816" u="1"/>
        <n v="573817" u="1"/>
        <n v="573818" u="1"/>
        <n v="573819" u="1"/>
        <n v="573820" u="1"/>
        <n v="250042" u="1"/>
        <n v="1021" u="1"/>
        <n v="251" u="1"/>
        <n v="50490906" u="1"/>
        <n v="68141797" u="1"/>
        <n v="19790103" u="1"/>
        <n v="67746869" u="1"/>
        <n v="404000140" u="1"/>
        <n v="203" u="1"/>
        <n v="68647714" u="1"/>
        <n v="252" u="1"/>
        <n v="68524853" u="1"/>
        <n v="68466961" u="1"/>
        <n v="576943" u="1"/>
        <n v="68646674" u="1"/>
        <n v="68534549" u="1"/>
        <n v="50470100" u="1"/>
        <n v="84151549" u="1"/>
        <n v="253" u="1"/>
        <n v="68646586" u="1"/>
        <n v="557831" u="1"/>
        <n v="574982" u="1"/>
        <n v="574986" u="1"/>
        <n v="589111" u="1"/>
        <n v="576002" u="1"/>
        <n v="67551222" u="1"/>
        <n v="576006" u="1"/>
        <n v="205" u="1"/>
        <n v="84151514" u="1"/>
        <n v="68466966" u="1"/>
        <n v="50491119" u="1"/>
        <n v="254" u="1"/>
        <n v="50470104" u="1"/>
        <n v="67952534" u="1"/>
        <n v="84157802" u="1"/>
        <n v="67627146" u="1"/>
        <n v="67140992" u="1"/>
        <n v="67611015" u="1"/>
        <n v="547830" u="1"/>
        <n v="547832" u="1"/>
        <n v="578100" u="1"/>
        <n v="68661570" u="1"/>
        <n v="206" u="1"/>
        <n v="68875985" u="1"/>
        <n v="547856" u="1"/>
        <n v="255" u="1"/>
      </sharedItems>
    </cacheField>
    <cacheField name="Columna2" numFmtId="0">
      <sharedItems containsBlank="1" count="1114">
        <s v="ALC ARROZ GALL DORA PREC 400G (25)"/>
        <s v="ALC ARROZ MOLINER BLANC 400G (25)"/>
        <s v="KELL CORN FLAKES 28X150G (28)"/>
        <s v="KELL CHOCO KRISPIS 28X290G (28)"/>
        <s v="FOS FOSFOROS FOGATA 10x10"/>
        <s v="FOS FOSFOROS FOGATA ECO 12X10"/>
        <s v="XHC PFS CENTELLA CAMPEON VERDE 6X4X330G"/>
        <s v="XHC PFS CENTELLA CHIBOLONA AMARILLA 4X3X375G"/>
        <s v="XHC PFS CENTELLA CHIBOLONA AZUL 4X3X375G"/>
        <s v="XHC PFS MAX PODER BLANCO 6X3X400G"/>
        <s v="XHC PFS MAX BLANC/AZUL DUOX 6X3X400G"/>
        <s v="XHC PFS MAX PODER LILA 6X3X400G"/>
        <s v="XHC PFS MAX MB NARANJA 6X3X500G"/>
        <s v="XHC PFS MAX MB BLANC/VERD DUOX 6X3X500G"/>
        <s v="XHC PFS LIMPIOX AVENA DISCO 108G (72)"/>
        <s v="QUA SAVILOE 12X320ML(UNIDAD)"/>
        <s v="QUA SAVILOE 12X500ML (UNIDAD)"/>
        <s v="FOOD KNORR SOPA POLLO C/FIDEO 12X12X55G (144)"/>
        <s v="ALC ORO MAY  HARIN MAIZ BLANC 800 (9)"/>
        <s v="ALC ARROZ ESTRELLA BLANCO 350G (25)"/>
        <s v="DIN MAZOLA MANTECA 1LB (50)"/>
        <s v="DIN MAZOLA ACEITE DYP 700ml (18)"/>
        <s v="DIN MAZOLA MARGARINA BARRA 400gr (24)"/>
        <s v="XHC DIN ZIXX JAB AVENA 400G (6)"/>
        <s v="XHC DIN ZIXX JAB AQUA 400G (6)"/>
        <s v="REXONA ROLLON BAMBOO 6X30ML"/>
        <s v="REXONA AERO POWER DRY 12X58G"/>
        <s v="REXONA AERO V8 12X58G"/>
        <s v="FOOD MAIZENA ALMIDON MAIZ NATURAL 40X375G"/>
        <s v="FOOD MAIZENA ALMIDON MAIZ NATURAL 80X185G"/>
        <s v="FOOD MAIZENA FECULA BAN/FRESA/VAIN 16X12X45G"/>
        <s v="FOOD MAIZENA F MAIZ NATURAL 20X20X45G (400)"/>
        <s v="SCH SEDAL CR PEIN KERAT 24X28X9ML"/>
        <s v="FOOD NATURAS SALSA TOMATE C/QUESO 96X90G"/>
        <s v="FOOD NATURAS SALSA TOMATE RANCHERA 96X90G"/>
        <s v="FOOD NATURAS JUMB SSA RANCH 24X90G"/>
        <s v="PONDS POLVO COMP AF CARIBE 16X12G"/>
        <s v="REXONA ROLLON V8 6X30ML"/>
        <s v="SEDAL SH 340 ML LISO PERFECTO (12)"/>
        <s v="SEDAL SH 340 ML RIZOS DEFINIDOS (12)"/>
        <s v="ALD PIN POP SANDIA 16X24 (16)"/>
        <s v="ALD BIAGI CARAMELO 16X100"/>
        <s v="ALD YOGUETA SURTIDA RELLENA 16X24  (15G)"/>
        <s v="ALD PIN POP MANGO 16X24 (15G)"/>
        <s v="ALD PIN POP THE MOST WANTED 16X24 (15G)"/>
        <s v="ALD PIN POP ASSORTED 16X24 (15G)"/>
        <s v="ALD PIN POP KOLA 16X24 (15G)"/>
        <s v="ALD PIN POP PINTALENGUA 16X24 (15G)"/>
        <s v="ALD PIN POP X2 16X24 (15G)"/>
        <s v="ALD PIN POP FRESA 16x24 (15G)"/>
        <s v="ARE SABUESO CACHORRO 40X420G"/>
        <s v="BEST GALLETA MANI 24X12X20G (24)"/>
        <s v="BEST BOTE CONITO CHOCOLATE 80u (12)"/>
        <s v="BEST BOTONETAS CHOCOLATE 20X24X9G (20)"/>
        <s v="BYB CHILE JALAPEÑO SEMIPICANTE LATA 96/5.8oz"/>
        <s v="BYB CHILE JALAPEÑO PICANTE LATA 96/5.8oz"/>
        <s v="BYB MAYONESA CLASICA BOLSA 48/100g"/>
        <s v="BYB MAYONESA CLASICA BOLSA 48/200g"/>
        <s v="BYB MAYONESA CLASICA BOLSA 32/380g"/>
        <s v="BYB MAYONESA CLASICA BOLSA 8/1500g"/>
        <s v="BYB MOSTAZA BOLSA 48/100g"/>
        <s v="BYB SALSA PICAMAS VERDE PLASTICO 48/100g"/>
        <s v="BYB SALSA PICAMAS ROJA PLASTICO 48/100g"/>
        <s v="BYB SALSA PICAMAS VERDE JUMBO PLASTICO 24/19oz"/>
        <s v="BYB SALSA T/KETCHUP ALMOHADITA 48/110g"/>
        <s v="BYB SALSA SOYA PLASTICA 48/3.5oz"/>
        <s v="BYB VINAGRE CLARO 48/100ml"/>
        <s v="BYB VINAGRE CLARO 24/500ml"/>
        <s v="BYB VINAGRE CLARO BOTE LARGO 12/750ml"/>
        <s v="DCASA PAPEL ENCANTO GDE. 1X12X4 (12)"/>
        <s v="DCASA HEINZ MELOCOTO FLEX 24X113G"/>
        <s v="DCASA MIRASOL MARG 24X5X80G"/>
        <s v="DCASA GELATINA POLVO UVA 28X400g"/>
        <s v="DCASA GELATINA POLVO FRESA 28X400g"/>
        <s v="DCASA GELATINA POLVO PIÑA 28X400g"/>
        <s v="DCASA GELATINA POLVO NARANJA 28X400g"/>
        <s v="DCASA GELATINA POLVO LIMON 28X400g"/>
        <s v="DCASA GELATINA POLVO CHICLE 28X400g"/>
        <s v="DCASA GELATINA POLVO FRAMB.28X400g"/>
        <s v="ENV AGUA PURIFICADA SCANDIA 12X600ML"/>
        <s v="BONI NSK ROLLO PAPEL HIGIENICO"/>
        <s v="BONI SAVILOE UND 320ML (12)"/>
        <s v="BONI QUA SAVILOE FRUTOS ROJOS UND 500ML (12)"/>
        <s v="IQUI CLORO MAGICLOR POPULINO 1X12X6 235ML"/>
        <s v="IAK FUN C REFR MANZ 200ML TETR (24)"/>
        <s v="IAK FUN C REFR MELOC 200ML TETR (24)"/>
        <s v="IAK KERNS KETCHUP SCH 52GR (144)"/>
        <s v="IAK KERNS NECT MANZ TETR 24X250ml"/>
        <s v="IAK KERNS NECT MELOC TETR 24X250ml"/>
        <s v="IAK DUCAL FRIJ NEGR DyP 8oz (24)"/>
        <s v="IAK DUCAL FRIJ NEGR DyP 14.1oz (18)"/>
        <s v="IAK KERNS 330ml COCTEL VEGETALES  (24)"/>
        <s v="IAK DUCAL FRIJ NEGR DyP 28oz (12)"/>
        <s v="IAK DUCAL BEB TETR MELOC 200ml (24)"/>
        <s v="IAK DUCAL BEB TETR MANZ 200ml (24)"/>
        <s v="IAK BAMB DAIQUIRI FRESA 350ml LT (24)"/>
        <s v="IAK KERNS 330ml NECT MELOCOTON (24)"/>
        <s v="IAK KERNS 330ml NECT MANZANA  (24)"/>
        <s v="IAK KERNS 154mL COCTEL VEGETALES (48)"/>
        <s v="IAK DUCAL FRIJ NEGR DyP 4oz (24)"/>
        <s v="IAK DUCAL FRIJ NEGR LAT 29oz (12)"/>
        <s v="IAK DUCAL FRIJ NEGR LAT 10.5oz (48)"/>
        <s v="IAK DUCAL FRIJ NEGR LAT 5.5oz (48)"/>
        <s v="IAK DUCAL FRIJ NEGR LAT 15oz (24)"/>
        <s v="NSK LAV DOÑA BLANCA CIL 400g (20)"/>
        <s v="NSK BIC ENCENDEDOR J6 MAXI (75)"/>
        <s v="NSK BIC ENCENDEDOR MINI J5 (75)"/>
        <s v="NSK LAV AXION TARRO 235g (48)"/>
        <s v="NSK VANISH PINK 6X12 U"/>
        <s v="NSK FABULOSO LAVANDA 1X6X12U/80ML"/>
        <s v="NSK AZISTIN LAVANDA 1X6X12U/80ML"/>
        <s v="NSK SUAVITEL COMPL PRIMAV 1X6X12 U"/>
        <s v="NSK JABON PROTEX BALANCE 110GR (96)"/>
        <s v="NSK JABON PROTEX ALOE 110GR (96)"/>
        <s v="NSK JABON PROTEX FRESH 110GR (96)"/>
        <s v="NSK JABON PROTEX AVENA 110GR (96)"/>
        <s v="NSK LAV POTENSOL CIL 400g (20)"/>
        <s v="NSK AZISTIN MANZANA 1X6X12U/80ML"/>
        <s v="NSK COLGATE DOBLE FRESCURA 150ML (72)"/>
        <s v="NSK TAJIN CLASICO TIRA  DE 12 SCH (44T)"/>
        <s v="NSK LAV POTENSOL MARQUETA 215g (42)"/>
        <s v="NSK SUAVITEL ROSADO 6X12X80ML"/>
        <s v="QUA FRUTY FRESCO 9+9 (8)"/>
        <s v="PD PEDIALYTE CLASICO 30 MEQ 500ML (12)"/>
        <s v="PD PEDIALYTE MANZANA 60 MEQ 500ML (12)"/>
        <s v="PD PEDIALYTE CEREZA 30 MEQ 500ML (12)"/>
        <s v="PD PEDIALYTE COCO 30 MEQ 500ML (12)"/>
        <s v="PD PEDIALYTE FRESA 60 MEQ 500ML (12)"/>
        <s v="BEST BOTE CHOCOGOL 150u (12)"/>
        <s v="BEST CHOCOPANDA CHOCOLATE 25X12X14G"/>
        <s v="QUA YUS GUANABA 9X15X28g)"/>
        <s v="SCH QUA NUTRIBELA TRAT CAP 24X12X27ML"/>
        <s v="TERMO GABACHA #1 (26)"/>
        <s v="ALC ARROZ MACAREN PREC 400G (25)" u="1"/>
        <s v="ALC ARROZ MACARE BLANC 400G (25)" u="1"/>
        <s v="KELL CHOCO KRISPIS 24X620G (24)" u="1"/>
        <s v="FOS FOSFOROS AGUILA 2X10X5" u="1"/>
        <s v="XHC PFS MAX PODER VERDE 6X3X400G" u="1"/>
        <s v="XHC PFS MAX PODER AZUL  6X3X400G" u="1"/>
        <s v="XHC PFS MAX PODER AMARILLO 6X3X400G" u="1"/>
        <s v="XHC PFS MAX BLANC/NARAN DUOX 6X3X400G" u="1"/>
        <s v="XHC PFS MAX BLANC/VERDE DUOX 6X3X400G" u="1"/>
        <s v="XHC PFS MAX MB BLANC/NARAN DUOX 6X3X500G" u="1"/>
        <s v="AXE AERO VITTO DARK TEMPT 12X58G" u="1"/>
        <s v="ALC ORO MAY HARIN MAIZ BLANC 400G (20)" u="1"/>
        <s v="ALC ARROZ ESTRELLA PRECO 350G (25)" u="1"/>
        <s v="DIN MAZOLA ACEITE  BOT 32onz (12)" u="1"/>
        <s v="DIN MAZOLA ACEITE DYP 400ml (24)" u="1"/>
        <s v="DIN MAZOLA MARGARINA  AJO/HIERBAS 400GR (24)" u="1"/>
        <s v="FOOD MAIZENA F MAIZ  FRESA 16X12X45G (192)" u="1"/>
        <s v="FOOD MAIZENA F MAIZ VAINILLA 16X12X45G (192)" u="1"/>
        <s v="XHC XEDEX P MULTIACCION 15X900G" u="1"/>
        <s v="SCH SEDAL CR PEIN RIZ OBED 24X28X9ML" u="1"/>
        <s v="ALD PLAY GUSANOS 55g (24)" u="1"/>
        <s v="ALD PLAY CORAZONES 55g (24)" u="1"/>
        <s v="ARE SABUESO ADULTO 40X454G" u="1"/>
        <s v="BEST CHOCOFRUTA 10X1400G (10)" u="1"/>
        <s v="BYB SALSA INGLESA PLASTICA 48/3.5onz" u="1"/>
        <s v="BYB SALSA INGLESA PLASTICA 24/152 ml" u="1"/>
        <s v="BYB SALSA SOYA PLASTICA 24/152 ml" u="1"/>
        <s v="BYB VINAGRE CLARO 24/200ml" u="1"/>
        <s v="BYB VINAGRE CLARO GALÓN PLASTICO 4/3785ml" u="1"/>
        <s v="BYB SALSA MILTOMATE SEMI SQUEZZE 24/370g" u="1"/>
        <s v="BEST CAFE BARISTA SOLUBLE 12X24X8g" u="1"/>
        <s v="XHC DIN ROKU JAB SALMON 375G (4)" u="1"/>
        <s v="XHC DIN ROKU JAB AQUA 375G (4)" u="1"/>
        <s v="DM ESPONJAS (5XBOLSA)" u="1"/>
        <s v="IPR LOZANO MANZANA 500ML (12)" u="1"/>
        <s v="IPR LOZANO UVA 500ML (12)" u="1"/>
        <s v="IAK DUCAL FRIJ ROJO DyP 8oz (24)" u="1"/>
        <s v="IAK KERNS 330ml COCTEL VEGETALES ALMEJA  (24)" u="1"/>
        <s v="IAK DUCAL FRIJ ROJO PICANT DyP 8oz (24)" u="1"/>
        <s v="IAK DUCAL FRIJ CARNICOS LAT 14oz (24)" u="1"/>
        <s v="IAK DUCAL FRIJ CARNICOS LAT 5 oz (48)" u="1"/>
        <s v="IAK KERNS PASTA TOMATE 4 Oz DyP (48)" u="1"/>
        <s v="NSK VANISH WHITE 6X12 U" u="1"/>
        <s v="NSK FABULOSO CITRIC Y FRU 1X6X12U/80ML" u="1"/>
        <s v="NSK COLGATE KIT DE CEPILL 1X24TXTIRA 6UNDS" u="1"/>
        <s v="NSK AZISTIN ALTERNATIVO CLORO 1X6X12U/80ML" u="1"/>
        <s v="NSK BIC BOLIGRAFO NEGRO 12 (100)" u="1"/>
        <s v="NSK BIC BOLIGRAFO AZUL 12 (100)" u="1"/>
        <s v="QUA JUGOS YA JAMAICA 10X15X18 FIT" u="1"/>
        <s v="QUA JUGOS YA PINA 10X15X18 FIT" u="1"/>
        <s v="QUA JUGOS YA LIMON 10X15X18 FIT" u="1"/>
        <s v="QUA SAVILOE FRUTOS ROJOS 12X500ML" u="1"/>
        <s v="TERMO BOLSA TRANSPARENTE 5 Lbs (20)" u="1"/>
        <s v="TERMO BOLSA DE BASURA NEGRA 24X35 (100)" u="1"/>
        <s v="TERMO PAJILLA TRANSPARENTE (50)" u="1"/>
        <s v="YAES EMPANIZADOR SUKOCINERA 30X6X50G (180)" u="1"/>
        <s v="XHC PFS MAX PODER ROSADO 6X3X400G" u="1"/>
        <s v="XHC PFS MAX PODER ALOE 6X3X400G" u="1"/>
        <s v="XHC PFS MAX MB BLANCA 6X3X500G" u="1"/>
        <s v="XHC DIN ZIXX JAB LILA 400G (6)" u="1"/>
        <s v="EGO GEL CONTROL CAIDA 12X450ML" u="1"/>
        <s v="PONDS POLVO COMP PIEL CLARA 16X12G" u="1"/>
        <s v="PONDS POLVO COMP AF NATURAL2 16X12G" u="1"/>
        <s v="ALD YOGUETA CHOCOCARAMEL 16X24 (15G)" u="1"/>
        <s v="ALD YOGUETA MILKY CARAMEL 16X24 (15G)" u="1"/>
        <s v="ALD PLAY TORTU SPLASH 55g (24)" u="1"/>
        <s v="ALD PLAY BANANAS 55g (24)" u="1"/>
        <s v="BYB CONCENTRADO DE TAMARINDO DISPLAY 6/12u" u="1"/>
        <s v="BYB CONCENTRADO DE HORCHATA 24/225 ml" u="1"/>
        <s v="BYB MERMELADA DE FRESA DOY PACK 24/200g" u="1"/>
        <s v="BYB MOSTAZA BOLSA 48/200g" u="1"/>
        <s v="BYB CHEEZ DIP DOY PACK 12/200g" u="1"/>
        <s v="DCASA HEINZ BANANO FLEX 24X113G" u="1"/>
        <s v="XHC DIN ROKU JAB AMARILLO 375G (4)" u="1"/>
        <s v="IAK DUCAL FRIJ CHUB ROJO ENT 1.82kgs (6)" u="1"/>
        <s v="IAK KERNS COCT VEGET 1 LT TETR (12)" u="1"/>
        <s v="IAK KERNS COCT VEGET ALMEJA 1LT (12)" u="1"/>
        <s v="IAK DUCAL BEB ALUMIN PIÑA 330ml (24)" u="1"/>
        <s v="IAK DUCAL BEB HOJALAT PIÑA 154ml (48)" u="1"/>
        <s v="IAK KERNS PASTA TOMATE LATA 48X6oz" u="1"/>
        <s v="IAK KERNS TETRA NECT MANZ 1000ml (12)" u="1"/>
        <s v="IAK KERNS TETRA NECT MELOC 1000ml (12)" u="1"/>
        <s v="IAK KERNS TETRA NECT FRUTAS 1000ml (12)" u="1"/>
        <s v="IAK KERNS 330ml NECT PIÑA (24)" u="1"/>
        <s v="NSK BIC RASURADORA CONFORT 2 12 (48)" u="1"/>
        <s v="NSK SUAVITEL AROM D SOL 1X6X12U/80ML" u="1"/>
        <s v="NSK LAV DOÑA BLANCA CIL TIRA 170g (6)" u="1"/>
        <s v="QUA JUGOS YA FRESA 10X15X18 FIT" u="1"/>
        <s v="QUA JUGOS YA MORA 10X15X18 FIT" u="1"/>
        <s v="QUA YUS FRUTAS TROPICALES 9x15x28g" u="1"/>
        <s v="SCH QUA NUTRIBELA HIALURONICO 48X6X27ML" u="1"/>
        <s v="TERMO BOLSA COLOR 5 Lbs (46)" u="1"/>
        <s v="YAES ROSTIZADOR EMPAN POLLO 90G (100)" u="1"/>
        <s v="ALC ORO MAY HARIN MAIZ BLANC 5LB (6)" u="1"/>
        <s v="QUA BONTEA MANZANA 10X12X30G" u="1"/>
        <s v="XHC PFS LIMPIOX CILINDRO LIMON 18X320G" u="1"/>
        <s v="REXONA AERO BAMBOO 12X90G" u="1"/>
        <s v="FOOD HELLMANNS MAY DP 12X190G" u="1"/>
        <s v="XHC XEDEX DESIN LAVANDA DYP 12X750ML" u="1"/>
        <s v="XHC XEDEX MAX POD LIMON 13X800G" u="1"/>
        <s v="FOOD NATURAS SALSA TOMATE C/CARNE 96X90G" u="1"/>
        <s v="ARE SABUESO ADULTO 100 LBS" u="1"/>
        <s v="BEST CHOCOFRUTA 50x350G" u="1"/>
        <s v="BYB MAYONESA CLASICA BOLSA 16/880g" u="1"/>
        <s v="BYB MOSTAZA BOLSA 32/390g" u="1"/>
        <s v="BYB SALSA PICAMAS VERDE BOLSA 48/100g" u="1"/>
        <s v="BYB SALSA BARBACOA SQUEZZE PLASTICO 24/14oz" u="1"/>
        <s v="DCASA HEINZ PERA FLEX 24X113G" u="1"/>
        <s v="DM ESCOBA FLASH FIBER (UNIDAD)" u="1"/>
        <s v="IAK DUCAL BEB ALUMIN PERA 330ml (24)" u="1"/>
        <s v="IAK KERNS KETCHUP SALSA GALON (3)" u="1"/>
        <s v="UNS OSITO MIEL QUEENBEE 340gr (24)" u="1"/>
        <s v="QUA JUGOS YA DURAZNO 10X15X18 FIT" u="1"/>
        <s v="QUA JUGOS YA MANGO 10X15X18 FIT" u="1"/>
        <s v="QUA YUS HORCHATA 9X15X28g" u="1"/>
        <s v="QUA YUS LIMONADA CON CHAN 9X15X28g" u="1"/>
        <s v="KELL CHOCO KRISPIS MINI SCH 5X12X22G (5)" u="1"/>
        <s v="KELL FROOT LOOPS 28X180G (28)" u="1"/>
        <s v="QUA BONTEA LIMON 10X12X30G" u="1"/>
        <s v="FOS PALILLOS MADERA 12X12X250u" u="1"/>
        <s v="FOS FOSFOROS MADERA GALLO 10X10" u="1"/>
        <s v="FOS ENCENDEDOR FRAGATA MINI 40X25" u="1"/>
        <s v="REXONA AERO V8 12X90G" u="1"/>
        <s v="AXE AERO BS DARK TEMPT 12X97G" u="1"/>
        <s v="XHC DIN ZIXX JAB VERDE 400G (6)" u="1"/>
        <s v="XHC DIN ZIXX JAB ROSADO 400G (6)" u="1"/>
        <s v="FOOD HELLMANNS MAY DP 12X380G" u="1"/>
        <s v="SCH SEDAL CR LISO PERFECTO 24X28X9ML" u="1"/>
        <s v="ALD YOGUETA MILK 16X24 (15G)" u="1"/>
        <s v="ALD PIN POP BLACK CHERRY 16X24 (15G)" u="1"/>
        <s v="ALD PLAY GUSANOS AZUCARADOS JARRA 6X200 (3G)" u="1"/>
        <s v="ALD PIN POP ICE 16X24 (15G)" u="1"/>
        <s v="ALD PLAY TIBURONES 55g (24)" u="1"/>
        <s v="BEST GALLETA FRESA 24X12X20G (24)" u="1"/>
        <s v="BEST BOTONETAS MANI 20X24X9G (20)" u="1"/>
        <s v="BEST GALLETA CHAPETIN 24X12 (24)" u="1"/>
        <s v="BYB CONCENTRADO DE HORCHATA 12/678 ml" u="1"/>
        <s v="BYB MERMELADA DE FRESA VASO 12/260g" u="1"/>
        <s v="BYB MERMELADA DE MORA VASO 12/260g" u="1"/>
        <s v="BYB MERMELADA DE PIÑA VASO 12/260g" u="1"/>
        <s v="BYB VINAGRE CLARO 24/360ml" u="1"/>
        <s v="DCASA HEINZ FRUTA MIX FLEX 24X113G" u="1"/>
        <s v="DCASA HEINZ POSTRE  FLEX 24X113G" u="1"/>
        <s v="DCASA HEINZ CIRUELA/PASAS FLEX 24X113G" u="1"/>
        <s v="BONI QUA FRIJOL NEGRO LAT 5.5 OZ (48)" u="1"/>
        <s v="IAK DUCAL FRIJ CHUB NEGR ENT 1.82kgs (6)" u="1"/>
        <s v="IAK KERNS KETCHUP 776gr PET (12)" u="1"/>
        <s v="IAK DUCAL BEB ALUMIN MELOC 330ml (24)" u="1"/>
        <s v="IAK DUCAL BEB ALUMIN MANZ 330ml (24)" u="1"/>
        <s v="NSK BIC ENCENDEDOR HANDY P/ESTUFA (90)" u="1"/>
        <s v="BEST GALLETA FRESA 24X12X22G (24)" u="1"/>
        <s v="QUA JUGOS YA NARANJA 10X15X18 FIT" u="1"/>
        <s v="QUA YUS TAMARINDO 9X15X28g" u="1"/>
        <s v="QUA YUS FRESA 9X15X28g" u="1"/>
        <s v="QUA YUS DURAZNO 9X15X28g" u="1"/>
        <s v="QUA YUS JAMAICA 9X15X28g" u="1"/>
        <s v="QUA YUS PIÑA 9X15X28g" u="1"/>
        <s v="TERMO GABACHA #2 (12)" u="1"/>
        <s v="KELL CORN FLAKES 16X500 (16)" u="1"/>
        <s v="KELL ZUCARITAS 28X260G (28)" u="1"/>
        <s v="QUA BONTEA DURAZNO 10X12X30G" u="1"/>
        <s v="PORFIN MARGARINA ORISOL 400gr (24)" u="1"/>
        <s v="FOS FOSFOROS CABALLO ROJO 24x10" u="1"/>
        <s v="ALC ORO MAY HARIN MAIZ BLANC 50LBS (1)" u="1"/>
        <s v="DIN SOPA ISSIMA CAMARON/CHILE (12)" u="1"/>
        <s v="REXONA STICK CLIN EXTRA DRY EXP 12X46G" u="1"/>
        <s v="AXE AERO BS APOLLO 12X97G" u="1"/>
        <s v="AXE AERO BS EXCITE 12X97G" u="1"/>
        <s v="REXONA STICK WOMAN ANTIBAC FRESH 12X50G" u="1"/>
        <s v="ALD YOGUETA COOKIES &amp; CREAM 16X24 (15G)" u="1"/>
        <s v="BYB MIEL DE MAPLE GARRAFA 24/330 ml" u="1"/>
        <s v="BYB SALSA PICAMAS VERDE BOLSA 32/454g" u="1"/>
        <s v="BYB SALSA T/KETCHUP ALMOHADITA 48/215g" u="1"/>
        <s v="BYB SALSA BARBACOA PLAST 12/32oz" u="1"/>
        <s v="IAK KERNS KETCHUP 24X375gr PET" u="1"/>
        <s v="IAK GOYA MAIZ ENTERO 15.25 ONZ (24)" u="1"/>
        <s v="IAK DUCAL FRIJ NEGR DyP 96oz (6)" u="1"/>
        <s v="IAK DUCAL FRIJ ROJO LAT 29oz (12)" u="1"/>
        <s v="IAK KERNS 330ml NECT PERA (24)" u="1"/>
        <s v="NSK TAJIN CLASICO POLVO BOTE 142G (24)" u="1"/>
        <s v="NSK BIC ENCENDEDOR MAXI J6 5+1 (60)" u="1"/>
        <s v="QUA YUS NARANJA 9X15X28g)" u="1"/>
        <s v="QUA YUS SABILA 9X15X28G" u="1"/>
        <s v="TERMO BOLSA COLOR 2 Lbs (70)" u="1"/>
        <s v="YAES MUCHO NACHO ROSTIZADO 180G (8)" u="1"/>
        <s v="YAES MUCHO NACHO ROSTIZADO 390G (12)" u="1"/>
        <s v="YAES SAL DE MESA REFINADA 25/400G" u="1"/>
        <s v="KELL FROOT LOOPS MINI SCH 5X12X15G (5)" u="1"/>
        <s v="FOS ENCENDEDOR FRAGATA 40x25" u="1"/>
        <s v="XHC PFS CENTELLA CHIBOLONA BLANCA 4X3X375G" u="1"/>
        <s v="DCASA HEINZ MANZANA FLEX 24X113G" u="1"/>
        <s v="IAK DUCAL FRIJ NEGR DyP 40oz (12)" u="1"/>
        <s v="NSK BIC RASURADORA SHAVER SENS 24 (48)" u="1"/>
        <s v="NSK LAV AXION LIMON TIRA 115g (6)" u="1"/>
        <s v="QUA JUGOS YA GUANABA 10X15X18 FIT" u="1"/>
        <s v="QUA JUGOS YA HORCHATA 10X15X18 FIT" u="1"/>
        <s v="QUA TOKI SURTIDO 25X24X8G" u="1"/>
        <s v="QUA NUTRIBELA TARRO 12X300ml" u="1"/>
        <s v="XHC PFS CENTELLA CHIBOLONA AVENA 4X3X375G" u="1"/>
        <s v="DIN ISSIMA MARGARINA 400gr (24)" u="1"/>
        <s v="XHC DIN ZIXX JAB BLANCO 400G (6)" u="1"/>
        <s v="XHC DIN ZIXX JAB AMARILLO 400G (6)" u="1"/>
        <s v="FOOD NATURAS FRIJOL NEGRO VOLT 24X210G" u="1"/>
        <s v="ALD SONETTO SURTIDO 16X100 (4G)" u="1"/>
        <s v="BEST GALLETA CHOCOLATE 24X12X20G (24)" u="1"/>
        <s v="DCASA PAPEL ENCANTO MIL HOJAS ROLLO (24)" u="1"/>
        <s v="IAK BAMB PIÑA COLADA 350ml LATA (24)" u="1"/>
        <s v="NSK COLGATE TRIP ACCION 75 ML+CEPIL (72)" u="1"/>
        <s v="YAES ROSTIZADOR BOLSA 453G (24)" u="1"/>
        <s v="PONDS CR 100G S HUMECTANTE NUTRITIVA (24)" u="1"/>
        <s v="XHC DIN VENZA JABON AVENA 110g (72)" u="1"/>
        <s v="XHC DIN VENZA JABON SABILA 110g (72)" u="1"/>
        <s v="XHC DIN VENZA JABON FRESCURA EXTR 110g (72)" u="1"/>
        <s v="XHC DIN VENZA JABON VITAMINA E 110g (72)" u="1"/>
        <s v="XHC DOVE JAB CUIDA PROTEGE 48X90G" u="1"/>
        <s v="SCH DOVE SH HIDRA Y SUAVI (ANTICASPA) 24X28X10ML" u="1"/>
        <s v="SCH SEDAL SH HIALURONICO Y VIT C 24X28X15ML" u="1"/>
        <s v="BYB CONCENTRADO DE HORCHATA DISPLAY 6/12u" u="1"/>
        <s v="BONI PROMOV" u="1"/>
        <s v="IAK DUCAL BEB TETR  PIÑA 200ML (24)" u="1"/>
        <s v="NSK COLGATE DOBLE FRESC 75ML+CEPIL (72)" u="1"/>
        <s v="YAES LECHE DE COCO 400ml (24)" u="1"/>
        <s v="XHC PFS MAX PODER NARANJA 6X3X400G" u="1"/>
        <s v="AXE AERO BS COLLISION 12X97G" u="1"/>
        <s v="SCH DOVE SH OLEO NUTRI 24X28X10ML" u="1"/>
        <s v="FOOD KNORR SOPA COST CRIOL C/FID 12X12X55G (144)" u="1"/>
        <s v="QUA YUS LIMONADA 9X15X28g" u="1"/>
        <s v="FOS FOSFOROS GALLO ECO 12X10" u="1"/>
        <s v="FOOD KNORR SOPA GAL C/ARROZ CHIP 12X12X55G (144)" u="1"/>
        <s v="ALC CR AVEN HOJUELA 12U 300g" u="1"/>
        <s v="XHC DIN ZIXX JAB AZUL 400G (6)" u="1"/>
        <s v="EGO GEL POWER 4x6x200 ML+5 SCH" u="1"/>
        <s v="AXE AERO BS FUSION 12X97G" u="1"/>
        <s v="AXE AERO BS ICE CHILL 12X97G" u="1"/>
        <s v="XHC XEDEX DESIN LAVANDA DYP 24X425ML" u="1"/>
        <s v="XHC XEDEX DESIN CITRICOS DYP 24X425ML" u="1"/>
        <s v="FOOD NATURAS SALSA TOMATE ITALIANA 96X90G" u="1"/>
        <s v="ALD MASTI MINT 16X100 (4G)" u="1"/>
        <s v="BONI DIN MARGARINA MAZOLA 400G (24)" u="1"/>
        <s v="BONI UL PALANGANA" u="1"/>
        <s v="IAK BAMB MOJITO 350ml LATA (24)" u="1"/>
        <s v="IAK DUCAL FRIJ ROJO LAT 5.5oz (48)" u="1"/>
        <s v="REXONA STICK CLIN SPORT STRENGTH 12X46G" u="1"/>
        <s v="REXONA STICK AP SPORFAN 12X50G" u="1"/>
        <s v="BONI BIC 1 PAR DE RASURADORA CONFORT 2" u="1"/>
        <s v="UL CR RIZOS 3 SACHET" u="1"/>
        <s v="IAK KERNS TE FRAMBUES 2500ml (6)" u="1"/>
        <s v="XHC UNS DETERGENTE PURO SOL 250gr (40)" u="1"/>
        <s v="REXONA AERO WOMAN TONO PERFECTO 12X90G" u="1"/>
        <s v="SCH SEDAL SH CERAMIDAS 24X28X10ML" u="1"/>
        <s v="SCH DOVE SUPER AC 60 20X12X12ML (20)" u="1"/>
        <s v="FOOD NATURAS SALSA SABOR POLLO 96X100G" u="1"/>
        <s v="UNS BOMBILLO LED 9 WATTS (50)" u="1"/>
        <s v="QUA YUS TE FRIO FRAMBUESA 9X15X28g" u="1"/>
        <s v="QUA YUS TE FRIO DURAZNO 9X15X28g" u="1"/>
        <s v="XHC PFS CENTELLA CHIBOLONA VERDE 4X3X375G" u="1"/>
        <s v="DOVE AERO CUIDADO TOTAL 12X89G" u="1"/>
        <s v="SEDAL SH 340 ML CERAMIDAS (12)" u="1"/>
        <s v="BONI IAK DUCAL FRIJ DyP 4oz (24)" u="1"/>
        <s v="BONI YAES CHARROS SALSA ROJA" u="1"/>
        <s v="FOS Fosforos Propasa 10x10" u="1"/>
        <s v="FOOD HELLMANNS  MAY DYP 12X190G" u="1"/>
        <s v="KELL ZUCARITAS MINI SCH 5X12X20G" u="1"/>
        <s v="EGO GEL POWER 4X6X110ML" u="1"/>
        <s v="BYB MAYONESA CLASICA ALMOHADITA 48/100g" u="1"/>
        <s v="IAK DE MI TIERRA FRIJ VOLT NEGRO 35OZ DP (12)" u="1"/>
        <s v="UNS BOMBILLO LED 12 WATTS (50)" u="1"/>
        <s v="XHC PFS LIMPIOX CILINDRO ALOE 18X320G" u="1"/>
        <s v="DIN SOPA ISSIMA CAMARON (12)" u="1"/>
        <s v="XHC XEDEX MAX POD FRUTOS BOSQUE 13X800G" u="1"/>
        <s v="BONI DIN SALSA ISSIMA RANCHERA 106g (96)" u="1"/>
        <s v="IPR LOZANO UVA 3.2L (6)" u="1"/>
        <s v="IAK KERNS KETCHUP 8grs SACH 1000u" u="1"/>
        <s v="IAK KERNS JUNIOR MANZ TETRA 200ml (24)" u="1"/>
        <s v="IAK KERNS JUNIOR MELOC TETR 200ml (24)" u="1"/>
        <s v="IAK KERNS TE LIMON 2500ML (6)" u="1"/>
        <s v="EGO GEL ATTRAC 4X6X110ML" u="1"/>
        <s v="FOOD NATURAS PASTA TRADICIONAL 96X90G" u="1"/>
        <s v="BYB MANTEQUILLA DE MANI VASO 24/245g" u="1"/>
        <s v="BONI IAK CUCHARON PLASTICO" u="1"/>
        <s v="YAES ROSTIZADOR MARISCO 100G (24)" u="1"/>
        <s v="ARE SABUESO ADULTO 44 LBS" u="1"/>
        <s v="BYB CONCENTRADO DE TAMARINDO 12/678 ml" u="1"/>
        <s v="NSK SUAVITEL COMPL PRIMAV 1X2X36UNDS+6UNDS" u="1"/>
        <s v="FOOD HELLMANNS MAY DYP 12X100G" u="1"/>
        <s v="DOVE MINIROLLON ORIGINAL 6X30ML" u="1"/>
        <s v="FOOD NATURAS SALSA TOMATE JALAPENO 96X90G" u="1"/>
        <s v="BONI IAK DUCAL FRIJOL NEGRO DyP 8 ONZ" u="1"/>
        <s v="BONI YAES CHARROS SALSA VERDE" u="1"/>
        <s v="YAES MUCHO NACHO SALSA DE QUESO 105 G (30)" u="1"/>
        <s v="KELL CHOCO KRISPIS 54X115G (54)" u="1"/>
        <s v="DIN MAZOLA MARGARINA LIGHT 400GR (24)" u="1"/>
        <s v="PONDS CR  50G S HUMECTANTE NUTRITIVA (24)" u="1"/>
        <s v="DIN SOPA ISSIMA POLLO (12)" u="1"/>
        <s v="BYB SALSA PICAMAS ALMOHADITA 48/110 g" u="1"/>
        <s v="BEST CHOCOFRUTA TABLETA 32X300G" u="1"/>
        <s v="BONI ARE PLATO SABUESO" u="1"/>
        <s v="XHC PFS CENTELLA CAMPEON BLANCO 6X4X330G" u="1"/>
        <s v="PONDS CR 50G CLARANT B3 GRASA (24)" u="1"/>
        <s v="PONDS CR 50G CLARANT B3 SECA (24)" u="1"/>
        <s v="BYB CHILE JALAPEÑO PICANTE BOLSA 12/320g" u="1"/>
        <s v="BYB CHILE JALAPEÑO SEMIPICANTE BOLSA 12/320g" u="1"/>
        <s v="QUA FRUTY FRESCO 6+6 (12)" u="1"/>
        <s v="QUA JUGOS YA FRUTAS TROPICALES 10X15" u="1"/>
        <s v="BYB SALSA BARBACOA 4/4,400g" u="1"/>
        <s v="IAK GOYA MAIZ ENTERO 8.75 ONZ (24)" u="1"/>
        <s v="BYB MAYONESA CLASICA BOLSA 4/3000g" u="1"/>
        <s v="BONI DIN CUBETA PLASTICA" u="1"/>
        <s v="IAK KERNS SALSITA CARNE 106GR DP (24)" u="1"/>
        <s v="FOS CERILLO GALLO 10X10" u="1"/>
        <s v="REXONA STICK FM ANTIBAC  INVISIBLE 12X50G" u="1"/>
        <s v="BONI ARE PALITA SABUESO" u="1"/>
        <s v="UNS BOMBILLO LED 9 Watt" u="1"/>
        <s v="BYB CONCENTRADO DE MORA 12/678 ml" u="1"/>
        <s v="BONI IAK FUN C TETRA MANZANA 200ML" u="1"/>
        <s v="BONI IAK FUN C TETRA MELOCOTON 200ML" u="1"/>
        <s v="TERMO GABACHA MINI/PIWI (26)" u="1"/>
        <s v="DOVE AERO AP COCO 12X87G" u="1"/>
        <s v="ALD COMODATO EXHIBIDOR PIN POP" u="1"/>
        <s v="IAK KERNS TE DURAZNO 2500ml (6)" u="1"/>
        <s v="SCH QUA NUTRIBELA 10 48X6X27ML" u="1"/>
        <s v="EGO GEL CONTROL CAIDA 24X230ML (24)" u="1"/>
        <s v="XHC XEDEX MAX POD FRUTOS BOSQUE 30X400G" u="1"/>
        <s v="ALD BIAGI CAFE 16X100" u="1"/>
        <s v="IPR LOZANO MANZANA 3.2L (6)" u="1"/>
        <s v="AXE AERO AP COLLISION 12X90G" u="1"/>
        <s v="IAK DUCAL FRIJ CARNICOS LAT 28oz (12)" u="1"/>
        <s v="YAES GUENOS BARBACOA 4X12X20gr" u="1"/>
        <s v="YAES GUENOS LIMON 4X12X20gr" u="1"/>
        <s v="XHC XEDEX DESIN CITRICOS DYP 12X750ML" u="1"/>
        <s v="DOVE AERO ORQUIDEA 12X87G" u="1"/>
        <s v="UNS GOMA DE MASCAR TUMIX MENTA 30x110x1.4g" u="1"/>
        <s v="REXONA STICK MEN V8 12X50G" u="1"/>
        <s v="AXE AERO AP ICE CHILL 12X88G" u="1"/>
        <s v="DOVE STICK CUIDADO TOTAL 12X50G" u="1"/>
        <s v="DOVE STICK EXTRA FRESH 12X50G" u="1"/>
        <s v="AXE AERO BS GOLD TEMPTATION 12X97G" u="1"/>
        <s v="DOVE AERO AP CALENDULA 12X87G" u="1"/>
        <s v="BYB SALSA PICAMAS VERDE BOLSA 48/223g" u="1"/>
        <s v="DCASA GELATINA POLVO MELOC.28X400g" u="1"/>
        <s v="BONI SAVILOE UND 12X320ML" u="1"/>
        <s v="TERMO BOLSA TRANSPARENTE 2 Lbs (36)" u="1"/>
        <s v="YAES VINAGRE MANZANA CLEMEN 500ml (24)" u="1"/>
        <s v="IAK DUCAL BEB HOJALAT MANZ 154ml (48)" u="1"/>
        <s v="DOVE AERO INVISIBLE DRY MEN 12X89G" u="1"/>
        <s v="SCH SEDAL CR PEIN KERAT 24X28X10ML" u="1"/>
        <s v="SCH SEDAL SH NEGRO LUMINOSO 24X28X9ML" u="1"/>
        <s v="ALD FRUNAS BARRA 18X50 (8,3)" u="1"/>
        <s v="IAK KERNS 157mL COCTEL VEGETALES (48)" u="1"/>
        <s v="FOS CERILLOS GALLO FAMILIAR (100) 200 L" u="1"/>
        <s v="IAK KERNS JUNIOR PERA TETR 200ml (24)" u="1"/>
        <s v="UNS GALLE CAFE COFFEE JOY 6x18x45gr" u="1"/>
        <s v="DOVE AERO ORIGINAL 12X89G" u="1"/>
        <s v="ALD PIN POP SENSATIONS 16X24 (17G)" u="1"/>
        <s v="NSK BIC ENCENDEDOR MAXI J6 CARTON 15+3 (20)" u="1"/>
        <s v="EGO GEL ATTRAC 4/6/200ML+5 SCH" u="1"/>
        <s v="PD PEDIALYTE UVA 60 MEQ 500ML (12)" u="1"/>
        <s v="UNS BOMBILLO LED 12 Watt" u="1"/>
        <s v="PONDS CR  50G C PEPINO (24)" u="1"/>
        <s v="AXE AERO BS EPIC FRESH 12X97G" u="1"/>
        <s v="ARE SABUESO CACHORRO 22 LBS" u="1"/>
        <s v="FOS PALITO CHOCOBANANO EL SOL 36X150u" u="1"/>
        <s v="DOVE MINIROLLON CUIDADO TOTAL 6X30ML" u="1"/>
        <s v="FOOD NATURAS SSA TOMATE QUESO 24X200G" u="1"/>
        <s v="XHC XEDEX P MAXIMO PODER 31X115G" u="1"/>
        <s v="BYB CONCENTRADO DE TAMARINDO 24/225 ml" u="1"/>
        <s v="DIN MAZOLA MARGARINA BARRA 6X5X400gr (24)" u="1"/>
        <s v="EGO GEL ATTRAC 6/30/12ML" u="1"/>
        <s v="SCH SEDAL CR LISO PERFECTO 24X28X10ML" u="1"/>
        <s v="SCH SEDAL SH NEGRO LUM 24X28X10ML" u="1"/>
        <s v="ARE SABUESO ADULTO 50 LBS" u="1"/>
        <s v="ALD SONETTO CHOCOLATE BLANCO 16X100 (4G)" u="1"/>
        <s v="FOOD NATURAS SSA TOMATE RANCHERA 24X200G" u="1"/>
        <s v="BEST MENTAS 50X12X13g (50)" u="1"/>
        <s v="BONI IAK VASO PLASTICO KERNS" u="1"/>
        <s v="PONDS CR 100G CLARANT B3 GRASA (24)" u="1"/>
        <s v="EGO GEL POWER 6/1000 ML" u="1"/>
        <s v="ALD PLAY OSOS RELLENOS 55g (24)" u="1"/>
        <s v="DOVE AERO INVISIBLE DRY WOMAN 12X89G" u="1"/>
        <s v="DOVE AEROSOL AP ROSAS 12X87G" u="1"/>
        <s v="FOOD KNORR SOPA GAL CRIOL C/FIDEOS 12X12X54G (144)" u="1"/>
        <s v="BEST CHOCOFRUTA 50x400G" u="1"/>
        <s v="BYB SALSA BARBACOA DOY PACK 24/95g" u="1"/>
        <s v="YAES MUCHO NACHO BARBACOA 16X12X17gr" u="1"/>
        <s v="REXONA STICK MEN ANTIBAC 12X50G" u="1"/>
        <s v="REXONA AERO CLEAN CLASSIC WOMAN 12X91G" u="1"/>
        <s v="SCH SAVILE SH ARGAN 24X28X15ML" u="1"/>
        <s v="ARE ARECANA ADULTO 50 LBS" u="1"/>
        <s v="ARE SABUESO CACHORRO 44 LBS" u="1"/>
        <s v="BONI COCA COLA 355 ML" u="1"/>
        <s v="BONI QUA NUTRIBELA 10 HIALURONICO 24X12X72ml" u="1"/>
        <s v="IAK DUCAL BEB HOJALAT MELOC 154ml (48)" u="1"/>
        <s v="BEST CHOCOFRUTA 50X400G (50)" u="1"/>
        <s v="YAES MUCHO NACHO QUESO 16X12X17gr" u="1"/>
        <s v="BEST CHOCOGOL DYP 50X15X4g (50)" u="1"/>
        <s v="BONI BANCO PLASTICO" u="1"/>
        <s v="BONI QUA NUTRIBELA 10 HIALURONICO (24)" u="1"/>
        <s v="PONDS CR  45G C ORIGINAL (24)" u="1"/>
        <s v="REXONA AERO CLIN ANTIBAC W 12X90G" u="1"/>
        <s v="EGO GEL POWER 6X30X15ML" u="1"/>
        <s v="XHC XEDEX MAX POD LIMON 30X400G" u="1"/>
        <s v="BONI SOMBRILLAS PEDIALYTE" u="1"/>
        <s v="NSK COLGATE DOBLE FRESCURA 150ML" u="1"/>
        <s v="NSK LAVAPLATOS AXION LIMON TIRA 115GR (6)" u="1"/>
        <s v="NSK LAVAPLATOS POTENSOL CILINDRO 400 GR (20)" u="1"/>
        <s v="UNS CAR MENTOLADO JAAZZ CLOROFILA 100und (30)" u="1"/>
        <s v="FOOD KNORR SOPA POLL VERD CODITO 12X12X54G (144)" u="1"/>
        <s v="SEDAL CR 300 ML PEIN RIZOS OBEDIENTES (12)" u="1"/>
        <s v="XHC XEDEX P MAXIMO PODER 30X400G" u="1"/>
        <s v="REXONA AERO ANTIBAC INVISIBLE MEN 12X90G" u="1"/>
        <s v="BONI NSK 1 BOLSA KIT CEPILLO" u="1"/>
        <s v="BONI PORFIN LIMPIOX AZUL 85g (72)" u="1"/>
        <s v="NSK LAVAPLATOS DOÑA BLANCA CILINDRO 400G (20)" u="1"/>
        <s v="NSK LAVAPLATOS POTENSOL MARQUETA 215GR (42)" u="1"/>
        <s v="TERMO BOLSA TRANSPARENTE 3 Lbs (30)" u="1"/>
        <s v="BONI SAVILOE UND 12X320ML (NUTRIBELA)" u="1"/>
        <s v="NSK LAVAPLATOS DOÑA BCA.CILINDRO 250 GR (24)" u="1"/>
        <s v="XHC XEDEX DESIN CITRICOS SCH 5X12X100ML" u="1"/>
        <s v="NSK LAVAPLATOS AXION 235G UNIDAD (48)" u="1"/>
        <s v="EGO GEL ATTRAC 4x6x200ML" u="1"/>
        <s v="DOVE STICK ROSAS 12X45G" u="1"/>
        <s v="DOVE STICK ORIGINAL 12X50G" u="1"/>
        <s v="SEDAL CR CERAMIDAS 12X300ML" u="1"/>
        <s v="REXONA STICK MEN INVISIBLE 12X50G" u="1"/>
        <s v="DOVE MINIROLLON PROTECCION TOTAL 6X30ML" u="1"/>
        <s v="REXONA STICK WOMAN ANTIBAC INVISIBLE 12X50G" u="1"/>
        <s v="NSK LAVAPLATOS DOÑA BCA.CILINDRO TIRA 170GR (6)" u="1"/>
        <s v="XHC DOVE JAB BABY HUMECTANTE 48X75G" u="1"/>
        <s v="BONI YAES MUCHO NACHO ARTESANAL 150gr" u="1"/>
        <s v="XHC DIN ROKU JAB SALMON 400G (4)" u="1"/>
        <s v="AXE AERO AP COLLISION 12X88G" u="1"/>
        <s v="SCH DOVE SH RECON COMPL SUP 24X28X10ML" u="1"/>
        <s v="IPR CHILE JALAPEÑO ESCABECHE 5.5OZ (48)" u="1"/>
        <s v="IAK DUCAL FRIJ ROJO PICANT DyP 14oz (18)" u="1"/>
        <s v="SEDAL CR 300 ML PEIN LISOS PERFEC (12)" u="1"/>
        <s v="REXONA STICK CLIN CLASSIC EXPERT 12X46G" u="1"/>
        <s v="XHC XEDEX P PROTECCION COLOR 15X900G" u="1"/>
        <s v="IQUI CLORO MAGICLOR POPULINO 1X4X12 220ML" u="1"/>
        <s v="SEDAL CR 300 ML PEIN KERATINA Y ANTIOX (12)" u="1"/>
        <s v="FOOD NATURAS PASTA TRADICIONAL 96X100G" u="1"/>
        <s v="BONI BARRA MARGARINA MAZOLA 80g" u="1"/>
        <s v="BONI YAES MUCHO NACHO NATURAL 75gr" u="1"/>
        <s v="BEST GALLETA MANI 24X12X22G (24)" u="1"/>
        <s v="CB CAFE BARISTA SOLUBLE 12X24X8g" u="1"/>
        <s v="XHC PFS LIMPIOX CILINDRO AVENA 18X320G" u="1"/>
        <s v="SCH SEDAL SH LISO PERFECTO 24X28X10ML" u="1"/>
        <s v="REXONA AERO ACTIVE DRY 12X89G" u="1"/>
        <s v="SEDAL SH 340 ML KERATINA C ANTIOX (12)" u="1"/>
        <s v="BYB CONCENTRADO DE JAMAICA 12/678 ml" u="1"/>
        <s v="UNS CHOC. TUBITO CHOKI CHOKI CHOCMAR 6x20" u="1"/>
        <s v="TERMO BOLSA TRANSPARENTE 1 Lbs (60)" u="1"/>
        <s v="DIN SOPA ISSIMA POLLO CON CHILE (12)" u="1"/>
        <s v="SEDAL AC 340 ML RIZOS DEFINIDOS (12)" u="1"/>
        <s v="BONI QUA YUS FRUTAS TROPICALES 9x15x28g" u="1"/>
        <s v="REXONA AERO CLINICAL CLEAN MEN 12X90G" u="1"/>
        <s v="DOVE STICK CALENDULA 12X50G" u="1"/>
        <s v="REXONA AERO AP POWDER DRY 12X89G" u="1"/>
        <s v="XHC XEDEX P MULTIACCION 20X250G" u="1"/>
        <s v="BYB MAYONESA EXTRAMAYO BOLSA 8/1500g" u="1"/>
        <s v="BYB MAYONESA EXTRAMAYO 32/375g" u="1"/>
        <s v="IAK BLISS HAPPY MIX 350ml VIDR (24)" u="1"/>
        <s v="IAK KERNS SALSITA RANCHERA 106GR DP (24)" u="1"/>
        <s v="UNS EXTENSION DOMESTICA SPT  6MTS" u="1"/>
        <s v="EGO GEL URBAN 24/200 ML" u="1"/>
        <s v="PONDS CR 50G REJUVENESS (24)" u="1"/>
        <s v="EGO GEL ATTRAC 6/1000ML" u="1"/>
        <s v="REXONA STICK MEN ANTIBACT FRESH 12X50G" u="1"/>
        <s v="PONDS CR 100G CLARANT B3 SECA (24)" u="1"/>
        <s v="XHC XEDEX P MAXIMO PODER LIMON 13X800G" u="1"/>
        <s v="XHC XEDEX MAXIMO PODER FRUTOS BOSQUE 13X800G" u="1"/>
        <s v="XHC XEDEX MAX POD FRUTOS DEL BOSQUE 30X400G" u="1"/>
        <s v="PONDS CR 100G REJUVENESS DIA (24)" u="1"/>
        <s v="AXE STICK TRANS COLLISION 12X54G" u="1"/>
        <s v="REXONA AERO CLINICAL EXTRA DRY 12X91G" u="1"/>
        <s v="DOVE STICK GO FRESH PEPINO" u="1"/>
        <s v="BEST GALLETA CHOCOLATE 24X12X22G (24)" u="1"/>
        <s v="REXONA AERO CLIN ANTIB MEN 12X91G" u="1"/>
        <s v="SCH SAVILE SH 2EN1 24X28X15ML" u="1"/>
        <s v="XHC XEDEX DESIN LAVANDA SCH 5X12X100ML" u="1"/>
        <s v="XHC XEDEX P ANTIBAC 15X900G" u="1"/>
        <s v="XHC XEDEX P SUAV B PRIMAV 15X900G" u="1"/>
        <s v="REXONA STICK WOMAN POWDER 12X50G" u="1"/>
        <s v="NSK COLGATE KIT DE CEPILL 1X24TX6UNDS" u="1"/>
        <s v="NSK LAVAPLATOS  POTENSOL MARQUETA 215GR (42)" u="1"/>
        <s v="XHC DIN ROKU JAB AMARILLO 400G (4)" u="1"/>
        <s v="BYB MAYONESA EXTRAMAYO BOLSA 4/3000g" u="1"/>
        <s v="BONI NSK SPAGHETTI 60x200G" u="1"/>
        <s v="NSK LA MODERNA PASTA SPAGHETTI 60x200G" u="1"/>
        <s v="FOOD MAIZENA FECULA MAIZ  FRESA 16X12X45G (192)" u="1"/>
        <s v="FOOD MAIZENA FECULA MAIZ VAINILLA 16X12X45G (192)" u="1"/>
        <s v="FOOD MAIZENA FECULA MAIZ NATURAL 20X20X45G (400)" u="1"/>
        <s v="XHC XEDEX P MAXIMO PODER FRUTOS DEL BOSQUE 13X800G" u="1"/>
        <s v="BEST CHOCOGOL DYP 50X15X5g (50)" u="1"/>
        <s v="BONI QUA SAVILOE UND 500ML (12)" u="1"/>
        <s v="NSK LA MODERNA MOÑO 42x180G" u="1"/>
        <s v="KELL CHOCO KRISPI SCH 8X6X150G (8)" u="1"/>
        <m u="1"/>
        <s v="AXE AERO BS COLLISION 12X90G" u="1"/>
        <s v="BONI EGO POWER 110ML TARRO (24)" u="1"/>
        <s v="ALC ORO MAY HARIN MAIZ BLANC 2LB (9)" u="1"/>
        <s v="NSK BANDIDO VAINILLA DOCENA (24)" u="1"/>
        <s v="XHC XEDEX DESIN FRUTOS CITRICOS SCH 5X12X100ML" u="1"/>
        <s v="XHC XEDEX MULTIACCION PVO 30x115G" u="1"/>
        <s v="DOVE STICK COCO 12X50G" u="1"/>
        <s v="BYB CHILE JALAPEÑO LA CONTENTA 48/180g" u="1"/>
        <s v="UNS DULCE KOPIKO CAPUCCINO BOTE 200und (6)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EGO GEL ATTRACTION 8X30X12ML+GEL200ML" u="1"/>
        <s v="BONI ALC ARROZ MACARENA PRECOCIDO 400g (25)" u="1"/>
        <s v="GRIPETIN GRIPE Y TOS - 12 SOBRES" u="1"/>
        <s v="AXE AERO AP URBAN 48H ABP 12X90G" u="1"/>
        <s v="IPR MERMELADA MANZANA 12OZ (24)" u="1"/>
        <s v="QUA JUGOS YA LIMON 10X15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BEST BOTONETAS CHOCOLATE 20X24X11.5G (20)" u="1"/>
        <s v="EGO GEL CONTROL CAIDA 3X8X110ML" u="1"/>
        <s v="GOMITAS 4 OSOS GRANDES 14GR 12X2X20X4" u="1"/>
        <s v="KMD EL ARTESANO SALSA CHILTEPE 95g" u="1"/>
        <s v="BEST CARAMELO DURO SURTIDO 30 X 100 UND" u="1"/>
        <s v="XHC PFS MAX MB BLANC/VERD DUOX 6X3X540G" u="1"/>
        <s v="QUA JUGOS YA MORA 10X15" u="1"/>
        <s v="REXONA AERO CLINICAL CLASSIC WOMAN 12X90G" u="1"/>
        <s v="EGO GEL CONTROL CAIDA 2X6X200ML" u="1"/>
        <s v="BONI XTREME GEL 100g" u="1"/>
        <s v="IAK KERNS JUNIOR UVA TETR 200ml (24)" u="1"/>
        <s v="PONDS CR  50G CLARANT B3 GRASA (24)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YB MAYONESA SACHET 500/8g" u="1"/>
        <s v="BONI QUA AVENA ESTRELLA 360G" u="1"/>
        <s v="MA AVENA INTEGRAL 25X300G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AMS PAPEL HIG MAX PAP 24X1 MEJOR QUE 1000 HD" u="1"/>
        <s v="BONI GORRAS PEDIALYTE" u="1"/>
        <s v="XHC CENTELLA CHIBOLONA VERDE 4X3X400G" u="1"/>
        <s v="SCH SEDAL SH SOS CASPA 12X24X10ML+4" u="1"/>
        <s v="BONI ALC ORO MAYA 400GR" u="1"/>
        <s v="DOVE ROLLON CALENDULA 12X50ML" u="1"/>
        <s v="BEST CONITO DYP 90X10X5G (90)" u="1"/>
        <s v="AMS Pañal Bebin SuperFlexi Mediano 4x40" u="1"/>
        <s v="REXONA AERO ANTIBAC INVISIBLE MEN ADVANCE 12/90G" u="1"/>
        <s v="XHC LIMPIOX CILINDRO LIMON 18X320G" u="1"/>
        <s v="BONI NSK  KIT DE CEPILLADO COLGATE UND" u="1"/>
        <s v="NSK BIC RASURADORA CONFORT 2 12+2 (48)" u="1"/>
        <s v="XHC XEDEX P MAXIMO PODER 30X450G" u="1"/>
        <s v="AMS Pañal Super Lucca Grande 4X50" u="1"/>
        <s v="XHC PFS CENTELLA AVENA 4X3X375G" u="1"/>
        <s v="FOS ENCENDEDORES FRAGATA MINI 10X12X3 (3 PACK)(10)" u="1"/>
        <s v="ALD YOGUETA CHOCOCARAMEL 1x24u (16)" u="1"/>
        <s v="BONI NSK BANDIDO UNIDAD" u="1"/>
        <s v="GRECO CANASTICAS GALLETA MORA ROJA 270gr (24)" u="1"/>
        <s v="NSK HOT CAKE CAJA 12x500G" u="1"/>
        <s v="XHC PFS MAX PODER VERDE LIMON 6X3X400G" u="1"/>
        <s v="DCASA PAPEL ENCANTO MIL HOJAS 12X4" u="1"/>
        <s v="BONI IAK KERNS COCTEL VEGETALES 157ML" u="1"/>
        <s v="BONI PLAST BANCO" u="1"/>
        <s v="BONI DINANT PLATO PLASTICO" u="1"/>
        <s v="FOOD NATURAS JUMB SSA RANCH 24X100G" u="1"/>
        <s v="EGO GEL POWER 8X30X15ML+GEL 200ML" u="1"/>
        <s v="FOOD MAIZENA FECULA MAIZ NATURAL 20X20X45G" u="1"/>
        <s v="FOOD MAIZENA FECULA MAIZ NATURAL 20X20X47G" u="1"/>
        <s v="DOVE STICK GO FRESH PEPINO 12X50G" u="1"/>
        <s v="GOMITAS LIMON Y CHILE 20GR 12X2X10X4" u="1"/>
        <s v="GRECO INTEGRAL AVENA FRUTOS ROJOS 156gr (24)" u="1"/>
        <s v="BEST CHOCOPANDA CAJA CHOCOLATE 285G (36)" u="1"/>
        <s v="YAES ROSTIZADOR 18/453G" u="1"/>
        <s v="XHC XEDEX P SUAVIZ YLANG 15X900G" u="1"/>
        <s v="BONI UL NATURAS POLLO 36G (36)" u="1"/>
        <s v="XHC PFS CENTELLA CHIBOLONA BLANCA 6X3X400G" u="1"/>
        <s v="AMS Pañal Bebin SuperFlexi Grande 4x40" u="1"/>
        <s v="REXONA STICK BAMBOO 12X50G" u="1"/>
        <s v="DCASA GELATINA POLVO FRESA 450G (25)" u="1"/>
        <s v="DCASA GELATINA POLVO LIMON 450G (25)" u="1"/>
        <s v="AMS PAPEL HIG MAX PAP 8X6 DORADO NEGRO HT" u="1"/>
        <s v="IAK ADAN Y EVA FRUTOS ROJOS 350ML LAT (24)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XHC DIN ROKU JAB AQUA 400G (4)" u="1"/>
        <s v="EGO GEL POWER 4x6x200 ML" u="1"/>
        <s v="IPR LOZANO UVA 500ML" u="1"/>
        <s v="XHC XEDEX P MAXIMO PODER 13X900G" u="1"/>
        <s v="IAK FRIJOLES CARNICOS 14OZ HL (24)" u="1"/>
        <s v="BEST BOTE CONITO CHOCOLATE 70u (12)" u="1"/>
        <s v="REXONA AERO SPORFAN 12X90G" u="1"/>
        <s v="IAK FRIJOLES CARNICOS 28OZ HL (12)" u="1"/>
        <s v="BONI SH SAVILE BIOTINA DISPLAY" u="1"/>
        <s v="SCH SAVILE CR RIZOS ARGAN 12X28X15ML" u="1"/>
        <s v="BONI QUA NUTRIBELA 10 24X12X27ML" u="1"/>
        <s v="AMS ECO BOX DETERGENTE MULT ANTIBACT 9.5 LTS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BYB DISPLAY DE CONCENTRADO DE HORCHATA 6/12u" u="1"/>
        <s v="NSK BIC RASURADORA SHAVER SENS 24+4 (24)" u="1"/>
        <s v="BEST COCOA CHOCOPANDA 24X12X20G" u="1"/>
        <s v="PONDS CR 100G  C PEPINO (24)" u="1"/>
        <s v="NSK LA MODERNA PASTA TORNILLO 42x200G" u="1"/>
        <s v="FOOD LIPTON TE YELLOW LABEL 20X20BLS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FOOD LIPTON TE VERDE C/MENTA 20X20BLS" u="1"/>
        <s v="UNS DULCE KOPIKO CAFE BOTE 200und (6)" u="1"/>
        <s v="BYB MAYONESA BOLSA 48/100g" u="1"/>
        <s v="IQUI CLORO MAGICLOR POPULINO 1X4X12 235ML" u="1"/>
        <s v="NSK LAVAPLATOS DOÑA BCA.CILINDRO 170GR(6)" u="1"/>
        <s v="BEST RODAJAS JAL 24/215G" u="1"/>
        <s v="XHC PFS MAX MB BLANCA 6X3X540G" u="1"/>
        <s v="AMS PAPEL HIG LUCCA 24X1X168 NARANJA HD" u="1"/>
        <s v="AMS TOALLA DE COCINA MAX PAPEL 12X2X240HD BAJA" u="1"/>
        <s v="NSK LAVAPLATOS AXION MARQUETA 250 GR (42)" u="1"/>
        <s v="UNS GOMA DE MASC. AGOGO CENT. LIQ.SURT. 16x44x8.3gr" u="1"/>
        <s v="SEDAL SH 340 ML NEGROS LUMINOSOS (12)" u="1"/>
        <s v="XHC VENZA JABON AVENA 110g (72)" u="1"/>
        <s v="MA AVENA FORTIFICADA 25X454G" u="1"/>
        <s v="XHC XEDEX P SUAVIZ B PRIMAV 30X115G" u="1"/>
        <s v="TERMO BOLSA DE BASURA NEGRA 24X35" u="1"/>
        <s v="TERMO GABACHA #1" u="1"/>
        <s v="XHC MAX PODER AMARILLO 6X3X400G" u="1"/>
        <s v="BONI ROLLO PAPEL HIGIENICO" u="1"/>
        <s v="UNS GOMA DE MASCAR TUMIX SURTIDO 30x110x1.4g" u="1"/>
        <s v="BEST FRUTIBOTONETAS TROPICAL 20Ctx24U 25G" u="1"/>
        <s v="BYB MAYONESA BOLSA 48/200g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IAK KERNS SALSITA HONGOS 106GR DP (24)" u="1"/>
        <s v="LC GOMITAS 10X12X5" u="1"/>
        <s v="FOOD MAIZENA FECULA BAN/FRESA/VAIN 16X12X47G" u="1"/>
        <s v="BEST MENTA GLACIAL 30 BOLSAS DE 100 UNIDADES" u="1"/>
        <s v="XHC VENZA JABON SABILA 110g (72)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SCH REXONA CLIN DEO CLAS W 12X8X8G+SCH (12)" u="1"/>
        <s v="PONDS CR  50G REJUVENESS (24)" u="1"/>
        <s v="XHC MAX BLANC/NARAN DUOX 6X4X330G" u="1"/>
        <s v="XHC REXONA JAB ANTIBAC LIMP PROF 48X125G" u="1"/>
        <s v="BEST FRUTI BOTONETAS TROPICAL 20X24X25G (20)" u="1"/>
        <s v="REXONA CLINICAL SPORT STRENGTH 12X48G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AXE AERO AP ICE CHILL 12X90G/152ML" u="1"/>
        <s v="SCH REXONA CLIN DEO CLAS MIX S6X10X8G+SCH (6)" u="1"/>
        <s v="AMS SERVILLETA MAX PAPPEL 10X1X100 CUADRADA" u="1"/>
        <s v="NSK BIC MAXI J6 CARTÓN 15+3 (20)" u="1"/>
        <s v="BIOKLAR SPRAY DESIN SIN FRAG 250ML (24)" u="1"/>
        <s v="BONI ALC ARROZ ESTRELLA PRECOCIDO 350g (25)" u="1"/>
        <s v="TERMO BOLSA TRANSPARENTE 1 Lbs" u="1"/>
        <s v="BONI NSK JABON PROTEX FRESH 110GR (96)" u="1"/>
        <s v="SCH SAVILE SH 2EN1 12X28X15ML" u="1"/>
        <s v="TERMO BOLSA TRANSPARENTE 2 Lbs" u="1"/>
        <s v="IAK DUCAL FRIJ ROJO DyP 14.1oz (18)" u="1"/>
        <s v="TERMO BOLSA TRANSPARENTE 3 Lbs" u="1"/>
        <s v="FOOD NATURAS SALSA TOMATE C/CARNES 96X100G" u="1"/>
        <s v="AMS TOALLAS HUMEDAS BABY STAR 24X40" u="1"/>
        <s v="BYB CHILE JALAPEÑO LA CONTENTA LATA 48/180g" u="1"/>
        <s v="BYB MAYONESA EXTRAMAYO BOLSA 16/880g" u="1"/>
        <s v="BONI DCASA ORO MAYA 400GR" u="1"/>
        <s v="BONI DIN JABONERA VENZA" u="1"/>
        <s v="NSK LA MODERNA SPAGHETTI QUESO 20x200G" u="1"/>
        <s v="XHC CENTELLA CHIBOLONA AZUL 4X3X400G" u="1"/>
        <s v="XHC MAX BLANC/AZUL DUOX 6X3X400G" u="1"/>
        <s v="BONI BAÑO 10 LITROS" u="1"/>
        <s v="FOOD KNORR SOPA POLLO C/FIDEO 12X12X55G" u="1"/>
        <s v="NSK LA MODERNA CARACOL 3 42x200G" u="1"/>
        <s v="ALC ARROZ MOLINERO BLANCO 200GR (20)" u="1"/>
        <s v="ALD YOGUETA SURTIDA 1x24u (16)" u="1"/>
        <s v="AXE AERO BS BLACK 12X90G" u="1"/>
        <s v="BYB MERMELADA DE FRESA TARRO 12/300g" u="1"/>
        <s v="ALD YOGUETA MILK 16X24u (16)" u="1"/>
        <s v="XHC XEDEX P SUAVIZ YLANG 15X1KG" u="1"/>
        <s v="AMS PAPEL HIG MAX PAP. 6X4 MEJOR QUE 1000HD" u="1"/>
        <s v="YAES ROSTIZADOR BOLSA 453G (18)" u="1"/>
        <s v="BONI IAK DUCAL FRIJOL LATA 15 ONZ" u="1"/>
        <s v="BYB SALSA INGLESA PLASTICO 4/3850 ml" u="1"/>
        <s v="ALD PIN POP BLACK CHERRY CON CHICLE 16x24u (16)" u="1"/>
        <s v="XHC REXONA JAB BAMBOO 48X125G" u="1"/>
        <s v="ALD PIN POP MIX ASSORTED 16X24u (16)" u="1"/>
        <s v="ALD FRUNAS DUO COLOR 16X100u (16)" u="1"/>
        <s v="NSK LA MODERNA GALL MARIANITA NUEZ 20x185G" u="1"/>
        <s v="DCASA MIRASOL MARG 36X5+1/80G" u="1"/>
        <s v="EGO GEL URBAN 4X6X200ML" u="1"/>
        <s v="AMS PAPEL HIGENICO LUCCA 24X1X1000 MEJOR HD" u="1"/>
        <s v="BYB MAYONESA BOLSA 32/380g" u="1"/>
        <s v="XHC XEDEX P ANTIBAC 15X1KG" u="1"/>
        <s v="QUA FRUTY F SURTIDO 8X18X14G" u="1"/>
        <s v="AXE AERO BS ANARCHY FW 12X90G" u="1"/>
        <s v="QUA NUTRIBELA TRAT CAP 24X12X27ML" u="1"/>
        <s v="QUA JUGOS YA DURAZNO 10X15" u="1"/>
        <s v="FOOD NATURAS FRIJOL NEGRO VOLTEADO 24X380G" u="1"/>
        <s v="XHC MAX PODER VERDE 6X4X330G" u="1"/>
        <s v="DCASA GELATINA POLVO NARANJA 450G (25)" u="1"/>
        <s v="FOOD NATURAS SALSA ITALIANA CL 96X100G" u="1"/>
        <s v="QUA JUGOS YA FRESA 10X15" u="1"/>
        <s v="FOOD LIPTON TE INFUS MANZANILLA 24X20BLS" u="1"/>
        <s v="BONI PLAST PALANGANA PEQ" u="1"/>
        <s v="SCH REXONA CLIN DEO CLEAN MEN 12X8X8G+SCH (12)" u="1"/>
        <s v="DOVE AERO CLEAR TONE 12X89G" u="1"/>
        <s v="GRECO GALL CHOCOCHIPS MINI 16X" u="1"/>
        <s v="BEST GALLETA MICHOKO 24X12X22G (24)" u="1"/>
        <s v="BONI IAK PASTA TOMATE 4 OZ DYP" u="1"/>
        <s v="AMS TOALLA DE COCINA MAX PAPEL 8X3X120" u="1"/>
        <s v="FOSFORO QUETZAL 10X10" u="1"/>
        <s v="PONDS CR DPL CLARANT B3 SECA 12X10X10G" u="1"/>
        <s v="BONI QUA FRUTY FRESCO (8)" u="1"/>
        <s v="BYB CHOCONELA 12/273g" u="1"/>
        <s v="NSK LYSOL DESINFECTANTE MULTIUSOS DP 500 ML (18)" u="1"/>
        <s v="BONI DIN SOPA ISSIMA" u="1"/>
        <s v="ALC CR AVEN MOLIDA 12U 300g" u="1"/>
        <s v="TERMO GABACHA #2" u="1"/>
        <s v="BYB PICAMAS CHILTEPE 24/155g" u="1"/>
        <s v="AMS ECO BOX SUAVIZANTE LIBRE ENJUAGUE 9.5 LTS" u="1"/>
        <s v="IAK DUCAL FRIJ NEGR LAT 5.5oz PROMO (48)" u="1"/>
        <s v="BEST RODAJAS JAL EN ESCAB 24/170G" u="1"/>
        <s v="XHC PFS CENTELLA CHIBOLONA VERDE 4X3X400G" u="1"/>
        <s v="EGO GEL URBAN 12/500ML" u="1"/>
        <s v="AMS PAPEL HIG MAX PAP. SUPER ECON 4X12 (4)" u="1"/>
        <s v="FOOD KNORR SOPA TORTILLA 12X12X58G (144)" u="1"/>
        <s v="XHC PFS CENTELLA CHIBOLONA VERDE 6X3X400G" u="1"/>
        <s v="AMS TOALLA FEM FEELING MAXI NOCTURNA 12X8" u="1"/>
        <s v="BONI QUA JUGOS YA FRUTAS TROPICALES" u="1"/>
        <s v="XHC CENTELLA CAMPEON BLANCO 6X4X330G" u="1"/>
        <s v="SCH SEDAL SH 2EN1 CERAMIDAS 12X24X10ML+4 SCH" u="1"/>
        <s v="NSK LA MODERNA CODO 2 50x200G" u="1"/>
        <s v="AMS Pañal Bebin SuperFlexi XXG 4x40" u="1"/>
        <s v="AMS SHAMPOO BABY STAR 5X30X10ML SIN LAGRIMAS" u="1"/>
        <s v="XHC PFS CENTELLA CHIBOLONA AMARILLO 4X3X400G" u="1"/>
        <s v="BYB MAYONESA PRIMA BOLSA 8/1500g" u="1"/>
        <s v="NSK LYSOL DESINFECTANTE MULTIUSOS SPRAY (12)" u="1"/>
        <s v="NSK DOÑA BLANCA CILINDRO 400G (20)" u="1"/>
        <s v="NSK BIC RASURADORA TWIN LADY 12+2 KIT CEP (24)" u="1"/>
        <s v="XHC MAX BLANC/VERDE DUOX 6X4X350G" u="1"/>
        <s v="SCH SEDAL CR PEIN KERAT 12X24X10ML+SH" u="1"/>
        <s v="DOVE AERO EXTRA FRESH 12X89G" u="1"/>
        <s v="TERMO GABACHA MINI/PIWI" u="1"/>
        <s v="DCASA GELATINA POLVO FRAMB.25X450g" u="1"/>
        <s v="DCASA GELATINA POLVO MELOC.25X450g" u="1"/>
        <s v="BYB PICAMAS HABANERO 24/155G" u="1"/>
        <s v="KELL FROOT LOOPS MINI SCH 5X12X22G (5)" u="1"/>
        <s v="FOOD KNORR SOPA GAL C/CONCHI 12X12X54G (144)" u="1"/>
        <s v="AMS PAPEL HIG MAX PAP MED VERDE HD 24X1X320" u="1"/>
        <s v="NSK LA MODERNA GALL MALVADISCO 10x624G" u="1"/>
        <s v="BONI ALC ARROZ GALLO DORADO 400g (25)" u="1"/>
        <s v="PONDS CR REJUVENESS DIA 12X400G" u="1"/>
        <s v="XHC XEDEX P SUAVIZ YLANG 30X115G" u="1"/>
        <s v="BONI PFS CLORO MAGICLOR UND" u="1"/>
        <s v="REXONA STICK CLIN MEN EXPERT 12/46G" u="1"/>
        <s v="SEDAL SH 2EN1 SOS CERAM 12X24X10ML+4 SCH" u="1"/>
        <s v="EGO GEL POWER 6/30/12ML" u="1"/>
        <s v="AMS JAB ANTIBAC CLT NARANJA JUGOSA 12X440" u="1"/>
        <s v="BONI VANISH 3X100ML" u="1"/>
        <s v="SCH SEDAL SH NEGR LUM 12X24X10ML+4" u="1"/>
        <s v="BONI QUA GALLETA BEST MANI 24X12 (JUGOS YA)" u="1"/>
        <s v="MA AVENA MOSH ESTRELLA 25X360G" u="1"/>
        <s v="LOT CONSOME CRIOLLO LOTY 225GR (50)" u="1"/>
        <s v="QUA JUGOS YA GUANABA 10X15G" u="1"/>
        <s v="BONI IAK DUCAL FRIJOL LATA 5.5 ONZ" u="1"/>
        <s v="AMS ECO BOX DESIN MUNDO MAGICO 9.5 LTS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XHC MAX PODER VERDE LIMON 6X3X425G" u="1"/>
        <s v="QUA SAVILOE 12X320ML (PAQUETE)" u="1"/>
        <s v="QUA SAVILOE 12X500ML (PAQUETE)" u="1"/>
        <s v="AMS PAPEL HIG MAX PAP 24X1 NARANJA BASICO HD" u="1"/>
        <s v="QUA PROMOCION SAVILOE 500ML 9+3 (PAQUETE)" u="1"/>
        <s v="NSK LYSOL DESINFECTANTE MULTIUSOS SPRAY (18)" u="1"/>
        <s v="IAK ADAN Y EVA COCO LIMON 355ML LAT (24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XHC XEDEX P MULTI LIMP ACTIVA 15X900G" u="1"/>
        <s v="EGO GEL URBAN 4x6x110 ML" u="1"/>
        <s v="XHC MAX PODER BLANCO 6X3X400G" u="1"/>
        <s v="XHC MAX PODER ROSADO 6X3X400G" u="1"/>
        <s v="IAK FRIJOLES CARNICOS 5OZ HL (48)" u="1"/>
        <s v="MA AVENA MOSH 100X4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IAK KERNS NECT PERA TETR 250ml (24)" u="1"/>
        <s v="FOOD MAIZENA ALMIDON MAIZ NATURAL 80X190G" u="1"/>
        <s v="ALD PIN POP THE MOST WANTED 16X24u (16)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UL SAVILE ANTICASPA UNIDAD" u="1"/>
        <s v="BONI ARROZ MOLINERO BLANCO 400G" u="1"/>
        <s v="AMS PAPEL HIG MAX PAP. 2 PACK MORADO HD 12X2X350" u="1"/>
        <s v="BONI DIN PLATO PLASTICO" u="1"/>
        <s v="BYB CHILE JALAPEÑO PICANTE 96/5.8oz" u="1"/>
        <s v="DOVE STICK CLEAR TONE 12X50G" u="1"/>
        <s v="IPR MERMELADA PINA 12OZ (24)" u="1"/>
        <s v="BONI BEST GALLETA MANI 12X12" u="1"/>
        <s v="BYB SALSA PICAMAS VERDE BOLSA 8/1750g" u="1"/>
        <s v="AMS SERVILLETA JAPPYKLUB 10X1X100" u="1"/>
        <s v="IAK DUCAL FRIJ NEGR DyP 104oz (6)" u="1"/>
        <s v="BEST BOTE CONITO RELL SUR 70u (12)" u="1"/>
        <s v="FOOD NATURAS SALSA C/QUESO 96X100G" u="1"/>
        <s v="YAES EMPANIZADOR CEREAL 90G (25)" u="1"/>
        <s v="IAK KERNS TETRA NECT MANGO 1000ml (12)" u="1"/>
        <s v="BEST DAPI GALLETA VAINILLA 48X12X14.5G (48)" u="1"/>
        <s v="NSK LA MODERNA CABELLO DE ANGEL 20x200G" u="1"/>
        <s v="MA AVENA STEEL CUT 96X40G" u="1"/>
        <s v="GOMITAS 4 TAPA MENTA 20GR 12X2X10X4" u="1"/>
        <s v="BONI SAVILE ANTICASPA 7 und" u="1"/>
        <s v="BONI IAK PALETA DE MADERA" u="1"/>
        <s v="BONI DCAS DETERGENTE 1 . 2 . 3 800g (10)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IOKLAR SPRAY DESIN SIN FRAG 250ML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AK BAMB MARGARITA 350ml LATA (24)" u="1"/>
        <s v="ALD PIN POP WATERMELON 16X24 (15G)" u="1"/>
        <s v="DCASA GELATINA POLVO PIÑA 450G (25)" u="1"/>
        <s v="BONI NSK BIC ENCENDEDOR J6 MAXI (75)" u="1"/>
        <s v="BYB SALSA PICAMAS COBANERO 24/155g" u="1"/>
        <s v="BONI QUA GALLETA BEST MANI MINI 24X12" u="1"/>
        <s v="BIOKLAR GEL ANTIBAC SIN FRAG 60ML" u="1"/>
        <s v="IAK KERNS SALSITA QUESO 106GR DP (24)" u="1"/>
        <s v="BEST BOTONETA CHOCOLATE 80X6X20G (80)" u="1"/>
        <s v="BEST CHIPOTLES ADOBADOS 24/160G" u="1"/>
        <s v="GRIPETIN MULTISINTOMAS - 12 SOBRES" u="1"/>
        <s v="QUA NUTRIBELA 10 18+6 (12)" u="1"/>
        <s v="AXE AERO AP EPIC FRESH 12X88G" u="1"/>
        <s v="BEST CHOCO PANDA COCOA 6X50X20G (6)" u="1"/>
        <s v="FOOD NATURAS FRIJ NEGR VOLT 24X400GR" u="1"/>
        <s v="XHC REXONA JAB ANTIBAC FRESH 48X125G" u="1"/>
        <s v="AMS JAB ANTIBAC CLT PINK LIMONADE 12X500" u="1"/>
        <s v="ALC ARROZ GALLO DORADO PRE COCIDO 200GR (20)" u="1"/>
        <s v="XHC MAX MB NARANJA 6X3X540G" u="1"/>
        <s v="BYB SALSA PICANTE FRONTERA 32/16onz" u="1"/>
        <s v="XHC XEDEX P PROTECCION COLOR 20X250G" u="1"/>
        <s v="BYB SALSA PICAMAS VERDE BOLSA 4/3000g" u="1"/>
        <s v="BONI QUA JUGO YA NARANJA" u="1"/>
        <s v="XHC MAX MB BLANCA 6X3X540G" u="1"/>
        <s v="AMS PAPEL HIG MAX PAP. 12X4 MEJOR QUE 1000 HD" u="1"/>
        <s v="MA AVENA INTEGRAL 100X40G" u="1"/>
        <s v="NSK LA MODERNA PLUMA 42x200G" u="1"/>
        <s v="NSK LA MODERNA MACARRON LARGO 20x200G" u="1"/>
        <s v="BONI ALC ARROZ ESTRELLA BLANCO 350g (25)" u="1"/>
        <s v="XHC MAX PODER LILA 6X3X400G" u="1"/>
        <s v="AMS ECO JAB ANTIBAC CASA LIMPIA NARANJA JUGOSA 1x20 LT" u="1"/>
        <s v="NSK LYSOL DESINFECTANTE MULTIUSOS DP 500 ML" u="1"/>
        <s v="AXE AERO BS GOLD TEMPTATION 12X90G" u="1"/>
        <s v="DCASA MIRASOL MARG 6X60X35G" u="1"/>
        <s v="NSK BIC RASURADORA CONFORT 3 12+2 (24)" u="1"/>
        <s v="XHC PFS MAX MB BLANC/NAR DUOX 6X3X540G" u="1"/>
        <s v="XHC CENTELLA CHIBOLONA BLANCO 4X3X400G" u="1"/>
        <s v="XHC CENTELLA CHIBOLONA ROSADO 4X3X400G" u="1"/>
        <s v="EGO GEL ATTRAC 24/110ML" u="1"/>
        <s v="BYB MOSTAZA ALMOHADITA 48/110 g" u="1"/>
        <s v="GOMITAS 4 OSOS 12X2X20X4" u="1"/>
        <s v="BONI PLAST PALANGANA XEDEX" u="1"/>
        <s v="XHC SURF P ROSAS 15X1KG" u="1"/>
        <s v="AMS SERVILLETA LUCCA 10X1X100" u="1"/>
        <s v="IQUI CLORO BLANCO SOL 1LT (12)" u="1"/>
        <s v="BONI ALC HARINA ORO MAYA 800g (9)" u="1"/>
        <s v="BONI ARROZ GALLO DORADO 400G" u="1"/>
        <s v="DCASA MIRASOL MARG 2X24X90G" u="1"/>
        <s v="XHC XEDEX P MULTI LIMP ACTIVA 15X1KG" u="1"/>
        <s v="BEST BOTONETA MANÍ 80X6X20G (80)" u="1"/>
        <s v="FOOD HELLMANNS MOST DYP 12X100G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EST BOTONETAS MANI 20X24X13G (20)" u="1"/>
        <s v="DIN ISSIMA PAST TOMAT ROJITA 106g (96)" u="1"/>
        <s v="XHC MAX BLANC/NARAN DUOX 6X3X400G" u="1"/>
        <s v="XHC MAX BLANC/VERDE DUOX 6X3X400G" u="1"/>
        <s v="GOMITAS 5 OSOS PEQUEÑOS 12.5GR 12X2X20X5" u="1"/>
        <s v="EGO GEL POWER 12/500 ML" u="1"/>
        <s v="FOOD MAIZENA FECULA MAIZ VAINILLA 16X12X45G" u="1"/>
        <s v="FOOD KNORR SOPA GAL C/CONCHI 12X12X54G" u="1"/>
        <s v="AMS TOALLA DE COCINA MAX PAPEL 24X1 HD" u="1"/>
        <s v="PONDS CR 100G H (24)" u="1"/>
        <s v="MA AVENA FORTIFICADA 100X40G" u="1"/>
        <s v="FOOD HELLMANNS MAY DYP 12X200G" u="1"/>
        <s v="REXONA STICK ACTR BAMBOO 12X50G" u="1"/>
        <s v="SCH SAVILE SH BIOTINA 12X28X15ML" u="1"/>
        <s v="XHC CENTELLA CAMPEON VERDE 6X4X330G" u="1"/>
        <s v="BONI PD EXHIBIDOR PEDIALYTE" u="1"/>
        <s v="SCH SAVILE SH ANTICASPA 24X28X15ML (24)" u="1"/>
        <s v="AXE AERO BS ICE CHILL 12X90G" u="1"/>
        <s v="BONI AMSA ROLLO MAX PAPPEL MORADO MED 24X1" u="1"/>
        <s v="EGO GEL CONTROL CAIDA 6X950ML" u="1"/>
        <s v="NSK BANDIDO CHOCOLATE DOCENA (24)" u="1"/>
        <s v="BONI 1 BOLSA KIT CEPILLO" u="1"/>
        <s v="BONI QUA GALLETA BEST MANI 24X12 (YUS)" u="1"/>
      </sharedItems>
    </cacheField>
    <cacheField name="Columna3" numFmtId="0">
      <sharedItems containsSemiMixedTypes="0" containsString="0" containsNumber="1" containsInteger="1" minValue="1" maxValue="711"/>
    </cacheField>
    <cacheField name="Columna4" numFmtId="0">
      <sharedItems containsSemiMixedTypes="0" containsString="0" containsNumber="1" minValue="2.6875E-2" maxValue="3.3050000000000002"/>
    </cacheField>
    <cacheField name="Columna5" numFmtId="0">
      <sharedItems containsSemiMixedTypes="0" containsString="0" containsNumber="1" minValue="5.3749999999999999E-2" maxValue="327.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7546297" createdVersion="7" refreshedVersion="8" minRefreshableVersion="3" recordCount="141" xr:uid="{00000000-000A-0000-FFFF-FFFF4A000000}">
  <cacheSource type="worksheet">
    <worksheetSource name="RUTA476"/>
  </cacheSource>
  <cacheFields count="5">
    <cacheField name="Columna1" numFmtId="0">
      <sharedItems containsMixedTypes="1" containsNumber="1" containsInteger="1" minValue="201" maxValue="7401192400143" count="538">
        <n v="10010010010"/>
        <n v="10020010007"/>
        <n v="400000127"/>
        <n v="400000158"/>
        <n v="400000160"/>
        <n v="50491101"/>
        <n v="50491102"/>
        <n v="50491107"/>
        <n v="50491108"/>
        <n v="50491109"/>
        <n v="52480086"/>
        <n v="5460400"/>
        <n v="576003"/>
        <n v="620500"/>
        <n v="620678"/>
        <n v="621330"/>
        <n v="640683"/>
        <n v="641833"/>
        <n v="67409831"/>
        <n v="69584479"/>
        <n v="69584482"/>
        <n v="69584487"/>
        <n v="69584500"/>
        <n v="69678219"/>
        <n v="69678222"/>
        <n v="69761861"/>
        <n v="69761868"/>
        <n v="69761870"/>
        <n v="69780941"/>
        <s v="ALD05665"/>
        <s v="ALD06514"/>
        <s v="ALD06515"/>
        <s v="ALD06517"/>
        <s v="ALD06521"/>
        <s v="ALD06522"/>
        <s v="ALD06523"/>
        <s v="ALD06526"/>
        <s v="ALD07266"/>
        <s v="ALD07273"/>
        <s v="ARE15041"/>
        <s v="BA016439"/>
        <s v="BYB00020500"/>
        <s v="BYB00020502"/>
        <s v="BYB00053209"/>
        <s v="BYB00080707"/>
        <s v="BYB00084423"/>
        <s v="BYB00084424"/>
        <s v="BYB00084425"/>
        <s v="BYB00100401"/>
        <s v="BYB00140401"/>
        <s v="BYB00170440"/>
        <s v="BYB00230438"/>
        <s v="BYB00230939"/>
        <s v="BYB00231238"/>
        <s v="BYB00231838"/>
        <s v="BYB00232538"/>
        <s v="DCAS0425"/>
        <s v="DCAS0533"/>
        <s v="DCAS2310"/>
        <s v="DCAS4292131"/>
        <s v="DCAS4292132"/>
        <s v="DCAS4292133"/>
        <s v="DCAS4292134"/>
        <s v="DCAS4292135"/>
        <s v="DCAS4292136"/>
        <s v="DIN641628"/>
        <s v="DIN642205"/>
        <s v="DIN642304"/>
        <s v="DM1002"/>
        <s v="ENV0013"/>
        <s v="GT001N"/>
        <s v="GTALD008"/>
        <s v="GTARE002"/>
        <s v="GTARE004"/>
        <s v="GTQ0012"/>
        <s v="GTQ0014"/>
        <s v="GTQ0023"/>
        <s v="IPR338991352M"/>
        <s v="IPR338991352U"/>
        <s v="IQM1010110"/>
        <s v="K124099"/>
        <s v="K124100"/>
        <s v="K129027"/>
        <s v="K129029"/>
        <s v="K150793"/>
        <s v="K150801"/>
        <s v="K151247"/>
        <s v="K151248"/>
        <s v="K154181"/>
        <s v="K154182"/>
        <s v="K155094"/>
        <s v="K158273"/>
        <s v="K172833"/>
        <s v="K177507"/>
        <s v="K177511"/>
        <s v="K194082"/>
        <s v="K209481"/>
        <s v="K51788"/>
        <s v="K51795"/>
        <s v="K51798"/>
        <s v="K51818"/>
        <s v="K59080"/>
        <s v="K73543"/>
        <s v="N3639134"/>
        <s v="N7157"/>
        <s v="N7158"/>
        <s v="N7508"/>
        <s v="N7509"/>
        <s v="N7510"/>
        <s v="N7512"/>
        <s v="N7527"/>
        <s v="N7528"/>
        <s v="N7545"/>
        <s v="N7748"/>
        <s v="N8680"/>
        <s v="N8767"/>
        <s v="P370040"/>
        <s v="PD39206"/>
        <s v="PD39241"/>
        <s v="PD39360"/>
        <s v="PD39842"/>
        <s v="Q000246"/>
        <s v="Q000247"/>
        <s v="Q000249"/>
        <s v="Q000250"/>
        <s v="Q000251"/>
        <s v="Q000252"/>
        <s v="Q000253"/>
        <s v="Q000254"/>
        <s v="Q000255"/>
        <s v="Q000256"/>
        <s v="Q1003"/>
        <s v="Q1006"/>
        <s v="Q1008"/>
        <s v="Q19166005"/>
        <s v="QUA21240003"/>
        <s v="QUA5460800"/>
        <s v="QUA79240105"/>
        <s v="TRM1002"/>
        <s v="YAES00060"/>
        <s v="YAESSC00028"/>
        <n v="1008010073" u="1"/>
        <n v="1008071533" u="1"/>
        <n v="19640306" u="1"/>
        <n v="400000221" u="1"/>
        <n v="50470107" u="1"/>
        <n v="50491100" u="1"/>
        <n v="50491103" u="1"/>
        <n v="50491104" u="1"/>
        <n v="50491106" u="1"/>
        <n v="50491132" u="1"/>
        <n v="50491133" u="1"/>
        <n v="579235" u="1"/>
        <n v="586703" u="1"/>
        <n v="60000209" u="1"/>
        <n v="68798139" u="1"/>
        <n v="69761865" u="1"/>
        <n v="10020040002" u="1"/>
        <n v="1008011812" u="1"/>
        <n v="1008094293" u="1"/>
        <n v="50491134" u="1"/>
        <n v="60000094" u="1"/>
        <n v="60000210" u="1"/>
        <n v="620845" u="1"/>
        <n v="640959" u="1"/>
        <n v="642557" u="1"/>
        <n v="680689" u="1"/>
        <n v="69584483" u="1"/>
        <n v="10010020002" u="1"/>
        <n v="1008010113" u="1"/>
        <n v="1008012355" u="1"/>
        <n v="1008013091" u="1"/>
        <n v="400000412" u="1"/>
        <n v="4040000841" u="1"/>
        <n v="50470111" u="1"/>
        <n v="50470112" u="1"/>
        <n v="50491122" u="1"/>
        <n v="50491131" u="1"/>
        <n v="579305" u="1"/>
        <n v="621439" u="1"/>
        <n v="67767705" u="1"/>
        <n v="69584486" u="1"/>
        <n v="69678220" u="1"/>
        <n v="69714154" u="1"/>
        <n v="84157362" u="1"/>
        <n v="400000411" u="1"/>
        <n v="50470114" u="1"/>
        <n v="579409" u="1"/>
        <n v="588828" u="1"/>
        <n v="640676" u="1"/>
        <n v="640690" u="1"/>
        <n v="68798140" u="1"/>
        <n v="84157033" u="1"/>
        <n v="19640304" u="1"/>
        <n v="5467000" u="1"/>
        <n v="620821" u="1"/>
        <n v="84158961" u="1"/>
        <n v="20110020" u="1"/>
        <n v="400000033" u="1"/>
        <n v="68441507" u="1"/>
        <n v="574983" u="1"/>
        <n v="680078" u="1"/>
        <n v="68441503" u="1"/>
        <n v="68667235" u="1"/>
        <n v="1008014100" u="1"/>
        <n v="50470118" u="1"/>
        <n v="60000133" u="1"/>
        <n v="60000212" u="1"/>
        <n v="67139177" u="1"/>
        <n v="680672" u="1"/>
        <n v="68524861" u="1"/>
        <n v="621491" u="1"/>
        <n v="68395025" u="1"/>
        <n v="68524859" u="1"/>
        <n v="68865803" u="1"/>
        <n v="50470108" u="1"/>
        <n v="576004" u="1"/>
        <n v="579407" u="1"/>
        <n v="68441512" u="1"/>
        <n v="68441544" u="1"/>
        <n v="68923657" u="1"/>
        <n v="67611013" u="1"/>
        <n v="68775732" u="1"/>
        <n v="69618163" u="1"/>
        <n v="60000205" u="1"/>
        <n v="67611014" u="1"/>
        <n v="68524852" u="1"/>
        <n v="84168418" u="1"/>
        <n v="579403" u="1"/>
        <n v="69761866" u="1"/>
        <n v="68647716" u="1"/>
        <n v="19640305" u="1"/>
        <n v="10080010002" u="1"/>
        <n v="2103011672" u="1"/>
        <n v="579405" u="1"/>
        <n v="68115523" u="1"/>
        <n v="68437778" u="1"/>
        <n v="68637162" u="1"/>
        <n v="69786713" u="1"/>
        <n v="69714162" u="1"/>
        <n v="50470115" u="1"/>
        <n v="60000215" u="1"/>
        <n v="642359" u="1"/>
        <n v="642366" u="1"/>
        <n v="642373" u="1"/>
        <n v="68436586" u="1"/>
        <n v="68865806" u="1"/>
        <n v="84163148" u="1"/>
        <n v="68193098" u="1"/>
        <n v="403000261" u="1"/>
        <n v="1008010115" u="1"/>
        <n v="84163149" u="1"/>
        <n v="68647722" u="1"/>
        <n v="621323" u="1"/>
        <n v="68170131" u="1"/>
        <n v="69714199" u="1"/>
        <n v="588831" u="1"/>
        <n v="68444067" u="1"/>
        <n v="68649837" u="1"/>
        <n v="84162865" u="1"/>
        <n v="642236" u="1"/>
        <n v="68380352" u="1"/>
        <n v="68380364" u="1"/>
        <n v="69627014" u="1"/>
        <n v="68444066" u="1"/>
        <n v="583415" u="1"/>
        <n v="400000161" u="1"/>
        <n v="68780160" u="1"/>
        <n v="68524849" u="1"/>
        <n v="69678218" u="1"/>
        <n v="67611010" u="1"/>
        <n v="84159040" u="1"/>
        <n v="652532" u="1"/>
        <n v="68524850" u="1"/>
        <n v="68524857" u="1"/>
        <n v="68874809" u="1"/>
        <n v="579412" u="1"/>
        <n v="400000048" u="1"/>
        <n v="50491121" u="1"/>
        <n v="68155562" u="1"/>
        <n v="68380353" u="1"/>
        <n v="642380" u="1"/>
        <n v="84157012" u="1"/>
        <n v="680092" u="1"/>
        <n v="52480095" u="1"/>
        <n v="565119" u="1"/>
        <n v="68524848" u="1"/>
        <n v="578086" u="1"/>
        <n v="67721092" u="1"/>
        <n v="69620218" u="1"/>
        <n v="579264" u="1"/>
        <n v="67611016" u="1"/>
        <n v="68611972" u="1"/>
        <n v="68170124" u="1"/>
        <n v="579362" u="1"/>
        <n v="84153470" u="1"/>
        <n v="84153562" u="1"/>
        <n v="52480094" u="1"/>
        <n v="642694" u="1"/>
        <n v="576000" u="1"/>
        <n v="68688972" u="1"/>
        <n v="68818454" u="1"/>
        <n v="69714198" u="1"/>
        <n v="84158963" u="1"/>
        <n v="69717303" u="1"/>
        <n v="84171222" u="1"/>
        <n v="68354542" u="1"/>
        <n v="68875982" u="1"/>
        <n v="67707595" u="1"/>
        <n v="84153561" u="1"/>
        <n v="84158965" u="1"/>
        <n v="642205" u="1"/>
        <n v="68524854" u="1"/>
        <n v="68786560" u="1"/>
        <n v="84163166" u="1"/>
        <n v="84168064" u="1"/>
        <n v="68865804" u="1"/>
        <n v="68645445" u="1"/>
        <n v="579319" u="1"/>
        <n v="579406" u="1"/>
        <n v="579413" u="1"/>
        <n v="68436574" u="1"/>
        <n v="67707587" u="1"/>
        <n v="68174780" u="1"/>
        <n v="68354529" u="1"/>
        <n v="68766039" u="1"/>
        <n v="68864406" u="1"/>
        <n v="69629503" u="1"/>
        <n v="67519203" u="1"/>
        <n v="68524847" u="1"/>
        <n v="84168485" u="1"/>
        <n v="67707584" u="1"/>
        <n v="84160187" u="1"/>
        <n v="67150066" u="1"/>
        <n v="67409941" u="1"/>
        <n v="67707590" u="1"/>
        <n v="68436592" u="1"/>
        <n v="69629504" u="1"/>
        <n v="69629507" u="1"/>
        <n v="641628" u="1"/>
        <n v="84168484" u="1"/>
        <n v="68875985" u="1"/>
        <n v="566030" u="1"/>
        <n v="52460025" u="1"/>
        <n v="67190950" u="1"/>
        <n v="67279488" u="1"/>
        <n v="68436589" u="1"/>
        <n v="60000262" u="1"/>
        <n v="207" u="1"/>
        <n v="256" u="1"/>
        <n v="84163138" u="1"/>
        <n v="67624575" u="1"/>
        <n v="68667239" u="1"/>
        <n v="68802170" u="1"/>
        <n v="579213" u="1"/>
        <n v="67171635" u="1"/>
        <n v="50470101" u="1"/>
        <n v="68614030" u="1"/>
        <n v="68455320" u="1"/>
        <n v="68534543" u="1"/>
        <n v="68882798" u="1"/>
        <n v="67574563" u="1"/>
        <n v="84157831" u="1"/>
        <n v="68141796" u="1"/>
        <n v="67746868" u="1"/>
        <n v="67885788" u="1"/>
        <n v="69620216" u="1"/>
        <n v="84154860" u="1"/>
        <n v="68647721" u="1"/>
        <n v="579308" u="1"/>
        <n v="84159927" u="1"/>
        <n v="579321" u="1"/>
        <n v="50470105" u="1"/>
        <n v="68399684" u="1"/>
        <n v="5049264" u="1"/>
        <n v="50491116" u="1"/>
        <n v="68534556" u="1"/>
        <n v="5049280" u="1"/>
        <n v="579337" u="1"/>
        <n v="68565714" u="1"/>
        <n v="50491112" u="1"/>
        <n v="68524841" u="1"/>
        <n v="579364" u="1"/>
        <n v="680214" u="1"/>
        <n v="84168063" u="1"/>
        <n v="67663498" u="1"/>
        <n v="68534532" u="1"/>
        <n v="19790106" u="1"/>
        <n v="67409938" u="1"/>
        <n v="68564978" u="1"/>
        <n v="50490904" u="1"/>
        <n v="579404" u="1"/>
        <n v="84156604" u="1"/>
        <n v="579410" u="1"/>
        <n v="579411" u="1"/>
        <n v="19790102" u="1"/>
        <n v="67411722" u="1"/>
        <n v="67409922" u="1"/>
        <n v="67986539" u="1"/>
        <n v="67466523" u="1"/>
        <n v="68649838" u="1"/>
        <n v="588520" u="1"/>
        <n v="588521" u="1"/>
        <n v="50470102" u="1"/>
        <n v="214902" u="1"/>
        <n v="68637139" u="1"/>
        <n v="68141798" u="1"/>
        <n v="68637131" u="1"/>
        <n v="571466" u="1"/>
        <n v="571467" u="1"/>
        <n v="1008011991" u="1"/>
        <n v="84162953" u="1"/>
        <n v="1000" u="1"/>
        <n v="19166007" u="1"/>
        <n v="50470106" u="1"/>
        <n v="50491117" u="1"/>
        <n v="84157806" u="1"/>
        <n v="1001" u="1"/>
        <n v="246" u="1"/>
        <n v="67611019" u="1"/>
        <n v="19166005" u="1"/>
        <n v="84156838" u="1"/>
        <n v="50491113" u="1"/>
        <n v="68646675" u="1"/>
        <n v="1002" u="1"/>
        <n v="7401192400143" u="1"/>
        <n v="1003" u="1"/>
        <n v="68142902" u="1"/>
        <n v="50491105" u="1"/>
        <n v="586682" u="1"/>
        <n v="1004" u="1"/>
        <n v="84151286" u="1"/>
        <n v="67409940" u="1"/>
        <n v="68809921" u="1"/>
        <n v="586699" u="1"/>
        <n v="1005" u="1"/>
        <n v="247" u="1"/>
        <n v="68227509" u="1"/>
        <n v="79790105" u="1"/>
        <n v="1006" u="1"/>
        <n v="68401571" u="1"/>
        <n v="68876989" u="1"/>
        <n v="67279484" u="1"/>
        <n v="1007" u="1"/>
        <n v="60000264" u="1"/>
        <n v="67775462" u="1"/>
        <n v="1008" u="1"/>
        <n v="67883019" u="1"/>
        <n v="68354522" u="1"/>
        <n v="565574" u="1"/>
        <n v="67728485" u="1"/>
        <n v="1009" u="1"/>
        <n v="68524851" u="1"/>
        <n v="67627147" u="1"/>
        <n v="576687" u="1"/>
        <n v="576690" u="1"/>
        <n v="50470103" u="1"/>
        <n v="68444073" u="1"/>
        <n v="84161579" u="1"/>
        <n v="84150971" u="1"/>
        <n v="68564993" u="1"/>
        <n v="10080010001" u="1"/>
        <n v="567647" u="1"/>
        <n v="588829" u="1"/>
        <n v="249" u="1"/>
        <n v="67409937" u="1"/>
        <n v="67574559" u="1"/>
        <n v="642304" u="1"/>
        <n v="68787808" u="1"/>
        <n v="576774" u="1"/>
        <n v="566701" u="1"/>
        <n v="201" u="1"/>
        <n v="50491118" u="1"/>
        <n v="250" u="1"/>
        <n v="50491114" u="1"/>
        <n v="68193097" u="1"/>
        <n v="68614031" u="1"/>
        <n v="67409830" u="1"/>
        <n v="1019" u="1"/>
        <n v="573809" u="1"/>
        <n v="67611005" u="1"/>
        <n v="573811" u="1"/>
        <n v="573812" u="1"/>
        <n v="68142904" u="1"/>
        <n v="573816" u="1"/>
        <n v="573817" u="1"/>
        <n v="573818" u="1"/>
        <n v="573819" u="1"/>
        <n v="573820" u="1"/>
        <n v="250042" u="1"/>
        <n v="1021" u="1"/>
        <n v="251" u="1"/>
        <n v="50490906" u="1"/>
        <n v="68141797" u="1"/>
        <n v="19790103" u="1"/>
        <n v="67746869" u="1"/>
        <n v="203" u="1"/>
        <n v="68647714" u="1"/>
        <n v="252" u="1"/>
        <n v="68524853" u="1"/>
        <n v="68466961" u="1"/>
        <n v="68646674" u="1"/>
        <n v="68534549" u="1"/>
        <n v="50470100" u="1"/>
        <n v="84151549" u="1"/>
        <n v="204" u="1"/>
        <n v="253" u="1"/>
        <n v="68646586" u="1"/>
        <n v="557831" u="1"/>
        <n v="574978" u="1"/>
        <n v="574982" u="1"/>
        <n v="574986" u="1"/>
        <n v="67279491" u="1"/>
        <n v="589111" u="1"/>
        <n v="84171576" u="1"/>
        <n v="576002" u="1"/>
        <n v="67551222" u="1"/>
        <n v="576006" u="1"/>
        <n v="67409923" u="1"/>
        <n v="7401192400136" u="1"/>
        <n v="205" u="1"/>
        <n v="68466966" u="1"/>
        <n v="50491119" u="1"/>
        <n v="254" u="1"/>
        <n v="50470104" u="1"/>
        <n v="67952534" u="1"/>
        <n v="84157802" u="1"/>
        <n v="67627146" u="1"/>
        <n v="67611015" u="1"/>
        <n v="547830" u="1"/>
        <n v="547832" u="1"/>
        <n v="52460005" u="1"/>
        <n v="578100" u="1"/>
        <n v="68661570" u="1"/>
        <n v="206" u="1"/>
        <n v="547856" u="1"/>
        <n v="400000386" u="1"/>
        <n v="255" u="1"/>
      </sharedItems>
    </cacheField>
    <cacheField name="Columna2" numFmtId="0">
      <sharedItems containsBlank="1" count="1116">
        <s v="ALC ARROZ GALL DORA PREC 400G (25)"/>
        <s v="ALC ARROZ MOLINER BLANC 400G (25)"/>
        <s v="FOS FOSFOROS FOGATA 10x10"/>
        <s v="FOS FOSFOROS CABALLO ROJO 24x10"/>
        <s v="FOS FOSFOROS FOGATA ECO 12X10"/>
        <s v="XHC PFS MAX PODER AZUL  6X3X400G"/>
        <s v="XHC PFS MAX PODER BLANCO 6X3X400G"/>
        <s v="XHC PFS MAX BLANC/NARAN DUOX 6X3X400G"/>
        <s v="XHC PFS MAX BLANC/AZUL DUOX 6X3X400G"/>
        <s v="XHC PFS MAX BLANC/VERDE DUOX 6X3X400G"/>
        <s v="XHC PFS LIMPIOX AVENA DISCO 108G (72)"/>
        <s v="QUA SAVILOE 12X320ML(UNIDAD)"/>
        <s v="FOOD KNORR SOPA POLLO C/FIDEO 12X12X55G (144)"/>
        <s v="DIN MAZOLA ACEITE  BOT 32onz (12)"/>
        <s v="DIN MAZOLA MANTECA 1LB (50)"/>
        <s v="DIN MAZOLA MARGARINA BARRA 400gr (24)"/>
        <s v="XHC DIN ZIXX JAB VERDE 400G (6)"/>
        <s v="XHC DIN ZIXX JAB LILA 400G (6)"/>
        <s v="EGO GEL ATTRAC 6/30/12ML"/>
        <s v="FOOD MAIZENA ALMIDON MAIZ NATURAL 40X375G"/>
        <s v="FOOD MAIZENA F MAIZ  FRESA 16X12X45G (192)"/>
        <s v="FOOD MAIZENA F MAIZ VAINILLA 16X12X45G (192)"/>
        <s v="FOOD MAIZENA F MAIZ NATURAL 20X20X45G (400)"/>
        <s v="SCH SEDAL CR PEIN KERAT 24X28X9ML"/>
        <s v="SCH SEDAL CR PEIN RIZ OBED 24X28X9ML"/>
        <s v="FOOD NATURAS SALSA TOMATE C/QUESO 96X90G"/>
        <s v="FOOD NATURAS SALSA TOMATE RANCHERA 96X90G"/>
        <s v="FOOD NATURAS SALSA TOMATE C/CARNE 96X90G"/>
        <s v="FOOD NATURAS JUMB SSA RANCH 24X90G"/>
        <s v="ALD PIN POP SANDIA 16X24 (16)"/>
        <s v="ALD YOGUETA SURTIDA RELLENA 16X24  (15G)"/>
        <s v="ALD YOGUETA CHOCOCARAMEL 16X24 (15G)"/>
        <s v="ALD PIN POP MANGO 16X24 (15G)"/>
        <s v="ALD PIN POP KOLA 16X24 (15G)"/>
        <s v="ALD PIN POP PINTALENGUA 16X24 (15G)"/>
        <s v="ALD PIN POP X2 16X24 (15G)"/>
        <s v="ALD PIN POP FRESA 16x24 (15G)"/>
        <s v="ALD PLAY GUSANOS 55g (24)"/>
        <s v="ALD PLAY CORAZONES 55g (24)"/>
        <s v="ARE SABUESO ADULTO 100 LBS"/>
        <s v="BEST GALLETA MANI 24X12X20G (24)"/>
        <s v="BYB CHILE JALAPEÑO SEMIPICANTE LATA 96/5.8oz"/>
        <s v="BYB CHILE JALAPEÑO PICANTE LATA 96/5.8oz"/>
        <s v="BYB CONCENTRADO DE HORCHATA 12/678 ml"/>
        <s v="BYB MERMELADA DE FRESA DOY PACK 24/200g"/>
        <s v="BYB MERMELADA DE FRESA VASO 12/260g"/>
        <s v="BYB MERMELADA DE MORA VASO 12/260g"/>
        <s v="BYB MERMELADA DE PIÑA VASO 12/260g"/>
        <s v="BYB MAYONESA CLASICA BOLSA 48/100g"/>
        <s v="BYB MOSTAZA BOLSA 48/100g"/>
        <s v="BYB SALSA PICAMAS VERDE PLASTICO 48/100g"/>
        <s v="BYB VINAGRE CLARO 48/100ml"/>
        <s v="BYB VINAGRE CLARO 24/200ml"/>
        <s v="BYB VINAGRE CLARO 24/360ml"/>
        <s v="BYB VINAGRE CLARO 24/500ml"/>
        <s v="BYB VINAGRE CLARO BOTE LARGO 12/750ml"/>
        <s v="DCASA PAPEL ENCANTO GDE. 1X12X4 (12)"/>
        <s v="DCASA HEINZ MELOCOTO FLEX 24X113G"/>
        <s v="DCASA MIRASOL MARG 24X5X80G"/>
        <s v="DCASA GELATINA POLVO UVA 28X400g"/>
        <s v="DCASA GELATINA POLVO FRESA 28X400g"/>
        <s v="DCASA GELATINA POLVO PIÑA 28X400g"/>
        <s v="DCASA GELATINA POLVO NARANJA 28X400g"/>
        <s v="DCASA GELATINA POLVO LIMON 28X400g"/>
        <s v="DCASA GELATINA POLVO CHICLE 28X400g"/>
        <s v="XHC DIN ROKU JAB AMARILLO 375G (4)"/>
        <s v="XHC DIN ROKU JAB SALMON 375G (4)"/>
        <s v="XHC DIN ROKU JAB AQUA 375G (4)"/>
        <s v="DM ESPONJAS (5XBOLSA)"/>
        <s v="ENV AGUA PURIFICADA SCANDIA 12X600ML"/>
        <s v="BONI NSK ROLLO PAPEL HIGIENICO"/>
        <s v="BONI ALD EXHIBIDOR RISTRA DE 5 GANCHERAS"/>
        <s v="BONI ARE PLATO SABUESO"/>
        <s v="BONI ARE MOCHILA SABUESO"/>
        <s v="BONI SAVILOE UND 320ML (12)"/>
        <s v="BONI QUA FRIJOL NEGRO LAT 5.5 OZ (48)"/>
        <s v="BONI QUA SAVILOE FRUTOS ROJOS UND 500ML (12)"/>
        <s v="IPR LOZANO MANZANA 500ML (12)"/>
        <s v="IPR LOZANO UVA 500ML (12)"/>
        <s v="IQUI CLORO MAGICLOR POPULINO 1X12X6 235ML"/>
        <s v="IAK FUN C REFR MANZ 200ML TETR (24)"/>
        <s v="IAK FUN C REFR MELOC 200ML TETR (24)"/>
        <s v="IAK KERNS NECT MANZ TETR 24X250ml"/>
        <s v="IAK KERNS NECT MELOC TETR 24X250ml"/>
        <s v="IAK DUCAL FRIJ NEGR DyP 8oz (24)"/>
        <s v="IAK DUCAL FRIJ NEGR DyP 14.1oz (18)"/>
        <s v="IAK KERNS KETCHUP 24X375gr PET"/>
        <s v="IAK KERNS KETCHUP 776gr PET (12)"/>
        <s v="IAK KERNS COCT VEGET 1 LT TETR (12)"/>
        <s v="IAK KERNS 330ml COCTEL VEGETALES  (24)"/>
        <s v="IAK DUCAL FRIJ NEGR DyP 28oz (12)"/>
        <s v="IAK KERNS 330ml COCTEL VEGETALES ALMEJA  (24)"/>
        <s v="IAK DUCAL FRIJ ROJO PICANT DyP 8oz (24)"/>
        <s v="IAK KERNS TE DURAZNO 2500ml (6)"/>
        <s v="IAK KERNS TE FRAMBUES 2500ml (6)"/>
        <s v="IAK KERNS 154mL COCTEL VEGETALES (48)"/>
        <s v="IAK DUCAL FRIJ NEGR DyP 4oz (24)"/>
        <s v="IAK DUCAL FRIJ NEGR LAT 29oz (12)"/>
        <s v="IAK DUCAL FRIJ NEGR LAT 10.5oz (48)"/>
        <s v="IAK DUCAL FRIJ NEGR LAT 5.5oz (48)"/>
        <s v="IAK KERNS PASTA TOMATE LATA 48X6oz"/>
        <s v="IAK KERNS PASTA TOMATE 4 Oz DyP (48)"/>
        <s v="IAK DUCAL FRIJ NEGR LAT 15oz (24)"/>
        <s v="NSK BIC ENCENDEDOR HANDY P/ESTUFA (90)"/>
        <s v="NSK VANISH PINK 6X12 U"/>
        <s v="NSK VANISH WHITE 6X12 U"/>
        <s v="NSK FABULOSO CITRIC Y FRU 1X6X12U/80ML"/>
        <s v="NSK FABULOSO LAVANDA 1X6X12U/80ML"/>
        <s v="NSK AZISTIN LAVANDA 1X6X12U/80ML"/>
        <s v="NSK SUAVITEL COMPL PRIMAV 1X6X12 U"/>
        <s v="NSK LAV POTENSOL CIL 400g (20)"/>
        <s v="NSK AZISTIN MANZANA 1X6X12U/80ML"/>
        <s v="NSK COLGATE KIT DE CEPILL 1X24TXTIRA 6UNDS"/>
        <s v="NSK AZISTIN ALTERNATIVO CLORO 1X6X12U/80ML"/>
        <s v="NSK TAJIN CLASICO TIRA  DE 12 SCH (44T)"/>
        <s v="NSK LAV POTENSOL MARQUETA 215g (42)"/>
        <s v="QUA FRUTY FRESCO 9+9 (8)"/>
        <s v="PD PEDIALYTE CLASICO 30 MEQ 500ML (12)"/>
        <s v="PD PEDIALYTE MANZANA 60 MEQ 500ML (12)"/>
        <s v="PD PEDIALYTE COCO 30 MEQ 500ML (12)"/>
        <s v="PD PEDIALYTE FRESA 60 MEQ 500ML (12)"/>
        <s v="QUA JUGOS YA FRESA 10X15X18 FIT"/>
        <s v="QUA JUGOS YA JAMAICA 10X15X18 FIT"/>
        <s v="QUA JUGOS YA PINA 10X15X18 FIT"/>
        <s v="QUA JUGOS YA GUANABA 10X15X18 FIT"/>
        <s v="QUA JUGOS YA LIMON 10X15X18 FIT"/>
        <s v="QUA JUGOS YA MORA 10X15X18 FIT"/>
        <s v="QUA JUGOS YA DURAZNO 10X15X18 FIT"/>
        <s v="QUA JUGOS YA HORCHATA 10X15X18 FIT"/>
        <s v="QUA JUGOS YA MANGO 10X15X18 FIT"/>
        <s v="QUA JUGOS YA NARANJA 10X15X18 FIT"/>
        <s v="QUA YUS FRESA 9X15X28g"/>
        <s v="QUA YUS JAMAICA 9X15X28g"/>
        <s v="QUA YUS PIÑA 9X15X28g"/>
        <s v="QUA YUS SABILA 9X15X28G"/>
        <s v="SCH QUA NUTRIBELA HIALURONICO 48X6X27ML"/>
        <s v="QUA SAVILOE FRUTOS ROJOS 12X500ML"/>
        <s v="SCH QUA NUTRIBELA TRAT CAP 24X12X27ML"/>
        <s v="TERMO GABACHA #1 (26)"/>
        <s v="YAES VINAGRE MANZANA CLEMEN 500ml (24)"/>
        <s v="YAES SAL DE MESA REFINADA 25/400G"/>
        <s v="KELL CORN FLAKES 28X150G (28)" u="1"/>
        <s v="KELL FROOT LOOPS 28X180G (28)" u="1"/>
        <s v="QUA BONTEA MANZANA 10X12X30G" u="1"/>
        <s v="FOS FOSFOROS AGUILA 2X10X5" u="1"/>
        <s v="XHC PFS CENTELLA CAMPEON VERDE 6X4X330G" u="1"/>
        <s v="XHC PFS MAX PODER VERDE 6X3X400G" u="1"/>
        <s v="XHC PFS MAX PODER ROSADO 6X3X400G" u="1"/>
        <s v="XHC PFS MAX PODER NARANJA 6X3X400G" u="1"/>
        <s v="XHC PFS MAX PODER AMARILLO 6X3X400G" u="1"/>
        <s v="XHC PFS MAX MB NARANJA 6X3X500G" u="1"/>
        <s v="XHC PFS MAX MB BLANC/NARAN DUOX 6X3X500G" u="1"/>
        <s v="REXONA AERO BAMBOO 12X90G" u="1"/>
        <s v="AXE AERO VITTO DARK TEMPT 12X58G" u="1"/>
        <s v="ALC ARROZ ESTRELLA PRECO 350G (25)" u="1"/>
        <s v="REXONA AERO POWER DRY 12X58G" u="1"/>
        <s v="FOOD NATURAS SALSA TOMATE ITALIANA 96X90G" u="1"/>
        <s v="ALD PIN POP THE MOST WANTED 16X24 (15G)" u="1"/>
        <s v="ALD PIN POP ASSORTED 16X24 (15G)" u="1"/>
        <s v="ALD YOGUETA MILKY CARAMEL 16X24 (15G)" u="1"/>
        <s v="ARE SABUESO CACHORRO 40X420G" u="1"/>
        <s v="BEST BOTONETAS CHOCOLATE 20X24X9G (20)" u="1"/>
        <s v="BEST CHOCOFRUTA 50x350G" u="1"/>
        <s v="BYB MANTEQUILLA DE MANI VASO 24/245g" u="1"/>
        <s v="BYB MAYONESA CLASICA BOLSA 48/200g" u="1"/>
        <s v="BYB MAYONESA CLASICA BOLSA 32/380g" u="1"/>
        <s v="BYB SALSA PICAMAS ROJA PLASTICO 48/100g" u="1"/>
        <s v="BYB SALSA SOYA PLASTICA 48/3.5oz" u="1"/>
        <s v="BYB CHEEZ DIP DOY PACK 12/200g" u="1"/>
        <s v="BYB SALSA BARBACOA SQUEZZE PLASTICO 24/14oz" u="1"/>
        <s v="DCASA GELATINA POLVO FRAMB.28X400g" u="1"/>
        <s v="ALD COMODATO EXHIBIDOR PIN POP" u="1"/>
        <s v="IAK DUCAL BEB TETR  PIÑA 200ML (24)" u="1"/>
        <s v="IAK KERNS KETCHUP SCH 52GR (144)" u="1"/>
        <s v="IAK DUCAL BEB TETR MELOC 200ml (24)" u="1"/>
        <s v="IAK DUCAL BEB TETR MANZ 200ml (24)" u="1"/>
        <s v="IAK DUCAL BEB HOJALAT MANZ 154ml (48)" u="1"/>
        <s v="IAK DUCAL BEB HOJALAT MELOC 154ml (48)" u="1"/>
        <s v="IAK DUCAL FRIJ CARNICOS LAT 14oz (24)" u="1"/>
        <s v="NSK BIC ENCENDEDOR MINI J5 (75)" u="1"/>
        <s v="NSK BIC RASURADORA CONFORT 2 12 (48)" u="1"/>
        <s v="NSK JABON PROTEX BALANCE 110GR (96)" u="1"/>
        <s v="NSK JABON PROTEX ALOE 110GR (96)" u="1"/>
        <s v="NSK JABON PROTEX FRESH 110GR (96)" u="1"/>
        <s v="NSK JABON PROTEX AVENA 110GR (96)" u="1"/>
        <s v="NSK BIC BOLIGRAFO NEGRO 12 (100)" u="1"/>
        <s v="NSK BIC BOLIGRAFO AZUL 12 (100)" u="1"/>
        <s v="PD PEDIALYTE CEREZA 30 MEQ 500ML (12)" u="1"/>
        <s v="QUA YUS LIMONADA 9X15X28g" u="1"/>
        <s v="QUA YUS DURAZNO 9X15X28g" u="1"/>
        <s v="QUA YUS NARANJA 9X15X28g)" u="1"/>
        <s v="YAES GUENOS BARBACOA 4X12X20gr" u="1"/>
        <s v="ALC ARROZ MACARE BLANC 400G (25)" u="1"/>
        <s v="KELL CHOCO KRISPIS 28X290G (28)" u="1"/>
        <s v="KELL ZUCARITAS 28X260G (28)" u="1"/>
        <s v="XHC PFS MAX MB BLANC/VERD DUOX 6X3X500G" u="1"/>
        <s v="ALC ORO MAY  HARIN MAIZ BLANC 800 (9)" u="1"/>
        <s v="ALC ARROZ ESTRELLA BLANCO 350G (25)" u="1"/>
        <s v="DIN MAZOLA ACEITE DYP 700ml (18)" u="1"/>
        <s v="XHC DIN ZIXX JAB ROSADO 400G (6)" u="1"/>
        <s v="XHC DIN ZIXX JAB AVENA 400G (6)" u="1"/>
        <s v="DIN SOPA ISSIMA CAMARON/CHILE (12)" u="1"/>
        <s v="FOOD MAIZENA ALMIDON MAIZ NATURAL 80X185G" u="1"/>
        <s v="ALD PLAY GUSANOS AZUCARADOS JARRA 6X200 (3G)" u="1"/>
        <s v="ALD PLAY TORTU SPLASH 55g (24)" u="1"/>
        <s v="ALD PLAY BANANAS 55g (24)" u="1"/>
        <s v="ARE SABUESO ADULTO 40X454G" u="1"/>
        <s v="BYB CONCENTRADO DE TAMARINDO DISPLAY 6/12u" u="1"/>
        <s v="BYB MAYONESA CLASICA BOLSA 4/3000g" u="1"/>
        <s v="BYB SALSA T/KETCHUP ALMOHADITA 48/110g" u="1"/>
        <s v="BEST CAFE BARISTA SOLUBLE 12X24X8g" u="1"/>
        <s v="DCASA HEINZ BANANO FLEX 24X113G" u="1"/>
        <s v="DCASA GELATINA POLVO MELOC.28X400g" u="1"/>
        <s v="BONI DIN SALSA ISSIMA RANCHERA 106g (96)" u="1"/>
        <s v="IAK KERNS JUNIOR MANZ TETRA 200ml (24)" u="1"/>
        <s v="IAK KERNS JUNIOR MELOC TETR 200ml (24)" u="1"/>
        <s v="IAK BAMB MOJITO 350ml LATA (24)" u="1"/>
        <s v="IAK BAMB DAIQUIRI FRESA 350ml LT (24)" u="1"/>
        <s v="IAK KERNS 330ml NECT MELOCOTON (24)" u="1"/>
        <s v="IAK KERNS 330ml NECT MANZANA  (24)" u="1"/>
        <s v="IAK BAMB PIÑA COLADA 350ml LATA (24)" u="1"/>
        <s v="IAK KERNS 330ml NECT PIÑA (24)" u="1"/>
        <s v="NSK SUAVITEL AROM D SOL 1X6X12U/80ML" u="1"/>
        <s v="UNS OSITO MIEL QUEENBEE 340gr (24)" u="1"/>
        <s v="QUA YUS GUANABA 9X15X28g)" u="1"/>
        <s v="QUA YUS HORCHATA 9X15X28g" u="1"/>
        <s v="QUA YUS LIMONADA CON CHAN 9X15X28g" u="1"/>
        <s v="QUA TOKI SURTIDO 25X24X8G" u="1"/>
        <s v="QUA YUS FRUTAS TROPICALES 9x15x28g" u="1"/>
        <s v="QUA YUS TE FRIO DURAZNO 9X15X28g" u="1"/>
        <s v="TERMO BOLSA COLOR 5 Lbs (46)" u="1"/>
        <s v="TERMO BOLSA COLOR 2 Lbs (70)" u="1"/>
        <s v="ALC ARROZ MACAREN PREC 400G (25)" u="1"/>
        <s v="KELL FROOT LOOPS MINI SCH 5X12X15G (5)" u="1"/>
        <s v="KELL CHOCO KRISPIS 24X620G (24)" u="1"/>
        <s v="KELL CHOCO KRISPIS MINI SCH 5X12X22G (5)" u="1"/>
        <s v="FOS Fosforos Propasa 10x10" u="1"/>
        <s v="FOS ENCENDEDOR FRAGATA MINI 40X25" u="1"/>
        <s v="XHC PFS CENTELLA CHIBOLONA VERDE 4X3X375G" u="1"/>
        <s v="XHC PFS CENTELLA CHIBOLONA BLANCA 4X3X375G" u="1"/>
        <s v="XHC PFS MAX PODER LILA 6X3X400G" u="1"/>
        <s v="XHC PFS MAX MB BLANCA 6X3X500G" u="1"/>
        <s v="REXONA AERO V8 12X90G" u="1"/>
        <s v="DIN MAZOLA MARGARINA LIGHT 400GR (24)" u="1"/>
        <s v="REXONA ROLLON BAMBOO 6X30ML" u="1"/>
        <s v="FOOD MAIZENA FECULA BAN/FRESA/VAIN 16X12X45G" u="1"/>
        <s v="SCH SEDAL CR LISO PERFECTO 24X28X9ML" u="1"/>
        <s v="XHC XEDEX MAX POD LIMON 13X800G" u="1"/>
        <s v="REXONA ROLLON V8 6X30ML" u="1"/>
        <s v="ALD PLAY TIBURONES 55g (24)" u="1"/>
        <s v="BEST BOTONETAS MANI 20X24X9G (20)" u="1"/>
        <s v="BEST CHOCOGOL DYP 50X15X4g (50)" u="1"/>
        <s v="BYB CONCENTRADO DE TAMARINDO 12/678 ml" u="1"/>
        <s v="BYB MAYONESA CLASICA BOLSA 8/1500g" u="1"/>
        <s v="BYB SALSA PICAMAS VERDE BOLSA 32/454g" u="1"/>
        <s v="IAK DUCAL BEB ALUMIN PIÑA 330ml (24)" u="1"/>
        <s v="IAK DUCAL FRIJ CARNICOS LAT 5 oz (48)" u="1"/>
        <s v="NSK TAJIN CLASICO POLVO BOTE 142G (24)" u="1"/>
        <s v="NSK BIC ENCENDEDOR J6 MAXI (75)" u="1"/>
        <s v="BEST GALLETA FRESA 24X12X22G (24)" u="1"/>
        <s v="QUA YUS TAMARINDO 9X15X28g" u="1"/>
        <s v="TERMO GABACHA #2 (12)" u="1"/>
        <s v="YAES LECHE DE COCO 400ml (24)" u="1"/>
        <s v="YAES ROSTIZADOR BOLSA 453G (24)" u="1"/>
        <s v="YAES ROSTIZADOR EMPAN POLLO 90G (100)" u="1"/>
        <s v="FOS FOSFOROS MADERA GALLO 10X10" u="1"/>
        <s v="XHC PFS CENTELLA CHIBOLONA AMARILLA 4X3X375G" u="1"/>
        <s v="PONDS CR  50G C PEPINO (24)" u="1"/>
        <s v="AXE AERO BS DARK TEMPT 12X97G" u="1"/>
        <s v="XHC DIN ZIXX JAB BLANCO 400G (6)" u="1"/>
        <s v="XHC DIN ZIXX JAB AZUL 400G (6)" u="1"/>
        <s v="REXONA AERO V8 12X58G" u="1"/>
        <s v="FOOD KNORR SOPA COST CRIOL C/FID 12X12X55G (144)" u="1"/>
        <s v="ALD YOGUETA MILK 16X24 (15G)" u="1"/>
        <s v="ALD PIN POP ICE 16X24 (15G)" u="1"/>
        <s v="BYB CONCENTRADO DE HORCHATA 24/225 ml" u="1"/>
        <s v="BYB CONCENTRADO DE MORA 12/678 ml" u="1"/>
        <s v="BYB SALSA INGLESA PLASTICA 24/152 ml" u="1"/>
        <s v="BYB SALSA SOYA PLASTICA 24/152 ml" u="1"/>
        <s v="DCASA HEINZ PERA FLEX 24X113G" u="1"/>
        <s v="DCASA HEINZ FRUTA MIX FLEX 24X113G" u="1"/>
        <s v="DCASA PAPEL ENCANTO MIL HOJAS ROLLO (24)" u="1"/>
        <s v="BONI IAK FUN C TETRA MELOCOTON 200ML" u="1"/>
        <s v="IAK DUCAL FRIJ CHUB ROJO ENT 1.82kgs (6)" u="1"/>
        <s v="IAK DUCAL FRIJ CHUB NEGR ENT 1.82kgs (6)" u="1"/>
        <s v="IAK KERNS COCT VEGET ALMEJA 1LT (12)" u="1"/>
        <s v="IAK DUCAL BEB ALUMIN MANZ 330ml (24)" u="1"/>
        <s v="NSK BIC RASURADORA SHAVER SENS 24 (48)" u="1"/>
        <s v="NSK LAV AXION TARRO 235g (48)" u="1"/>
        <s v="BEST BOTE CHOCOGOL 150u (12)" u="1"/>
        <s v="YAES MUCHO NACHO ROSTIZADO 180G (8)" u="1"/>
        <s v="YAES MUCHO NACHO ROSTIZADO 390G (12)" u="1"/>
        <s v="QUA BONTEA DURAZNO 10X12X30G" u="1"/>
        <s v="QUA SAVILOE 12X500ML (UNIDAD)" u="1"/>
        <s v="DIN MAZOLA ACEITE DYP 400ml (24)" u="1"/>
        <s v="SEDAL SH 340 ML LISO PERFECTO (12)" u="1"/>
        <s v="ALD YOGUETA COOKIES &amp; CREAM 16X24 (15G)" u="1"/>
        <s v="ALD PIN POP BLACK CHERRY 16X24 (15G)" u="1"/>
        <s v="ARE SABUESO ADULTO 50 LBS" u="1"/>
        <s v="BEST CHOCOFRUTA TABLETA 32X300G" u="1"/>
        <s v="BEST GALLETA CHAPETIN 24X12 (24)" u="1"/>
        <s v="BYB MAYONESA CLASICA BOLSA 16/880g" u="1"/>
        <s v="BYB MIEL DE MAPLE GARRAFA 24/330 ml" u="1"/>
        <s v="BYB MOSTAZA BOLSA 48/200g" u="1"/>
        <s v="BYB MOSTAZA BOLSA 32/390g" u="1"/>
        <s v="BYB SALSA PICAMAS VERDE BOLSA 48/100g" u="1"/>
        <s v="IAK DUCAL FRIJ ROJO DyP 8oz (24)" u="1"/>
        <s v="IAK GOYA MAIZ ENTERO 15.25 ONZ (24)" u="1"/>
        <s v="IAK KERNS 330ml NECT PERA (24)" u="1"/>
        <s v="BEST CHOCOPANDA CHOCOLATE 25X12X14G" u="1"/>
        <s v="PORFIN MARGARINA ORISOL 400gr (24)" u="1"/>
        <s v="FOS ENCENDEDOR FRAGATA 40x25" u="1"/>
        <s v="AXE AERO BS EXCITE 12X97G" u="1"/>
        <s v="BEST GALLETA CHOCOLATE 24X12X20G (24)" u="1"/>
        <s v="DCASA HEINZ MANZANA FLEX 24X113G" u="1"/>
        <s v="DCASA HEINZ CIRUELA/PASAS FLEX 24X113G" u="1"/>
        <s v="DM ESCOBA FLASH FIBER (UNIDAD)" u="1"/>
        <s v="BONI PD EXHIBIDOR PEDIALYTE" u="1"/>
        <s v="IAK DUCAL BEB ALUMIN MELOC 330ml (24)" u="1"/>
        <s v="IAK DUCAL BEB HOJALAT PIÑA 154ml (48)" u="1"/>
        <s v="FOOD HELLMANNS MAY DP 12X100G" u="1"/>
        <s v="DIN SOPA ISSIMA POLLO (12)" u="1"/>
        <s v="AXE AERO BS APOLLO 12X97G" u="1"/>
        <s v="FOOD HELLMANNS MAY DP 12X190G" u="1"/>
        <s v="ALD BIAGI CARAMELO 16X100" u="1"/>
        <s v="BEST BOTE CONITO CHOCOLATE 80u (12)" u="1"/>
        <s v="BYB MAYONESA CLASICA ALMOHADITA 48/100g" u="1"/>
        <s v="BYB SALSA INGLESA PLASTICA 48/3.5onz" u="1"/>
        <s v="IAK DUCAL FRIJ NEGR DyP 40oz (12)" u="1"/>
        <s v="NSK SUAVITEL ROSADO 6X12X80ML" u="1"/>
        <s v="KELL CORN FLAKES 16X500 (16)" u="1"/>
        <s v="XHC PFS CENTELLA CHIBOLONA AVENA 4X3X375G" u="1"/>
        <s v="ALC ORO MAY HARIN MAIZ BLANC 50LBS (1)" u="1"/>
        <s v="ALC CR AVEN HOJUELA 12U 300g" u="1"/>
        <s v="AXE AERO BS COLLISION 12X97G" u="1"/>
        <s v="DIN SOPA ISSIMA POLLO CON CHILE (12)" u="1"/>
        <s v="SCH DOVE SH HIDRA Y SUAVI (ANTICASPA) 24X28X10ML" u="1"/>
        <s v="ARE SABUESO CACHORRO 44 LBS" u="1"/>
        <s v="BEST CHOCOFRUTA 10X1400G (10)" u="1"/>
        <s v="NSK LAV DOÑA BLANCA CIL 400g (20)" u="1"/>
        <s v="NSK COLGATE DOBLE FRESCURA 150ML (72)" u="1"/>
        <s v="DIN MAZOLA MARGARINA  AJO/HIERBAS 400GR (24)" u="1"/>
        <s v="XHC DOVE JAB CUIDA PROTEGE 48X90G" u="1"/>
        <s v="SCH DOVE SH OLEO NUTRI 24X28X10ML" u="1"/>
        <s v="XHC XEDEX DESIN LAVANDA DYP 24X425ML" u="1"/>
        <s v="ALD SONETTO SURTIDO 16X100 (4G)" u="1"/>
        <s v="BEST GALLETA FRESA 24X12X20G (24)" u="1"/>
        <s v="BYB CHILE JALAPEÑO SEMIPICANTE BOLSA 12/320g" u="1"/>
        <s v="BONI UL PALANGANA" u="1"/>
        <s v="IAK DUCAL BEB ALUMIN PERA 330ml (24)" u="1"/>
        <s v="NSK LAV AXION LIMON TIRA 115g (6)" u="1"/>
        <s v="XHC PFS CENTELLA CAMPEON BLANCO 6X4X330G" u="1"/>
        <s v="FOOD KNORR SOPA GAL C/ARROZ CHIP 12X12X55G (144)" u="1"/>
        <s v="PONDS CR  50G S HUMECTANTE NUTRITIVA (24)" u="1"/>
        <s v="AXE AERO BS FUSION 12X97G" u="1"/>
        <s v="AXE AERO BS ICE CHILL 12X97G" u="1"/>
        <s v="SCH SEDAL SH HIALURONICO Y VIT C 24X28X15ML" u="1"/>
        <s v="BYB SALSA T/KETCHUP ALMOHADITA 48/215g" u="1"/>
        <s v="BYB SALSA MILTOMATE SEMI SQUEZZE 24/370g" u="1"/>
        <s v="BONI IAK DUCAL FRIJOL NEGRO DyP 8 ONZ" u="1"/>
        <s v="BONI YAES CHARROS SALSA ROJA" u="1"/>
        <s v="IPR LOZANO MANZANA 3.2L (6)" u="1"/>
        <s v="NSK COLGATE TRIP ACCION 75 ML+CEPIL (72)" u="1"/>
        <s v="QUA NUTRIBELA TARRO 12X300ml" u="1"/>
        <s v="YAES ROSTIZADOR MARISCO 100G (24)" u="1"/>
        <s v="EGO GEL POWER 4x6x200 ML+5 SCH" u="1"/>
        <s v="UL CR RIZOS 3 SACHET" u="1"/>
        <s v="NSK COLGATE DOBLE FRESC 75ML+CEPIL (72)" u="1"/>
        <s v="SCH DOVE SUPER AC 60 20X12X12ML (20)" u="1"/>
        <s v="FOOD NATURAS SALSA SABOR POLLO 96X100G" u="1"/>
        <s v="BYB CONCENTRADO DE HORCHATA DISPLAY 6/12u" u="1"/>
        <s v="ALC ORO MAY HARIN MAIZ BLANC 400G (20)" u="1"/>
        <s v="EGO GEL POWER 4X6X110ML" u="1"/>
        <s v="SCH SEDAL SH CERAMIDAS 24X28X10ML" u="1"/>
        <s v="DOVE STICK CUIDADO TOTAL 12X50G" u="1"/>
        <s v="UNS BOMBILLO LED 9 WATTS (50)" u="1"/>
        <s v="TERMO BOLSA TRANSPARENTE 2 Lbs (36)" u="1"/>
        <s v="TERMO BOLSA TRANSPARENTE 5 Lbs (20)" u="1"/>
        <s v="TERMO PAJILLA TRANSPARENTE (50)" u="1"/>
        <s v="PONDS CR 100G  C PEPINO (24)" u="1"/>
        <s v="FOOD NATURAS PASTA TRADICIONAL 96X90G" u="1"/>
        <s v="BONI IAK DUCAL FRIJ DyP 4oz (24)" u="1"/>
        <s v="QUA YUS TE FRIO FRAMBUESA 9X15X28g" u="1"/>
        <s v="FOOD NATURAS SSA TOMATE RANCHERA 24X200G" u="1"/>
        <s v="BYB CONCENTRADO DE HORCHATA 4/3786 ml" u="1"/>
        <s v="BONI DIN MARGARINA MAZOLA 400G (24)" u="1"/>
        <s v="QUA BONTEA LIMON 10X12X30G" u="1"/>
        <s v="ARE SABUESO ADULTO 44 LBS" u="1"/>
        <s v="ALC ORO MAY HARIN MAIZ BLANC 5LB (6)" u="1"/>
        <s v="KELL CHOCO KRISPIS 54X115G (54)" u="1"/>
        <s v="PONDS CR 100G S HUMECTANTE NUTRITIVA (24)" u="1"/>
        <s v="DOVE AERO CUIDADO TOTAL 12X89G" u="1"/>
        <s v="REXONA AERO WOMAN TONO PERFECTO 12X90G" u="1"/>
        <s v="EGO GEL ATTRAC 4X6X110ML" u="1"/>
        <s v="FOOD NATURAS SALSA TOMATE JALAPENO 96X90G" u="1"/>
        <s v="BYB CHILE JALAPEÑO PICANTE BOLSA 12/320g" u="1"/>
        <s v="NSK SUAVITEL COMPL PRIMAV 1X2X36UNDS+6UNDS" u="1"/>
        <s v="XHC UNS DETERGENTE PURO SOL 250gr (40)" u="1"/>
        <s v="TERMO BOLSA DE BASURA NEGRA 24X35 (100)" u="1"/>
        <s v="XHC XEDEX MAX POD FRUTOS BOSQUE 13X800G" u="1"/>
        <s v="BYB SALSA PICAMAS VERDE JUMBO PLASTICO 24/19oz" u="1"/>
        <s v="IAK DUCAL FRIJ ROJO LAT 29oz (12)" u="1"/>
        <s v="XHC PFS CENTELLA CHIBOLONA AZUL 4X3X375G" u="1"/>
        <s v="ALC CR AVEN MOLIDA 12U 300g" u="1"/>
        <s v="BYB CONCENTRADO DE TAMARINDO 24/225 ml" u="1"/>
        <s v="BYB SALSA PICAMAS VERDE BOLSA 48/223g" u="1"/>
        <s v="IPR LOZANO UVA 3.2L (6)" u="1"/>
        <s v="IAK DUCAL FRIJ CARNICOS LAT 28oz (12)" u="1"/>
        <s v="XHC DIN VENZA JABON AVENA 110g (72)" u="1"/>
        <s v="XHC DIN VENZA JABON SABILA 110g (72)" u="1"/>
        <s v="XHC DIN VENZA JABON FRESCURA EXTR 110g (72)" u="1"/>
        <s v="REXONA STICK CLIN EXTRA DRY EXP 12X46G" u="1"/>
        <s v="BONI PROMOV" u="1"/>
        <s v="IAK DE MI TIERRA FRIJ VOLT NEGRO 35OZ DP (12)" u="1"/>
        <s v="BYB CONCENTRADO DE TAMARINDO 4/3785 ml" u="1"/>
        <s v="BONI ARE PALITA SABUESO" u="1"/>
        <s v="BONI YAES CHARROS SALSA VERDE" u="1"/>
        <s v="IAK KERNS JUNIOR PERA TETR 200ml (24)" u="1"/>
        <s v="XHC XEDEX DESIN CITRICOS DYP 24X425ML" u="1"/>
        <s v="PONDS CR 50G CLARANT B3 GRASA (24)" u="1"/>
        <s v="REXONA STICK MEN V8 12X50G" u="1"/>
        <s v="FOS PALITO CHOCOBANANO EL SOL 36X150u" u="1"/>
        <s v="KELL ZUCARITAS MINI SCH 5X12X20G" u="1"/>
        <s v="PONDS CR 50G CLARANT B3 SECA (24)" u="1"/>
        <s v="UNS BOMBILLO LED 9 Watt" u="1"/>
        <s v="QUA JUGOS YA FRUTAS TROPICALES 10X15" u="1"/>
        <s v="FOOD NATURAS SSA TOMATE QUESO 24X200G" u="1"/>
        <s v="DIN ISSIMA MARGARINA 400gr (24)" u="1"/>
        <s v="SCH QUA NUTRIBELA 10 48X6X27ML" u="1"/>
        <s v="EGO GEL CONTROL CAIDA 24X230ML (24)" u="1"/>
        <s v="XHC XEDEX MAX POD FRUTOS BOSQUE 30X400G" u="1"/>
        <s v="ALD BIAGI CAFE 16X100" u="1"/>
        <s v="IAK KERNS TE LIMON 2500ML (6)" u="1"/>
        <s v="AXE AERO BS GOLD TEMPTATION 12X97G" u="1"/>
        <s v="AXE AERO AP COLLISION 12X90G" u="1"/>
        <s v="FOOD NATURAS FRIJOL NEGRO VOLT 24X210G" u="1"/>
        <s v="BONI IAK CUCHARON PLASTICO" u="1"/>
        <s v="IAK GOYA MAIZ ENTERO 8.75 ONZ (24)" u="1"/>
        <s v="QUA FRUTY FRESCO 6+6 (12)" u="1"/>
        <s v="UNS CAR MENTOLADO JAAZZ CLOROFILA 100und (30)" u="1"/>
        <s v="REXONA STICK WOMAN ANTIBAC FRESH 12X50G" u="1"/>
        <s v="XHC DIN ZIXX JAB AMARILLO 400G (6)" u="1"/>
        <s v="TERMO GABACHA MINI/PIWI (26)" u="1"/>
        <s v="DOVE AERO AP CALENDULA 12X87G" u="1"/>
        <s v="DOVE AERO AP COCO 12X87G" u="1"/>
        <s v="DOVE AERO ORQUIDEA 12X87G" u="1"/>
        <s v="BONI SAVILOE UND 12X320ML" u="1"/>
        <s v="NSK LAV DOÑA BLANCA CIL TIRA 170g (6)" u="1"/>
        <s v="AXE AERO AP ICE CHILL 12X88G" u="1"/>
        <s v="IAK DUCAL FRIJ NEGR DyP 96oz (6)" u="1"/>
        <s v="DOVE AERO ORIGINAL 12X89G" u="1"/>
        <s v="IAK KERNS 157mL COCTEL VEGETALES (48)" u="1"/>
        <s v="NSK BIC ENCENDEDOR MAXI J6 CARTON 15+3 (20)" u="1"/>
        <s v="UNS GALLE CAFE COFFEE JOY 6x18x45gr" u="1"/>
        <s v="FOS CERILLO GALLO 10X10" u="1"/>
        <s v="AXE AERO BS EPIC FRESH 12X97G" u="1"/>
        <s v="UNS GOMA DE MASCAR TUMIX SURTIDO 30x110x1.4g" u="1"/>
        <s v="SCH SEDAL CR PEIN KERAT 24X28X10ML" u="1"/>
        <s v="SCH SEDAL SH NEGRO LUMINOSO 24X28X9ML" u="1"/>
        <s v="PD PEDIALYTE UVA 60 MEQ 500ML (12)" u="1"/>
        <s v="ALD PIN POP SENSATIONS 16X24 (17G)" u="1"/>
        <s v="EGO GEL ATTRAC 4/6/200ML+5 SCH" u="1"/>
        <s v="SEDAL SH 340 ML RIZOS DEFINIDOS (12)" u="1"/>
        <s v="IAK KERNS SALSITA CARNE 106GR DP (24)" u="1"/>
        <s v="BEST MENTAS 50X12X13g (50)" u="1"/>
        <s v="DIN MAZOLA MARGARINA BARRA 6X5X400gr (24)" u="1"/>
        <s v="SCH SEDAL CR LISO PERFECTO 24X28X10ML" u="1"/>
        <s v="SCH SEDAL SH NEGRO LUM 24X28X10ML" u="1"/>
        <s v="XHC XEDEX DESIN LAVANDA DYP 12X750ML" u="1"/>
        <s v="BYB CONCENTRADO DE JAMAICA 12/678 ml" u="1"/>
        <s v="PONDS CR 100G CLARANT B3 GRASA (24)" u="1"/>
        <s v="FOS PALILLOS MADERA 12X12X250u" u="1"/>
        <s v="XHC PFS MAX PODER ALOE 6X3X400G" u="1"/>
        <s v="DOVE AERO INVISIBLE DRY MEN 12X89G" u="1"/>
        <s v="BYB VINAGRE CLARO GALÓN PLASTICO 4/3785ml" u="1"/>
        <s v="DOVE AEROSOL AP ROSAS 12X87G" u="1"/>
        <s v="BONI PORFIN LIMPIOX AZUL 85g (72)" u="1"/>
        <s v="XHC DIN VENZA JABON VITAMINA E 110g (72)" u="1"/>
        <s v="FOOD KNORR SOPA GAL CRIOL C/FIDEOS 12X12X54G (144)" u="1"/>
        <s v="BYB SALSA BARBACOA DOY PACK 24/95g" u="1"/>
        <s v="ALD PLAY OSOS RELLENOS 55g (24)" u="1"/>
        <s v="DIN SOPA ISSIMA CAMARON (12)" u="1"/>
        <s v="BONI COCA COLA 355 ML" u="1"/>
        <s v="YAES MUCHO NACHO BARBACOA 16X12X17gr" u="1"/>
        <s v="XHC PFS LIMPIOX CILINDRO ALOE 18X320G" u="1"/>
        <s v="FOOD HELLMANNS MAY DYP 12X100G" u="1"/>
        <s v="FOOD HELLMANNS  MAY DYP 12X190G" u="1"/>
        <s v="BONI DIN CUBETA PLASTICA" u="1"/>
        <s v="DOVE AERO INVISIBLE DRY WOMAN 12X89G" u="1"/>
        <s v="SCH SAVILE SH ARGAN 24X28X15ML" u="1"/>
        <s v="BYB CONCENTRADO DE NARANJA 12/678 ml" u="1"/>
        <s v="BONI QUA NUTRIBELA 10 HIALURONICO 24X12X72ml" u="1"/>
        <s v="IPR MERMELADA PINA 12OZ (24)" u="1"/>
        <s v="DOVE MINIROLLON ORIGINAL 6X30ML" u="1"/>
        <s v="BEST CHOCOFRUTA 50x400G" u="1"/>
        <s v="BONI QUA NUTRIBELA 10 HIALURONICO (24)" u="1"/>
        <s v="NSK LAV DOÑA BLANCA CIL 250g (24)" u="1"/>
        <s v="EGO GEL POWER 6X30X15ML" u="1"/>
        <s v="BONI SOMBRILLAS PEDIALYTE" u="1"/>
        <s v="IAK KERNS TETRA NECT MANZ 1000ml (12)" u="1"/>
        <s v="IAK KERNS TETRA NECT MELOC 1000ml (12)" u="1"/>
        <s v="NSK LAVAPLATOS POTENSOL CILINDRO 400 GR (20)" u="1"/>
        <s v="BONI NSK 1 BOLSA KIT CEPILLO" u="1"/>
        <s v="NSK LAVAPLATOS AXION 235G UNIDAD (48)" u="1"/>
        <s v="NSK LAVAPLATOS AXION LIMON TIRA 115GR (6)" u="1"/>
        <s v="NSK LA MODERNA PASTA SPAGHETTI 60x200G" u="1"/>
        <s v="NSK LAVAPLATOS DOÑA BCA.CILINDRO 250 GR (24)" u="1"/>
        <s v="UNS BOMBILLO LED 12 Watt" u="1"/>
        <s v="YAES MUCHO NACHO QUESO 16X12X17gr" u="1"/>
        <s v="YAES GUENOS LIMON 4X12X20gr" u="1"/>
        <s v="XHC XEDEX P MAXIMO PODER 30X400G" u="1"/>
        <s v="BONI SAVILOE UND 12X320ML (NUTRIBELA)" u="1"/>
        <s v="NSK LAVAPLATOS POTENSOL MARQUETA 215GR (42)" u="1"/>
        <s v="SEDAL CR 300 ML PEIN RIZOS OBEDIENTES (12)" u="1"/>
        <s v="EGO GEL ATTRAC 4x6x200ML" u="1"/>
        <s v="DOVE STICK ORIGINAL 12X50G" u="1"/>
        <s v="EGO GEL CONTROL CAIDA 12X450ML" u="1"/>
        <s v="NSK COLGATE DOBLE FRESCURA 150ML" u="1"/>
        <s v="PONDS CR 100G REJUVENESS DIA (24)" u="1"/>
        <s v="PONDS POLVO COMP PIEL CLARA 16X12G" u="1"/>
        <s v="PONDS POLVO COMP AF CARIBE 16X12G" u="1"/>
        <s v="XHC PFS LIMPIOX CILINDRO LIMON 18X320G" u="1"/>
        <s v="XHC DIN ZIXX JAB AQUA 400G (6)" u="1"/>
        <s v="FOOD KNORR SOPA POLL VERD CODITO 12X12X54G (144)" u="1"/>
        <s v="SCH DOVE SH RECON COMPL SUP 24X28X10ML" u="1"/>
        <s v="SEDAL CR CERAMIDAS 12X300ML" u="1"/>
        <s v="XHC XEDEX MAX POD LIMON 30X400G" u="1"/>
        <s v="SEDAL SH 340 ML CERAMIDAS (12)" u="1"/>
        <s v="XHC XEDEX P MAXIMO PODER 31X115G" u="1"/>
        <s v="REXONA AERO ANTIBAC INVISIBLE MEN 12X90G" u="1"/>
        <s v="NSK LAVAPLATOS DOÑA BLANCA CILINDRO 400G (20)" u="1"/>
        <s v="DOVE STICK ROSAS 12X45G" u="1"/>
        <s v="ALD SONETTO CHOCOLATE BLANCO 16X100 (4G)" u="1"/>
        <s v="IPR MERMELADA MANZANA 12OZ (24)" u="1"/>
        <s v="IAK DUCAL FRIJ ROJO LAT 5.5oz (48)" u="1"/>
        <s v="XHC XEDEX P SUAVIZ B PRIMAV 30X115G" u="1"/>
        <s v="BONI IAK VASO PLASTICO KERNS" u="1"/>
        <s v="REXONA AERO CLIN ANTIBAC W 12X90G" u="1"/>
        <s v="PONDS POLVO COMP AF NATURAL2 16X12G" u="1"/>
        <s v="SEDAL SH 340 ML KERATINA C ANTIOX (12)" u="1"/>
        <s v="BONI BARRA MARGARINA MAZOLA 80g" u="1"/>
        <s v="XHC DIN ROKU JAB SALMON 400G (4)" u="1"/>
        <s v="SCH SEDAL SH LISO PERFECTO 24X28X10ML" u="1"/>
        <s v="REXONA AERO ACTIVE DRY 12X89G" u="1"/>
        <s v="PONDS CR 50G REJUVENESS (24)" u="1"/>
        <s v="CB CAFE BARISTA SOLUBLE 12X24X8g" u="1"/>
        <s v="BONI YAES MUCHO NACHO ARTESANAL 150gr" u="1"/>
        <s v="BONI YAES MUCHO NACHO NATURAL 75gr" u="1"/>
        <s v="BEST GALLETA MANI 24X12X22G (24)" u="1"/>
        <s v="YAES MUCHO NACHO SALSA DE QUESO 105 G (30)" u="1"/>
        <s v="XHC XEDEX DESIN CITRICOS SCH 5X12X100ML" u="1"/>
        <s v="BONI QUA YUS FRUTAS TROPICALES 9x15x28g" u="1"/>
        <s v="FOOD NATURAS PASTA TRADICIONAL 96X100G" u="1"/>
        <s v="ALD FRUNAS BARRA 18X50 (8,3)" u="1"/>
        <s v="REXONA STICK BAMBOO 12X50G" u="1"/>
        <s v="PONDS CR  45G C ORIGINAL (24)" u="1"/>
        <s v="PONDS CR 100G CLARANT B3 SECA (24)" u="1"/>
        <s v="REXONA STICK CLIN CLASSIC EXPERT 12X46G" u="1"/>
        <s v="REXONA AERO CLINICAL CLEAN MEN 12X90G" u="1"/>
        <s v="REXONA AERO CLINICAL EXTRA DRY 12X91G" u="1"/>
        <s v="DOVE STICK CALENDULA 12X50G" u="1"/>
        <s v="REXONA AERO AP POWDER DRY 12X89G" u="1"/>
        <s v="XHC XEDEX DESIN LAVANDA SCH 5X12X100ML" u="1"/>
        <s v="XHC XEDEX P PROTECCION COLOR 15X900G" u="1"/>
        <s v="XHC XEDEX P MAXIMO PODER LIMON 13X800G" u="1"/>
        <s v="XHC XEDEX MAXIMO PODER FRUTOS BOSQUE 13X800G" u="1"/>
        <s v="XHC XEDEX P MULTIACCION 20X250G" u="1"/>
        <s v="IAK KERNS TETRA NECT FRUTAS 1000ml (12)" u="1"/>
        <s v="DCASA HEINZ POSTRE  FLEX 24X113G" u="1"/>
        <s v="IQUI CLORO MAGICLOR POPULINO 1X4X12 220ML" u="1"/>
        <s v="NSK LA MODERNA SPAGHETTI QUESO 20x200G" u="1"/>
        <s v="TERMO BOLSA TRANSPARENTE 3 Lbs (30)" u="1"/>
        <s v="SCH SAVILE SH 2EN1 24X28X15ML" u="1"/>
        <s v="DOVE STICK GO FRESH PEPINO" u="1"/>
        <s v="NSK DOÑA BLANCA CILINDRO 400G (20)" u="1"/>
        <s v="NSK COLGATE KIT DE CEPILL 1X24TX6UNDS" u="1"/>
        <s v="REXONA AERO CLIN ANTIB MEN 12X91G" u="1"/>
        <s v="XHC DOVE JAB BABY HUMECTANTE 48X75G" u="1"/>
        <s v="AXE STICK TRANS COLLISION 12X54G" u="1"/>
        <s v="EGO GEL ATTRAC 6/1000ML" u="1"/>
        <s v="REXONA AERO CLEAN CLASSIC WOMAN 12X91G" u="1"/>
        <s v="NSK LAVAPLATOS DOÑA BCA.CILINDRO 170GR(6)" u="1"/>
        <s v="BEST GALLETA CHOCOLATE 24X12X22G (24)" u="1"/>
        <s v="BYB SALSA INGLESA PLASTICO 4/3850 ml" u="1"/>
        <s v="BYB MAYONESA EXTRAMAYO 32/375g" u="1"/>
        <s v="REXONA STICK CLIN SPORT STRENGTH 12X46G" u="1"/>
        <s v="FOOD MAIZENA FECULA MAIZ NATURAL 20X20X45G (400)" u="1"/>
        <s v="XHC XEDEX P SUAVIZ YLANG 15X900G" u="1"/>
        <s v="XHC XEDEX P SUAV B PRIMAV 15X900G" u="1"/>
        <s v="XHC XEDEX P MAXIMO PODER FRUTOS DEL BOSQUE 13X800G" u="1"/>
        <s v="NSK LAVAPLATOS  POTENSOL MARQUETA 215GR (42)" u="1"/>
        <s v="XHC DIN ROKU JAB AMARILLO 400G (4)" u="1"/>
        <s v="DOVE STICK EXTRA FRESH 12X50G" u="1"/>
        <s v="BEST COCOA CHOCOPANDA 24X12X20G" u="1"/>
        <s v="BYB SALSA BARBACOA PLAST 12/32oz" u="1"/>
        <s v="BYB MAYONESA EXTRAMAYO BOLSA 4/3000g" u="1"/>
        <s v="BONI QUA SAVILOE UND 500ML (12)" u="1"/>
        <s v="XHC XEDEX P SUAVIZ YLANG 30X115G" u="1"/>
        <s v="UNS DULCE KOPIKO CAPUCCINO BOTE 200und (6)" u="1"/>
        <m u="1"/>
        <s v="AXE AERO BS COLLISION 12X90G" u="1"/>
        <s v="FOOD MAIZENA FECULA MAIZ  FRESA 16X12X45G (192)" u="1"/>
        <s v="BONI EGO POWER 110ML TARRO (24)" u="1"/>
        <s v="ALC ORO MAY HARIN MAIZ BLANC 2LB (9)" u="1"/>
        <s v="NSK BANDIDO VAINILLA DOCENA (24)" u="1"/>
        <s v="SEDAL AC 340 ML RIZOS DEFINIDOS (12)" u="1"/>
        <s v="XHC XEDEX DESIN FRUTOS CITRICOS SCH 5X12X100ML" u="1"/>
        <s v="XHC XEDEX MULTIACCION PVO 30x115G" u="1"/>
        <s v="DOVE STICK COCO 12X50G" u="1"/>
        <s v="BYB CHILE JALAPEÑO LA CONTENTA 48/180g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BONI ALC ARROZ MACARENA PRECOCIDO 400g (25)" u="1"/>
        <s v="GRIPETIN GRIPE Y TOS - 12 SOBRES" u="1"/>
        <s v="XHC LIMPIOX CILINDRO ALOE 18X320G" u="1"/>
        <s v="AXE AERO AP URBAN 48H ABP 12X90G" u="1"/>
        <s v="QUA JUGOS YA LIMON 10X15" u="1"/>
        <s v="ALD SONETTO CHOCOLATE BLANCO 16X110u (16)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EGO GEL CONTROL CAIDA 6X30X12ML" u="1"/>
        <s v="BEST BOTONETAS CHOCOLATE 20X24X11.5G (20)" u="1"/>
        <s v="EGO GEL CONTROL CAIDA 3X8X110ML" u="1"/>
        <s v="BEST CHOCOFRUTA TABLETA 410 GRS 1X24" u="1"/>
        <s v="GOMITAS 4 OSOS GRANDES 14GR 12X2X20X4" u="1"/>
        <s v="KMD EL ARTESANO SALSA CHILTEPE 95g" u="1"/>
        <s v="FOOD MAIZENA FECULA MAIZ VAINILLA 16X12X45G (192)" u="1"/>
        <s v="BEST CARAMELO DURO SURTIDO 30 X 100 UND" u="1"/>
        <s v="XHC PFS MAX MB BLANC/VERD DUOX 6X3X540G" u="1"/>
        <s v="IPR MIEL MAPLE 360ML" u="1"/>
        <s v="QUA JUGOS YA MORA 10X15" u="1"/>
        <s v="REXONA AERO CLINICAL CLASSIC WOMAN 12X90G" u="1"/>
        <s v="EGO GEL CONTROL CAIDA 2X6X200ML" u="1"/>
        <s v="BONI XTREME GEL 100g" u="1"/>
        <s v="IAK KERNS JUNIOR UVA TETR 200ml (24)" u="1"/>
        <s v="BYB MAYONESA EXTRAMAYO 48/100g" u="1"/>
        <s v="PONDS CR  50G CLARANT B3 GRASA (24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ONI QUA AVENA ESTRELLA 360G" u="1"/>
        <s v="BYB SALSA PICAMAS ALMOHADITA 48/110 g" u="1"/>
        <s v="MA AVENA INTEGRAL 25X300G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BONI GORRAS PEDIALYTE" u="1"/>
        <s v="XHC CENTELLA CHIBOLONA VERDE 4X3X400G" u="1"/>
        <s v="SCH SEDAL SH SOS CASPA 12X24X10ML+4" u="1"/>
        <s v="BONI ALC ORO MAYA 400GR" u="1"/>
        <s v="ARE ARECANA ADULTO 50 LBS" u="1"/>
        <s v="NSK LA MODERNA MOÑO 42x180G" u="1"/>
        <s v="BEST CONITO DYP 90X10X5G (90)" u="1"/>
        <s v="REXONA AERO ANTIBAC INVISIBLE MEN ADVANCE 12/90G" u="1"/>
        <s v="XHC LIMPIOX CILINDRO LIMON 18X320G" u="1"/>
        <s v="REXONA STICK MEN INVISIBLE 12X50G" u="1"/>
        <s v="BONI NSK  KIT DE CEPILLADO COLGATE UND" u="1"/>
        <s v="NSK BIC RASURADORA CONFORT 2 12+2 (48)" u="1"/>
        <s v="REXONA STICK AP SPORFAN 12X50G" u="1"/>
        <s v="XHC XEDEX P MAXIMO PODER 30X450G" u="1"/>
        <s v="AMS Pañal Super Lucca Grande 4X50" u="1"/>
        <s v="NSK FRUTY DULCE BOLSA 17" u="1"/>
        <s v="XHC PFS CENTELLA AVENA 4X3X375G" u="1"/>
        <s v="ALD YOGUETA CHOCOCARAMEL 1x24u (16)" u="1"/>
        <s v="BONI NSK BANDIDO UNIDAD" u="1"/>
        <s v="GRECO CANASTICAS GALLETA MORA ROJA 270gr (24)" u="1"/>
        <s v="NSK HOT CAKE CAJA 12x500G" u="1"/>
        <s v="XHC PFS MAX PODER VERDE LIMON 6X3X400G" u="1"/>
        <s v="BYB MAYONESA EXTRAMAYO 48/200g" u="1"/>
        <s v="BONI IAK KERNS COCTEL VEGETALES 157ML" u="1"/>
        <s v="BONI PLAST BANCO" u="1"/>
        <s v="REXONA CLINICAL CLEAN SCENT 12X48G" u="1"/>
        <s v="BONI DINANT PLATO PLASTICO" u="1"/>
        <s v="IAK KERNS KETCHUP SALSA GALON (3)" u="1"/>
        <s v="FOOD NATURAS JUMB SSA RANCH 24X100G" u="1"/>
        <s v="EGO GEL POWER 8X30X15ML+GEL 200ML" u="1"/>
        <s v="FOOD MAIZENA FECULA MAIZ NATURAL 20X20X45G" u="1"/>
        <s v="FOOD MAIZENA FECULA MAIZ NATURAL 20X20X47G" u="1"/>
        <s v="DOVE STICK GO FRESH PEPINO 12X50G" u="1"/>
        <s v="IAK DUCAL FRIJ ROJO PICANT DyP 14oz (18)" u="1"/>
        <s v="GOMITAS LIMON Y CHILE 20GR 12X2X10X4" u="1"/>
        <s v="GRECO INTEGRAL AVENA FRUTOS ROJOS 156gr (24)" u="1"/>
        <s v="BEST CHOCOPANDA CAJA CHOCOLATE 285G (36)" u="1"/>
        <s v="YAES ROSTIZADOR 18/453G" u="1"/>
        <s v="BONI UL NATURAS POLLO 36G (36)" u="1"/>
        <s v="XHC PFS CENTELLA CHIBOLONA BLANCA 6X3X400G" u="1"/>
        <s v="DCASA GELATINA POLVO FRESA 450G (25)" u="1"/>
        <s v="DCASA GELATINA POLVO LIMON 450G (25)" u="1"/>
        <s v="BONI UL MAYO HELLMANS 70G" u="1"/>
        <s v="AMS PAPEL HIG MAX PAP 8X6 DORADO NEGRO HT" u="1"/>
        <s v="IAK ADAN Y EVA FRUTOS ROJOS 350ML LAT (24)" u="1"/>
        <s v="SCH SEDAL CR PEIN RIZ OBED 24X28X10ML" u="1"/>
        <s v="BONI QUA GALLETA BEST MANI 24X12" u="1"/>
        <s v="AMS TOALLA HUMEDA LUCCA FRESH 12X350G" u="1"/>
        <s v="PD PEDIALYTE COCO 60 MEQ 500ML (12)" u="1"/>
        <s v="NSK LYSOL DESINFECTANTE MULTIUSOS SPRAY" u="1"/>
        <s v="BONI UL AZUCAR MORENA 230G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XHC DIN ROKU JAB AQUA 400G (4)" u="1"/>
        <s v="BONI IAK FUN C TETRA MANZANA 200ML" u="1"/>
        <s v="IAK KERNS SALSITA RANCHERA 106GR DP (24)" u="1"/>
        <s v="EGO GEL POWER 4x6x200 ML" u="1"/>
        <s v="IPR LOZANO UVA 500ML" u="1"/>
        <s v="XHC PFS COLOSO MARQUETA 40X225G" u="1"/>
        <s v="XHC XEDEX P MAXIMO PODER 13X900G" u="1"/>
        <s v="BEST BOTE CONITO CHOCOLATE 70u (12)" u="1"/>
        <s v="REXONA AERO SPORFAN 12X90G" u="1"/>
        <s v="BONI SH SAVILE BIOTINA DISPLAY" u="1"/>
        <s v="FRV GRIPETIN GRIPE Y TOS - 12 SOBRES" u="1"/>
        <s v="SCH SAVILE CR RIZOS ARGAN 12X28X15ML" u="1"/>
        <s v="IPR MERMELADA PINA 12OZ" u="1"/>
        <s v="BONI QUA NUTRIBELA 10 24X12X27ML" u="1"/>
        <s v="GRECO INTEGRAL AVENA UVA Y CIRUELA 156gr (24)" u="1"/>
        <s v="FOOD MAIZENA ALMIDON MAIZ NATURAL 40X380G" u="1"/>
        <s v="XHC XEDEX P MAXIMO PODER 13X800G" u="1"/>
        <s v="NSK LAVAPLATOS AXION 235G UNIDAD  (48)" u="1"/>
        <s v="BONI QUA HARINA MASECA 400G" u="1"/>
        <s v="BEST CARAMELO BLANDO DE LECHE 16 X 100 UND" u="1"/>
        <s v="BONI GORRA ALDOR" u="1"/>
        <s v="NSK BIC RASURADORA SHAVER SENS 24+4 (24)" u="1"/>
        <s v="BONI NSK SPAGHETTI 60x200G" u="1"/>
        <s v="NSK LA MODERNA PASTA TORNILLO 42x200G" u="1"/>
        <s v="IAK ADAN Y EVA LIMON JEMGIBRE 355ML LAT (24)" u="1"/>
        <s v="BEST CHOCOGOL DYP 50X15X5g (50)" u="1"/>
        <s v="XHC XEDEX P SUAVIZ B PRIMAV 30X125G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BEST CARAMELO BLANDO ZUMO SURTIDO 16 X 100 UND" u="1"/>
        <s v="AMS TOALLA HUMEDA LUCCA FAMILIAR 12X80" u="1"/>
        <s v="XHC MAX PODER AZUL  6X3X425G" u="1"/>
        <s v="UNS DULCE KOPIKO CAFE BOTE 200und (6)" u="1"/>
        <s v="BYB MAYONESA BOLSA 48/100g" u="1"/>
        <s v="IQUI CLORO MAGICLOR POPULINO 1X4X12 235ML" u="1"/>
        <s v="BEST RODAJAS JAL 24/215G" u="1"/>
        <s v="XHC PFS MAX MB BLANCA 6X3X540G" u="1"/>
        <s v="AMS PAPEL HIG LUCCA 24X1X168 NARANJA HD" u="1"/>
        <s v="AMS TOALLA DE COCINA MAX PAPEL 12X2X240HD BAJA" u="1"/>
        <s v="BYB SALSA PICAMAS VERDE PLASTICO 24/200g" u="1"/>
        <s v="NSK LAVAPLATOS AXION MAQUETAS 250 GR (42)" u="1"/>
        <s v="NSK LAVAPLATOS AXION MARQUETA 250 GR (42)" u="1"/>
        <s v="UNS GOMA DE MASC. AGOGO CENT. LIQ.SURT. 16x44x8.3gr" u="1"/>
        <s v="SEDAL SH 340 ML NEGROS LUMINOSOS (12)" u="1"/>
        <s v="XHC VENZA JABON AVENA 110g (72)" u="1"/>
        <s v="TERMO BOLSA DE BASURA NEGRA 24X35" u="1"/>
        <s v="TERMO GABACHA #1" u="1"/>
        <s v="XHC MAX PODER AMARILLO 6X3X400G" u="1"/>
        <s v="BONI ROLLO PAPEL HIGIENICO" u="1"/>
        <s v="TERMO BOLSA TRANSPARENTE 1 Lbs (60)" u="1"/>
        <s v="BEST FRUTIBOTONETAS TROPICAL 20Ctx24U 25G" u="1"/>
        <s v="BYB MAYONESA BOLSA 48/200g" u="1"/>
        <s v="BEST CHOCOFRUTA 50X400G (50)" u="1"/>
        <s v="XHC XEDEX JAB LIQ FLORAL DYP 12X450ML" u="1"/>
        <s v="FOOD LIPTON TE MANZANILLA MIEL 24X20BLS" u="1"/>
        <s v="BONI AMSA PAQ TOALLA HUMEDA BEBIN 40 UND" u="1"/>
        <s v="QUA JUGOS YA NARANJA 10X15" u="1"/>
        <s v="FOOD KNORR SOPA GAL CRIOL C/FIDEOS 12X12X54G" u="1"/>
        <s v="QUA JUGOS YA MANGO 10X15" u="1"/>
        <s v="AXE AERO BS EXCITE 12X90G" u="1"/>
        <s v="FOOD MAIZENA FECULA MAIZ  FRESA 16X12X45G" u="1"/>
        <s v="XHC MAX PODER AZUL 6X4X350G" u="1"/>
        <s v="IAK KERNS SALSITA HONGOS 106GR DP (24)" u="1"/>
        <s v="SEDAL CR 300 ML PEIN KERATINA Y ANTIOX (12)" u="1"/>
        <s v="LC GOMITAS 10X12X5" u="1"/>
        <s v="FOOD MAIZENA FECULA BAN/FRESA/VAIN 16X12X47G" u="1"/>
        <s v="UNS CHOC. TUBITO CHOKI CHOKI CHOCMAR 6x20" u="1"/>
        <s v="BEST MENTA GLACIAL 30 BOLSAS DE 100 UNIDADES" u="1"/>
        <s v="XHC VENZA JABON SABILA 110g (72)" u="1"/>
        <s v="REXONA STICK MEN ANTIBAC 12X50G" u="1"/>
        <s v="SCH DOVE SH OLEO NUTRI 12X24X10ML" u="1"/>
        <s v="ALD PIN POP FRESA 16X24u (16)" u="1"/>
        <s v="ALD PIN POP MANGO 16X24u (16)" u="1"/>
        <s v="DCASA MIRASOL 12X4X90G (12)" u="1"/>
        <s v="XHC MAX PODER AZUL 6X4X330G" u="1"/>
        <s v="AXE AERO BS APOLLO 12X90G" u="1"/>
        <s v="AMS PAPEL HIGENICO LUCCA 6X4X1000 MEJOR HD" u="1"/>
        <s v="ALD PIN POP SENSAT CHICLE SABOR SURTI 1x24u (16)" u="1"/>
        <s v="DCASA GELATINA POLVO UVA 450G (25)" u="1"/>
        <s v="BONI COLADOR" u="1"/>
        <s v="IQUI CLORO BLANCO SOL 1/2 GALON (6)" u="1"/>
        <s v="SCH REXONA CLIN DEO CLAS W 12X8X8G+SCH (12)" u="1"/>
        <s v="PONDS CR  50G REJUVENESS (24)" u="1"/>
        <s v="AMS ALCOHOL GEL ANTIBAC. CLT 12X440ML (12)" u="1"/>
        <s v="XHC MAX BLANC/NARAN DUOX 6X4X330G" u="1"/>
        <s v="XHC REXONA JAB ANTIBAC LIMP PROF 48X125G" u="1"/>
        <s v="BEST FRUTI BOTONETAS ACIDITAS 20X24X25G (20)" u="1"/>
        <s v="BEST FRUTI BOTONETAS TROPICAL 20X24X25G (20)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FOOD NATURAS SALSA TOMATE C/CARNE 96X100G" u="1"/>
        <s v="YAES EMPANIZADOR DE POLLO 180/50G" u="1"/>
        <s v="AXE AERO AP ICE CHILL 12X90G/152ML" u="1"/>
        <s v="SCH REXONA CLIN DEO CLAS MIX S6X10X8G+SCH (6)" u="1"/>
        <s v="AMS SERVILLETA MAX PAPPEL 10X1X100 CUADRADA" u="1"/>
        <s v="NSK BIC MAXI J6 CARTÓN 15+3 (20)" u="1"/>
        <s v="BONI ALC ARROZ ESTRELLA PRECOCIDO 350g (25)" u="1"/>
        <s v="BYB SALSA BARBACOA 4/4,400g" u="1"/>
        <s v="TERMO BOLSA TRANSPARENTE 1 Lbs" u="1"/>
        <s v="BONI NSK JABON PROTEX FRESH 110GR (96)" u="1"/>
        <s v="SCH SAVILE SH 2EN1 12X28X15ML" u="1"/>
        <s v="TERMO BOLSA TRANSPARENTE 2 Lbs" u="1"/>
        <s v="IAK DUCAL FRIJ ROJO DyP 14.1oz (18)" u="1"/>
        <s v="TERMO BOLSA TRANSPARENTE 3 Lbs" u="1"/>
        <s v="FOOD NATURAS SALSA TOMATE C/CARNES 96X100G" u="1"/>
        <s v="TERMO BOLSA TRANSPARENTE 5 Lbs" u="1"/>
        <s v="AMS TOALLAS HUMEDAS BABY STAR 24X40" u="1"/>
        <s v="BYB CHILE JALAPEÑO LA CONTENTA LATA 48/180g" u="1"/>
        <s v="BONI DCASA ORO MAYA 400GR" u="1"/>
        <s v="BONI DIN JABONERA VENZA" u="1"/>
        <s v="XHC CENTELLA CHIBOLONA AZUL 4X3X400G" u="1"/>
        <s v="XHC MAX BLANC/AZUL DUOX 6X3X400G" u="1"/>
        <s v="GOMITAS 10 OSOS 12X2X20X10" u="1"/>
        <s v="REXONA STICK MEN ANTIBACT FRESH 12X50G" u="1"/>
        <s v="FOOD KNORR SOPA POLLO C/FIDEO 12X12X55G" u="1"/>
        <s v="NSK LA MODERNA CARACOL 3 42x200G" u="1"/>
        <s v="ALC ARROZ MOLINERO BLANCO 200GR (20)" u="1"/>
        <s v="ALD YOGUETA SURTIDA 1x24u (16)" u="1"/>
        <s v="AXE AERO BS BLACK 12X90G" u="1"/>
        <s v="BYB MERMELADA DE FRESA TARRO 12/300g" u="1"/>
        <s v="ALD YOGUETA MILK 16X24u (16)" u="1"/>
        <s v="IAK KERNS KETCHUP 8grs SACH 1000u" u="1"/>
        <s v="XHC XEDEX P SUAVIZ YLANG 15X1KG" u="1"/>
        <s v="AMS PAPEL HIG MAX PAP. 6X4 MEJOR QUE 1000HD" u="1"/>
        <s v="YAES ROSTIZADOR BOLSA 453G (18)" u="1"/>
        <s v="ALD PIN POP BLACK CHERRY CON CHICLE 16x24u (16)" u="1"/>
        <s v="GOMITAS 4 TAPA Y CORAZONES FRUTA 20GR 12X2X10X4" u="1"/>
        <s v="XHC REXONA JAB BAMBOO 48X125G" u="1"/>
        <s v="ALD PIN POP MIX ASSORTED 16X24u (16)" u="1"/>
        <s v="ALD FRUNAS DUO COLOR 16X100u (16)" u="1"/>
        <s v="REXONA STICK WOMAN ANTIBAC INVISIBLE 12X50G" u="1"/>
        <s v="NSK LA MODERNA GALL MARIANITA NUEZ 20x185G" u="1"/>
        <s v="DCASA MIRASOL MARG 36X5+1/80G" u="1"/>
        <s v="EGO GEL URBAN 24/200 ML" u="1"/>
        <s v="EGO GEL URBAN 4X6X200ML" u="1"/>
        <s v="AMS PAPEL HIGENICO LUCCA 24X1X1000 MEJOR HD" u="1"/>
        <s v="BYB MAYONESA BOLSA 32/380g" u="1"/>
        <s v="EGO GEL POWER 6/1000 ML" u="1"/>
        <s v="FOOD HELLMANNS MAY DP 12X380G" u="1"/>
        <s v="XHC XEDEX P ANTIBAC 15X1KG" u="1"/>
        <s v="QUA FRUTY F SURTIDO 8X18X14G" u="1"/>
        <s v="QUA NUTRIBELA TRAT CAP 24X12X27ML" u="1"/>
        <s v="QUA JUGOS YA DURAZNO 10X15" u="1"/>
        <s v="FOOD NATURAS FRIJOL NEGRO VOLTEADO 24X380G" u="1"/>
        <s v="XHC MAX PODER VERDE 6X4X330G" u="1"/>
        <s v="IPR CHIIPR CHILE JALAPEÑO 5.5OZLE JALAPEÑO 5.5OZ" u="1"/>
        <s v="AXE AERO AP COLLISION 12X88G" u="1"/>
        <s v="DCASA GELATINA POLVO NARANJA 450G (25)" u="1"/>
        <s v="FOOD NATURAS SALSA ITALIANA CL 96X100G" u="1"/>
        <s v="QUA JUGOS YA FRESA 10X15" u="1"/>
        <s v="FOOD LIPTON TE INFUS MANZANILLA 24X20BLS" u="1"/>
        <s v="BONI PLAST PALANGANA PEQ" u="1"/>
        <s v="DOVE AERO CLEAR TONE 12X89G" u="1"/>
        <s v="GRECO GALL CHOCOCHIPS MINI 16X" u="1"/>
        <s v="BEST GALLETA MICHOKO 24X12X22G (24)" u="1"/>
        <s v="BONI IAK PASTA TOMATE 4 OZ DYP" u="1"/>
        <s v="AMS TOALLA DE COCINA MAX PAPEL 8X3X120" u="1"/>
        <s v="REXONA STICK WOMAN POWDER 12X50G" u="1"/>
        <s v="BONI SOPA ISSIMA" u="1"/>
        <s v="FOSFORO QUETZAL 10X10" u="1"/>
        <s v="BONI QUA FRUTY FRESCO (8)" u="1"/>
        <s v="BYB CHOCONELA 12/273g" u="1"/>
        <s v="NSK LYSOL DESINFECTANTE MULTIUSOS DP 500 ML (18)" u="1"/>
        <s v="BONI DIN SOPA ISSIMA" u="1"/>
        <s v="XHC COLOSO CILINDRO 20X495G" u="1"/>
        <s v="TERMO GABACHA #2" u="1"/>
        <s v="NSK CHIBOLON BOTE (6)" u="1"/>
        <s v="IAK DUCAL FRIJ NEGR LAT 5.5oz PROMO (48)" u="1"/>
        <s v="BEST RODAJAS JAL EN ESCAB 24/170G" u="1"/>
        <s v="XHC PFS CENTELLA CHIBOLONA VERDE 4X3X400G" u="1"/>
        <s v="EGO GEL URBAN 12/500ML" u="1"/>
        <s v="AMS PAPEL HIG MAX PAP. SUPER ECON 4X12 (4)" u="1"/>
        <s v="FOOD KNORR SOPA TORTILLA 12X12X58G (144)" u="1"/>
        <s v="XHC PFS CENTELLA CHIBOLONA VERDE 6X3X400G" u="1"/>
        <s v="AMS TOALLA FEM FEELING MAXI NOCTURNA 12X8" u="1"/>
        <s v="BONI QUA JUGOS YA FRUTAS TROPICALES" u="1"/>
        <s v="XHC CENTELLA CAMPEON BLANCO 6X4X330G" u="1"/>
        <s v="SCH SEDAL SH 2EN1 CERAMIDAS 12X24X10ML+4 SCH" u="1"/>
        <s v="NSK LA MODERNA CODO 2 50x200G" u="1"/>
        <s v="AMS SHAMPOO BABY STAR 5X30X10ML SIN LAGRIMAS" u="1"/>
        <s v="XHC PFS CENTELLA CHIBOLONA AMARILLO 4X3X400G" u="1"/>
        <s v="BYB MAYONESA PRIMA BOLSA 8/1500g" u="1"/>
        <s v="NSK LYSOL DESINFECTANTE MULTIUSOS SPRAY (12)" u="1"/>
        <s v="NSK BIC RASURADORA TWIN LADY 12+2 KIT CEP (24)" u="1"/>
        <s v="BONI BAÑO 9 LITROS" u="1"/>
        <s v="SEDAL CR 300 ML PEIN LISOS PERFEC (12)" u="1"/>
        <s v="AMS Pañal Bebin SuperFlexi Pequeño 4x40" u="1"/>
        <s v="NSK CHIBOLON SURTIDO BOLSA (18)" u="1"/>
        <s v="XHC MAX BLANC/VERDE DUOX 6X4X350G" u="1"/>
        <s v="SCH SEDAL CR PEIN KERAT 12X24X10ML+SH" u="1"/>
        <s v="DOVE AERO EXTRA FRESH 12X89G" u="1"/>
        <s v="TERMO GABACHA MINI/PIWI" u="1"/>
        <s v="DCASA GELATINA POLVO FRAMB.25X450g" u="1"/>
        <s v="BYB SALSA PICAMAS VERDE 8g SACH 500u" u="1"/>
        <s v="BYB MAYONESA ALMOHADITA 48/100g" u="1"/>
        <s v="DCASA GELATINA POLVO MELOC.25X450g" u="1"/>
        <s v="BYB PICAMAS COBANERO 24/155g" u="1"/>
        <s v="BYB PICAMAS HABANERO 24/155G" u="1"/>
        <s v="KELL FROOT LOOPS MINI SCH 5X12X22G (5)" u="1"/>
        <s v="NSK LA MODERNA GALL MALVADISCO 10x624G" u="1"/>
        <s v="BONI ALC ARROZ GALLO DORADO 400g (25)" u="1"/>
        <s v="PONDS CR REJUVENESS DIA 12X400G" u="1"/>
        <s v="AMS ALCOHOL LIQUIDO ANTIBACT. CLT 12X1X850ML (12)" u="1"/>
        <s v="BYB DISPLAY DE CONCENTRADO DE TAMARINDO 6/12u" u="1"/>
        <s v="XHC XEDEX P SUAVIZ YLANG 30X125G" u="1"/>
        <s v="BONI PFS CLORO MAGICLOR UND" u="1"/>
        <s v="REXONA STICK CLIN MEN EXPERT 12/46G" u="1"/>
        <s v="SEDAL SH 2EN1 SOS CERAM 12X24X10ML+4 SCH" u="1"/>
        <s v="EGO GEL POWER 6/30/12ML" u="1"/>
        <s v="AMS JAB ANTIBAC CLT NARANJA JUGOSA 12X440" u="1"/>
        <s v="BONI VANISH 3X100ML" u="1"/>
        <s v="SCH SEDAL SH NEGR LUM 12X24X10ML+4" u="1"/>
        <s v="BONI QUA GALLETA BEST MANI 24X12 (JUGOS YA)" u="1"/>
        <s v="MA AVENA MOSH ESTRELLA 25X360G" u="1"/>
        <s v="LOT CONSOME CRIOLLO LOTY 225GR (50)" u="1"/>
        <s v="QUA JUGOS YA GUANABA 10X15G" u="1"/>
        <s v="BONI IAK DUCAL FRIJOL LATA 5.5 ONZ" u="1"/>
        <s v="AXE AERO BS BLACK 12X97G" u="1"/>
        <s v="KMD EL ARTESANO SALSA COBANERO 95g" u="1"/>
        <s v="XHC DOVE JAB BLANCO ORIGINAL 48X90G" u="1"/>
        <s v="XHC PFS CENTELLA CHIBOLONA BLANCO 4X3X400G" u="1"/>
        <s v="XHC PFS CENTELLA CHIBOLONA ROSADO 4X3X400G" u="1"/>
        <s v="XEDEX MULTIACCION PVO 30x115G" u="1"/>
        <s v="DOVE STICK DERMO ACLARANT 12X50G" u="1"/>
        <s v="XHC MAX PODER VERDE LIMON 6X3X425G" u="1"/>
        <s v="QUA SAVILOE 12X320ML (PAQUETE)" u="1"/>
        <s v="QUA SAVILOE 12X500ML (PAQUETE)" u="1"/>
        <s v="QUA PROMOCION SAVILOE 500ML 9+3 (PAQUETE)" u="1"/>
        <s v="NSK LYSOL DESINFECTANTE MULTIUSOS SPRAY (18)" u="1"/>
        <s v="BONI ALC HARINA ORO MAYA 400gr (20)" u="1"/>
        <s v="IAK ADAN Y EVA COCO LIMON 355ML LAT (24)" u="1"/>
        <s v="AXE AERO AP DARK TEMP SEC 12X90G" u="1"/>
        <s v="SCH QUA NUTRIBELA 10 9+3 (24)" u="1"/>
        <s v="IPR MIEL MAPLE 360ML (12)" u="1"/>
        <s v="XHC UNOX INTEL P PERF RESULTS 12X12X35G" u="1"/>
        <s v="YAES CHILE JALAPEÑO EN RAJAS 105 GR (40)" u="1"/>
        <s v="AXE STICK AP ICE CHILL 12X50G" u="1"/>
        <s v="AXE STICK TRANS DARK TEMP 12X54G" u="1"/>
        <s v="AXE AERO AP DARK TEMP SEC 12X88G" u="1"/>
        <s v="EGO GEL URBAN 4x6x110 ML" u="1"/>
        <s v="XHC MAX PODER BLANCO 6X3X400G" u="1"/>
        <s v="XHC MAX PODER ROSADO 6X3X400G" u="1"/>
        <s v="XHC XEDEX P MULTI LIMP ACTIVA 30X125G" u="1"/>
        <s v="BONI BIC 1 PAR DE RASURADORA CONFORT 2" u="1"/>
        <s v="BYB MAYONESA EXTRAMAYO BOLSA 8/150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FOS CERILLOS GALLO FAMILIAR (100) 200 L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BONI UL SAVILE ANTICASPA UNIDAD" u="1"/>
        <s v="BONI DIN PLATO PLASTICO" u="1"/>
        <s v="IAK BLISS HAPPY MIX 350ml VIDR (24)" u="1"/>
        <s v="BYB CHILE JALAPEÑO PICANTE 96/5.8oz" u="1"/>
        <s v="DOVE STICK CLEAR TONE 12X50G" u="1"/>
        <s v="BONI BEST GALLETA MANI 12X12" u="1"/>
        <s v="BYB SALSA PICAMAS VERDE BOLSA 8/1750g" u="1"/>
        <s v="AMS TOALLA HUMEDA LUCCA SUPER SEC 12X80" u="1"/>
        <s v="AMS SERVILLETA JAPPYKLUB 10X1X100" u="1"/>
        <s v="IAK DUCAL FRIJ NEGR DyP 104oz (6)" u="1"/>
        <s v="BEST BOTE CONITO RELL SUR 70u (12)" u="1"/>
        <s v="FOOD NATURAS SALSA C/QUESO 96X100G" u="1"/>
        <s v="YAES EMPANIZADOR CEREAL 90G (25)" u="1"/>
        <s v="MA CREMA AVENA 50X100G" u="1"/>
        <s v="BEST DAPI GALLETA VAINILLA 48X12X14.5G (48)" u="1"/>
        <s v="NSK LA MODERNA CABELLO DE ANGEL 20x200G" u="1"/>
        <s v="BONI SAVILE ANTICASPA 7 und" u="1"/>
        <s v="BONI DCAS DETERGENTE 1 . 2 . 3 800g (10)" u="1"/>
        <s v="NSK BIC ENCENDEDOR MAXI J6 5+1 (60)" u="1"/>
        <s v="BYB MERMELADA DE PIÑA TARRO 12/300g" u="1"/>
        <s v="SCH SAVILE SH ARGAN 12X28X15ML" u="1"/>
        <s v="SCH SAVILE CR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XHC CENTELLA CHIBOLONA AMARILLO 4X3X400G" u="1"/>
        <s v="XHC PFS CENTELLA CHIBOLONA AZUL 4X3X400G" u="1"/>
        <s v="SAVILE SH BIOTINA SCH 24X28X15ML" u="1"/>
        <s v="NSK BIC ENCENDEDOR MAXI J6 CARTON 15u (25)" u="1"/>
        <s v="XHC XEDEX P PROTECCION COLOR 15X1KG" u="1"/>
        <s v="BYB SALSA PICAMAS CHILTEPE 24/155g" u="1"/>
        <s v="BIOKLAR SPRAY DESIN SIN FRAG 250ML" u="1"/>
        <s v="BONI CUBETA PLASTICA" u="1"/>
        <s v="XHC XEDEX P ANTIBACT 20X250G" u="1"/>
        <s v="IPR LOZANO MANZANA 500ML" u="1"/>
        <s v="DCASA PAPEL ENCANTO MIL HOJAS ECO 12X4" u="1"/>
        <s v="YAES ROSTIZADOR MARISCO 100G" u="1"/>
        <s v="QUA JUGOS YA HORCHATA 10X15" u="1"/>
        <s v="QUA FRUTY FRESCO 14+4 (8)" u="1"/>
        <s v="NSK LA MODERNA CODO 3 42x200G" u="1"/>
        <s v="IPR CHILE JALAPEÑO ESCABECHE 5.5OZ (48)" u="1"/>
        <s v="IAK BAMB MARGARITA 350ml LATA (24)" u="1"/>
        <s v="ALD PIN POP WATERMELON 16X24 (15G)" u="1"/>
        <s v="DCASA GELATINA POLVO PIÑA 450G (25)" u="1"/>
        <s v="BONI NSK BIC ENCENDEDOR J6 MAXI (75)" u="1"/>
        <s v="BYB SALSA PICAMAS COBANERO 24/155g" u="1"/>
        <s v="BONI QUA GALLETA BEST MANI MINI 24X12" u="1"/>
        <s v="BIOKLAR SPRAY DESIN SIN FRAG 60ML" u="1"/>
        <s v="IAK KERNS SALSITA QUESO 106GR DP (24)" u="1"/>
        <s v="BEST BOTONETA CHOCOLATE 80X6X20G (80)" u="1"/>
        <s v="BEST CHIPOTLES ADOBADOS 24/160G" u="1"/>
        <s v="GRIPETIN MULTISINTOMAS - 12 SOBRES" u="1"/>
        <s v="QUA NUTRIBELA 10 18+6 (12)" u="1"/>
        <s v="AXE AERO AP EPIC FRESH 12X88G" u="1"/>
        <s v="BEST CHOCO PANDA COCOA 6X50X20G (6)" u="1"/>
        <s v="FOOD NATURAS FRIJ NEGR VOLT 24X400GR" u="1"/>
        <s v="XHC REXONA JAB ANTIBAC FRESH 48X125G" u="1"/>
        <s v="AMS JAB ANTIBAC CLT PINK LIMONADE 12X500" u="1"/>
        <s v="YAES EMPANIZADOR SUKOCINERA 30X6X50G (180)" u="1"/>
        <s v="ALC ARROZ GALLO DORADO PRE COCIDO 200GR (20)" u="1"/>
        <s v="XHC MAX MB NARANJA 6X3X540G" u="1"/>
        <s v="BYB SALSA PICANTE FRONTERA 32/16onz" u="1"/>
        <s v="XHC XEDEX P PROTECCION COLOR 20X250G" u="1"/>
        <s v="ALD MASTI MINT 16X100 (4G)" u="1"/>
        <s v="BYB SALSA PICAMAS VERDE BOLSA 4/3000g" u="1"/>
        <s v="BONI QUA JUGO YA NARANJA" u="1"/>
        <s v="XHC MAX MB BLANCA 6X3X540G" u="1"/>
        <s v="AMS PAPEL HIG MAX PAP. 12X4 MEJOR QUE 1000 HD" u="1"/>
        <s v="NSK LA MODERNA PLUMA 42x200G" u="1"/>
        <s v="NSK LA MODERNA MACARRON LARGO 20x200G" u="1"/>
        <s v="BONI ALC ARROZ ESTRELLA BLANCO 350g (25)" u="1"/>
        <s v="IPR MERMELADA MANZANA 12OZ" u="1"/>
        <s v="XHC MAX PODER LILA 6X3X400G" u="1"/>
        <s v="NSK LYSOL DESINFECTANTE MULTIUSOS DP 500 ML" u="1"/>
        <s v="AXE AERO BS GOLD TEMPTATION 12X90G" u="1"/>
        <s v="DCASA MIRASOL MARG 6X60X35G" u="1"/>
        <s v="NSK BIC RASURADORA CONFORT 3 12+2 (24)" u="1"/>
        <s v="XHC PFS MAX MB BLANC/NAR DUOX 6X3X540G" u="1"/>
        <s v="XHC CENTELLA CHIBOLONA BLANCO 4X3X400G" u="1"/>
        <s v="XHC CENTELLA CHIBOLONA ROSADO 4X3X400G" u="1"/>
        <s v="EGO GEL ATTRAC 24/110ML" u="1"/>
        <s v="BYB MOSTAZA ALMOHADITA 48/110 g" u="1"/>
        <s v="GOMITAS 4 OSOS 12X2X20X4" u="1"/>
        <s v="BONI PLAST PALANGANA XEDEX" u="1"/>
        <s v="XHC SURF P ROSAS 15X1KG" u="1"/>
        <s v="AMS SERVILLETA LUCCA 10X1X100" u="1"/>
        <s v="BONI ALC HARINA ORO MAYA 800g (9)" u="1"/>
        <s v="BONI ARROZ GALLO DORADO 400G" u="1"/>
        <s v="DCASA MIRASOL MARG 2X24X90G" u="1"/>
        <s v="BYB MAYONESA PRIMA 32/375g" u="1"/>
        <s v="AMS TOALLA DE COCINA MAX PAPEL 12X2HD" u="1"/>
        <s v="BONI IAK DUCAL FRIJOL LATA 10.5 OZ (48)" u="1"/>
        <s v="XHC XEDEX P MULTI LIMP ACTIVA 15X1KG" u="1"/>
        <s v="BEST BOTONETA MANÍ 80X6X20G (80)" u="1"/>
        <s v="FOOD HELLMANNS MOST DYP 12X100G" u="1"/>
        <s v="BONI HERMETICO RECTANGULAR" u="1"/>
        <s v="FOOD KNORR SOPA POLL VERD CODITO 12X12X54G" u="1"/>
        <s v="FOOD KNORR SOPA COST CRIOL C/FID 12X12X55G" u="1"/>
        <s v="FOOD KNORR SOPA GAL C/ARROZ CHIP 12X12X5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EST BOTONETAS MANI 20X24X13G (20)" u="1"/>
        <s v="DIN ISSIMA PAST TOMAT ROJITA 106g (96)" u="1"/>
        <s v="XHC MAX BLANC/NARAN DUOX 6X3X400G" u="1"/>
        <s v="XHC MAX BLANC/VERDE DUOX 6X3X400G" u="1"/>
        <s v="BYB DISPLAY DE CONCENTRADO DE CARAMBOLA EXHIBI 6/12u" u="1"/>
        <s v="GOMITAS 5 OSOS PEQUEÑOS 12.5GR 12X2X20X5" u="1"/>
        <s v="EGO GEL POWER 12/500 ML" u="1"/>
        <s v="FOOD MAIZENA FECULA MAIZ VAINILLA 16X12X45G" u="1"/>
        <s v="FOOD KNORR SOPA GAL C/CONCHI 12X12X54G" u="1"/>
        <s v="KELL CHOCO KRISPI SCH 8X6X150G (8)" u="1"/>
        <s v="AMS TOALLA DE COCINA MAX PAPEL 24X1 HD" u="1"/>
        <s v="PONDS CR 100G H (24)" u="1"/>
        <s v="FOOD HELLMANNS MAY DYP 12X200G" u="1"/>
        <s v="SCH SAVILE SH BIOTINA 12X28X15ML" u="1"/>
        <s v="XHC CENTELLA CAMPEON VERDE 6X4X330G" u="1"/>
        <s v="SCH SAVILE SH ANTICASPA 24X28X15ML (24)" u="1"/>
        <s v="AXE AERO BS ICE CHILL 12X90G" u="1"/>
        <s v="NSK BANDIDO CHOCOLATE DOCENA (24)" u="1"/>
        <s v="DOVE MINIROLLON CUIDADO TOTAL 6X30ML" u="1"/>
        <s v="BONI 1 BOLSA KIT CEPILLO" u="1"/>
        <s v="BONI QUA GALLETA BEST MANI 24X12 (YUS)" u="1"/>
        <s v="BYB SALSA T/KETCHUP FRONTERA 8/1/2 GALON BOLSA" u="1"/>
      </sharedItems>
    </cacheField>
    <cacheField name="Columna3" numFmtId="0">
      <sharedItems containsSemiMixedTypes="0" containsString="0" containsNumber="1" containsInteger="1" minValue="1" maxValue="846"/>
    </cacheField>
    <cacheField name="Columna4" numFmtId="0">
      <sharedItems containsSemiMixedTypes="0" containsString="0" containsNumber="1" minValue="4.1666666666666664E-2" maxValue="100"/>
    </cacheField>
    <cacheField name="Columna5" numFmtId="0">
      <sharedItems containsSemiMixedTypes="0" containsString="0" containsNumber="1" minValue="0.125" maxValue="5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" refreshedDate="45304.414577662035" createdVersion="7" refreshedVersion="8" minRefreshableVersion="3" recordCount="94" xr:uid="{00000000-000A-0000-FFFF-FFFF4E000000}">
  <cacheSource type="worksheet">
    <worksheetSource name="RUTA477"/>
  </cacheSource>
  <cacheFields count="5">
    <cacheField name="Columna1" numFmtId="0">
      <sharedItems containsMixedTypes="1" containsNumber="1" containsInteger="1" minValue="201" maxValue="7401192400013" count="432">
        <n v="10010010010"/>
        <n v="10020040002"/>
        <n v="400000048"/>
        <n v="400000127"/>
        <n v="400000161"/>
        <n v="400000221"/>
        <n v="50470111"/>
        <n v="50470112"/>
        <n v="50470114"/>
        <n v="50470115"/>
        <n v="50470118"/>
        <n v="50491100"/>
        <n v="50491101"/>
        <n v="50491102"/>
        <n v="50491103"/>
        <n v="50491106"/>
        <n v="50491107"/>
        <n v="50491108"/>
        <n v="50491109"/>
        <n v="50491133"/>
        <n v="50491134"/>
        <n v="52480086"/>
        <n v="52480094"/>
        <n v="5460400"/>
        <n v="60000094"/>
        <n v="60000209"/>
        <n v="60000210"/>
        <n v="60000212"/>
        <n v="69761868"/>
        <s v="ALD05665"/>
        <s v="ALD05669"/>
        <s v="ALD06514"/>
        <s v="ALD06515"/>
        <s v="ALD06517"/>
        <s v="ALD06519"/>
        <s v="ALD06520"/>
        <s v="ALD06521"/>
        <s v="ALD06522"/>
        <s v="ALD06523"/>
        <s v="ALD06524"/>
        <s v="ALD06526"/>
        <s v="ALD07266"/>
        <s v="ALD07273"/>
        <s v="ARE15041"/>
        <s v="ARE15052"/>
        <s v="ARE15059"/>
        <s v="BA016439"/>
        <s v="BA016784"/>
        <s v="BA016785"/>
        <s v="BA018243"/>
        <s v="BA018244"/>
        <s v="BA019820"/>
        <s v="DCAS0425"/>
        <s v="DCAS0533"/>
        <s v="DCAS2310"/>
        <s v="DCAS4292131"/>
        <s v="DCAS4292132"/>
        <s v="DCAS4292133"/>
        <s v="DCAS4292135"/>
        <s v="DCAS4292136"/>
        <s v="DCAS4292137"/>
        <s v="GTQ0012"/>
        <s v="K124099"/>
        <s v="K124100"/>
        <s v="K126679"/>
        <s v="K129033"/>
        <s v="K135638"/>
        <s v="K150793"/>
        <s v="K151248"/>
        <s v="K154181"/>
        <s v="K154182"/>
        <s v="K155094"/>
        <s v="K155813"/>
        <s v="K156593"/>
        <s v="K156595"/>
        <s v="K157301"/>
        <s v="K158273"/>
        <s v="K167451"/>
        <s v="K167452"/>
        <s v="K186804"/>
        <s v="K194082"/>
        <s v="K209481"/>
        <s v="K51795"/>
        <s v="K51798"/>
        <s v="K64347"/>
        <s v="K64348"/>
        <s v="K73543"/>
        <s v="P370040"/>
        <s v="PT010836"/>
        <s v="PT09713"/>
        <s v="Q000255"/>
        <s v="QUA21240003"/>
        <s v="QUA79240105"/>
        <s v="TRM1002"/>
        <n v="1008010073" u="1"/>
        <n v="1008011812" u="1"/>
        <n v="1008014100" u="1"/>
        <n v="400000160" u="1"/>
        <n v="400000412" u="1"/>
        <n v="50491131" u="1"/>
        <n v="52480095" u="1"/>
        <n v="60000205" u="1"/>
        <n v="60000215" u="1"/>
        <n v="10020010007" u="1"/>
        <n v="19640304" u="1"/>
        <n v="400000158" u="1"/>
        <n v="10010020002" u="1"/>
        <n v="1008013091" u="1"/>
        <n v="1008071533" u="1"/>
        <n v="400000411" u="1"/>
        <n v="400000542" u="1"/>
        <n v="4040000841" u="1"/>
        <n v="50470107" u="1"/>
        <n v="19640306" u="1"/>
        <n v="10080010002" u="1"/>
        <n v="1008010113" u="1"/>
        <n v="1008012355" u="1"/>
        <n v="1008094293" u="1"/>
        <n v="50491122" u="1"/>
        <n v="50491132" u="1"/>
        <n v="5467000" u="1"/>
        <n v="60000133" u="1"/>
        <n v="20110020" u="1"/>
        <n v="400000033" u="1"/>
        <n v="50491104" u="1"/>
        <n v="50491121" u="1"/>
        <n v="19640305" u="1"/>
        <n v="50470108" u="1"/>
        <n v="69618163" u="1"/>
        <n v="2103011672" u="1"/>
        <n v="1008010115" u="1"/>
        <n v="403000261" u="1"/>
        <n v="52480083" u="1"/>
        <n v="52460005" u="1"/>
        <n v="400000386" u="1"/>
        <n v="620678" u="1"/>
        <n v="620821" u="1"/>
        <n v="620845" u="1"/>
        <n v="640676" u="1"/>
        <n v="641833" u="1"/>
        <n v="642205" u="1"/>
        <n v="642557" u="1"/>
        <n v="642694" u="1"/>
        <n v="652532" u="1"/>
        <n v="680672" u="1"/>
        <n v="621439" u="1"/>
        <n v="640690" u="1"/>
        <n v="640959" u="1"/>
        <n v="620500" u="1"/>
        <n v="642236" u="1"/>
        <n v="642359" u="1"/>
        <n v="642366" u="1"/>
        <n v="680078" u="1"/>
        <n v="642380" u="1"/>
        <n v="621323" u="1"/>
        <n v="640683" u="1"/>
        <n v="680092" u="1"/>
        <n v="621491" u="1"/>
        <n v="1008011991" u="1"/>
        <n v="641628" u="1"/>
        <n v="206" u="1"/>
        <n v="1007" u="1"/>
        <n v="583415" u="1"/>
        <n v="68380352" u="1"/>
        <n v="68534532" u="1"/>
        <n v="10080010001" u="1"/>
        <n v="256" u="1"/>
        <n v="579404" u="1"/>
        <n v="50470101" u="1"/>
        <n v="586682" u="1"/>
        <n v="621330" u="1"/>
        <n v="67574563" u="1"/>
        <n v="67611013" u="1"/>
        <n v="68401571" u="1"/>
        <n v="84151286" u="1"/>
        <n v="84157831" u="1"/>
        <n v="84171576" u="1"/>
        <n v="579405" u="1"/>
        <n v="68524850" u="1"/>
        <n v="68611972" u="1"/>
        <n v="68865804" u="1"/>
        <n v="84150507" u="1"/>
        <n v="50491119" u="1"/>
        <n v="67409941" u="1"/>
        <n v="68142902" u="1"/>
        <n v="579264" u="1"/>
        <n v="579406" u="1"/>
        <n v="1000" u="1"/>
        <n v="50470103" u="1"/>
        <n v="69584482" u="1"/>
        <n v="201" u="1"/>
        <n v="579407" u="1"/>
        <n v="84156838" u="1"/>
        <n v="251" u="1"/>
        <n v="680689" u="1"/>
        <n v="67466523" u="1"/>
        <n v="68524854" u="1"/>
        <n v="576000" u="1"/>
        <n v="579337" u="1"/>
        <n v="19166007" u="1"/>
        <n v="68141796" u="1"/>
        <n v="68688972" u="1"/>
        <n v="1019" u="1"/>
        <n v="68354529" u="1"/>
        <n v="1006" u="1"/>
        <n v="579409" u="1"/>
        <n v="250042" u="1"/>
        <n v="68614030" u="1"/>
        <n v="84153562" u="1"/>
        <n v="566701" u="1"/>
        <n v="576002" u="1"/>
        <n v="579410" u="1"/>
        <n v="67627147" u="1"/>
        <n v="10040010015" u="1"/>
        <n v="68874810" u="1"/>
        <n v="84168003" u="1"/>
        <n v="246" u="1"/>
        <n v="576003" u="1"/>
        <n v="579411" u="1"/>
        <n v="68380364" u="1"/>
        <n v="84156662" u="1"/>
        <n v="579305" u="1"/>
        <n v="67611010" u="1"/>
        <n v="204" u="1"/>
        <n v="576004" u="1"/>
        <n v="579412" u="1"/>
        <n v="69620218" u="1"/>
        <n v="84162865" u="1"/>
        <n v="254" u="1"/>
        <n v="579235" u="1"/>
        <n v="67409938" u="1"/>
        <n v="579413" u="1"/>
        <n v="68354522" u="1"/>
        <n v="84154860" u="1"/>
        <n v="578100" u="1"/>
        <n v="576006" u="1"/>
        <n v="67611014" u="1"/>
        <n v="84150971" u="1"/>
        <n v="84157362" u="1"/>
        <n v="1005" u="1"/>
        <n v="579308" u="1"/>
        <n v="50491112" u="1"/>
        <n v="68524851" u="1"/>
        <n v="557831" u="1"/>
        <n v="577853" u="1"/>
        <n v="68399684" u="1"/>
        <n v="84157012" u="1"/>
        <n v="84160187" u="1"/>
        <n v="547856" u="1"/>
        <n v="574978" u="1"/>
        <n v="68649837" u="1"/>
        <n v="404000140" u="1"/>
        <n v="249" u="1"/>
        <n v="69584483" u="1"/>
        <n v="84163166" u="1"/>
        <n v="67746868" u="1"/>
        <n v="68524847" u="1"/>
        <n v="207" u="1"/>
        <n v="50491114" u="1"/>
        <n v="68444067" u="1"/>
        <n v="84157802" u="1"/>
        <n v="84158961" u="1"/>
        <n v="67624575" u="1"/>
        <n v="68141797" u="1"/>
        <n v="68786560" u="1"/>
        <n v="84168485" u="1"/>
        <n v="571466" u="1"/>
        <n v="573809" u="1"/>
        <n v="67190950" u="1"/>
        <n v="68227509" u="1"/>
        <n v="68864406" u="1"/>
        <n v="84168064" u="1"/>
        <n v="68534556" u="1"/>
        <n v="68646674" u="1"/>
        <n v="68661570" u="1"/>
        <n v="69584487" u="1"/>
        <n v="84159040" u="1"/>
        <n v="565574" u="1"/>
        <n v="571467" u="1"/>
        <n v="19790102" u="1"/>
        <n v="67140989" u="1"/>
        <n v="67728485" u="1"/>
        <n v="68614031" u="1"/>
        <n v="574982" u="1"/>
        <n v="589111" u="1"/>
        <n v="50491116" u="1"/>
        <n v="68437778" u="1"/>
        <n v="68524859" u="1"/>
        <n v="84157806" u="1"/>
        <n v="84158965" u="1"/>
        <n v="1004" u="1"/>
        <n v="573811" u="1"/>
        <n v="68193098" u="1"/>
        <n v="68647716" u="1"/>
        <n v="574983" u="1"/>
        <n v="576687" u="1"/>
        <n v="588828" u="1"/>
        <n v="50470100" u="1"/>
        <n v="84158931" u="1"/>
        <n v="84161579" u="1"/>
        <n v="252" u="1"/>
        <n v="573812" u="1"/>
        <n v="50470104" u="1"/>
        <n v="67150066" u="1"/>
        <n v="67883019" u="1"/>
        <n v="68667235" u="1"/>
        <n v="586699" u="1"/>
        <n v="588829" u="1"/>
        <n v="19790103" u="1"/>
        <n v="67171635" u="1"/>
        <n v="67411722" u="1"/>
        <n v="68524848" u="1"/>
        <n v="50491118" u="1"/>
        <n v="68115523" u="1"/>
        <n v="67279491" u="1"/>
        <n v="84163148" u="1"/>
        <n v="50470102" u="1"/>
        <n v="68534549" u="1"/>
        <n v="574986" u="1"/>
        <n v="576690" u="1"/>
        <n v="588831" u="1"/>
        <n v="50491105" u="1"/>
        <n v="67611015" u="1"/>
        <n v="68667239" u="1"/>
        <n v="67409830" u="1"/>
        <n v="68524852" u="1"/>
        <n v="247" u="1"/>
        <n v="68142904" u="1"/>
        <n v="547830" u="1"/>
        <n v="573816" u="1"/>
        <n v="60000262" u="1"/>
        <n v="68441544" u="1"/>
        <n v="68466961" u="1"/>
        <n v="68565714" u="1"/>
        <n v="68649838" u="1"/>
        <n v="205" u="1"/>
        <n v="1003" u="1"/>
        <n v="565119" u="1"/>
        <n v="586703" u="1"/>
        <n v="69629503" u="1"/>
        <n v="255" u="1"/>
        <n v="573817" u="1"/>
        <n v="579213" u="1"/>
        <n v="67611019" u="1"/>
        <n v="67746869" u="1"/>
        <n v="79790105" u="1"/>
        <n v="67279484" u="1"/>
        <n v="67608386" u="1"/>
        <n v="67885788" u="1"/>
        <n v="547832" u="1"/>
        <n v="573818" u="1"/>
        <n v="68141798" u="1"/>
        <n v="579321" u="1"/>
        <n v="60000264" u="1"/>
        <n v="68174780" u="1"/>
        <n v="68534542" u="1"/>
        <n v="68645445" u="1"/>
        <n v="1009" u="1"/>
        <n v="573819" u="1"/>
        <n v="68646675" u="1"/>
        <n v="84162953" u="1"/>
        <n v="50490902" u="1"/>
        <n v="573820" u="1"/>
        <n v="50490906" u="1"/>
        <n v="680214" u="1"/>
        <n v="67952534" u="1"/>
        <n v="67707587" u="1"/>
        <n v="68637162" u="1"/>
        <n v="68155562" u="1"/>
        <n v="68524841" u="1"/>
        <n v="1002" u="1"/>
        <n v="68395025" u="1"/>
        <n v="68524849" u="1"/>
        <n v="68865803" u="1"/>
        <n v="69584500" u="1"/>
        <n v="642373" u="1"/>
        <n v="67409940" u="1"/>
        <n v="68775732" u="1"/>
        <n v="588520" u="1"/>
        <n v="68647721" u="1"/>
        <n v="68809921" u="1"/>
        <n v="84163149" u="1"/>
        <n v="67139177" u="1"/>
        <n v="68170131" u="1"/>
        <n v="68441507" u="1"/>
        <n v="1021" u="1"/>
        <n v="579362" u="1"/>
        <n v="588521" u="1"/>
        <n v="67611016" u="1"/>
        <n v="67986539" u="1"/>
        <n v="1008" u="1"/>
        <n v="642304" u="1"/>
        <n v="50491113" u="1"/>
        <n v="67409831" u="1"/>
        <n v="67519203" u="1"/>
        <n v="67551222" u="1"/>
        <n v="68524853" u="1"/>
        <n v="203" u="1"/>
        <n v="67767705" u="1"/>
        <n v="84168062" u="1"/>
        <n v="7401192400013" u="1"/>
        <n v="253" u="1"/>
        <n v="67611005" u="1"/>
        <n v="578086" u="1"/>
        <n v="579364" u="1"/>
        <n v="67707595" u="1"/>
        <n v="68564993" u="1"/>
        <n v="84153561" u="1"/>
        <n v="67627146" u="1"/>
        <n v="67663498" u="1"/>
        <n v="68455320" u="1"/>
        <n v="68524857" u="1"/>
        <n v="84158963" u="1"/>
        <n v="1001" u="1"/>
        <n v="576774" u="1"/>
        <n v="68647714" u="1"/>
        <n v="68874809" u="1"/>
        <n v="67707584" u="1"/>
        <n v="68466966" u="1"/>
        <n v="68534543" u="1"/>
        <n v="84157033" u="1"/>
        <n v="67574559" u="1"/>
        <n v="84151549" u="1"/>
        <n v="67409922" u="1"/>
        <n v="68646586" u="1"/>
        <n v="68923657" u="1"/>
        <n v="19166005" u="1"/>
        <n v="50491117" u="1"/>
        <n v="67409937" u="1"/>
        <n v="68444073" u="1"/>
        <n v="68524861" u="1"/>
        <n v="84171222" u="1"/>
      </sharedItems>
    </cacheField>
    <cacheField name="Columna2" numFmtId="0">
      <sharedItems containsBlank="1" count="980">
        <s v="ALC ARROZ GALL DORA PREC 400G (25)"/>
        <s v="ALC ARROZ MACARE BLANC 400G (25)"/>
        <s v="FOS PALILLOS MADERA 12X12X250u"/>
        <s v="FOS FOSFOROS FOGATA 10x10"/>
        <s v="FOS CERILLO GALLO 10X10"/>
        <s v="FOS FOSFOROS AGUILA 2X10X5"/>
        <s v="XHC PFS CENTELLA CHIBOLONA VERDE 4X3X375G"/>
        <s v="XHC PFS CENTELLA CHIBOLONA BLANCA 4X3X375G"/>
        <s v="XHC PFS CENTELLA CHIBOLONA AMARILLA 4X3X375G"/>
        <s v="XHC PFS CENTELLA CHIBOLONA AZUL 4X3X375G"/>
        <s v="XHC PFS CENTELLA CHIBOLONA AVENA 4X3X375G"/>
        <s v="XHC PFS MAX PODER VERDE 6X3X400G"/>
        <s v="XHC PFS MAX PODER AZUL  6X3X400G"/>
        <s v="XHC PFS MAX PODER BLANCO 6X3X400G"/>
        <s v="XHC PFS MAX PODER ROSADO 6X3X400G"/>
        <s v="XHC PFS MAX PODER AMARILLO 6X3X400G"/>
        <s v="XHC PFS MAX BLANC/NARAN DUOX 6X3X400G"/>
        <s v="XHC PFS MAX BLANC/AZUL DUOX 6X3X400G"/>
        <s v="XHC PFS MAX BLANC/VERDE DUOX 6X3X400G"/>
        <s v="XHC PFS MAX MB BLANC/NARAN DUOX 6X3X500G"/>
        <s v="XHC PFS MAX MB BLANC/VERD DUOX 6X3X500G"/>
        <s v="XHC PFS LIMPIOX AVENA DISCO 108G (72)"/>
        <s v="XHC PFS LIMPIOX CILINDRO LIMON 18X320G"/>
        <s v="QUA SAVILOE 12X320ML(UNIDAD)"/>
        <s v="ALC ORO MAY  HARIN MAIZ BLANC 800 (9)"/>
        <s v="ALC ARROZ ESTRELLA PRECO 350G (25)"/>
        <s v="ALC ARROZ ESTRELLA BLANCO 350G (25)"/>
        <s v="ALC CR AVEN HOJUELA 12U 300g"/>
        <s v="FOOD NATURAS SALSA TOMATE RANCHERA 96X90G"/>
        <s v="ALD PIN POP SANDIA 16X24 (16)"/>
        <s v="ALD BIAGI CARAMELO 16X100"/>
        <s v="ALD YOGUETA SURTIDA RELLENA 16X24  (15G)"/>
        <s v="ALD YOGUETA CHOCOCARAMEL 16X24 (15G)"/>
        <s v="ALD PIN POP MANGO 16X24 (15G)"/>
        <s v="ALD PIN POP THE MOST WANTED 16X24 (15G)"/>
        <s v="ALD PIN POP ASSORTED 16X24 (15G)"/>
        <s v="ALD PIN POP KOLA 16X24 (15G)"/>
        <s v="ALD PIN POP PINTALENGUA 16X24 (15G)"/>
        <s v="ALD PIN POP X2 16X24 (15G)"/>
        <s v="ALD YOGUETA MILKY CARAMEL 16X24 (15G)"/>
        <s v="ALD PIN POP FRESA 16x24 (15G)"/>
        <s v="ALD PLAY GUSANOS 55g (24)"/>
        <s v="ALD PLAY CORAZONES 55g (24)"/>
        <s v="ARE SABUESO ADULTO 100 LBS"/>
        <s v="ARE SABUESO CACHORRO 40X420G"/>
        <s v="ARE SABUESO ADULTO 40X454G"/>
        <s v="BEST GALLETA MANI 24X12X20G (24)"/>
        <s v="BEST GALLETA FRESA 24X12X20G (24)"/>
        <s v="BEST GALLETA CHOCOLATE 24X12X20G (24)"/>
        <s v="BEST BOTONETAS MANI 20X24X9G (20)"/>
        <s v="BEST BOTONETAS CHOCOLATE 20X24X9G (20)"/>
        <s v="BEST CHOCOFRUTA 50x350G"/>
        <s v="DCASA PAPEL ENCANTO GDE. 1X12X4 (12)"/>
        <s v="DCASA HEINZ MELOCOTO FLEX 24X113G"/>
        <s v="DCASA MIRASOL MARG 24X5X80G"/>
        <s v="DCASA GELATINA POLVO UVA 28X400g"/>
        <s v="DCASA GELATINA POLVO FRESA 28X400g"/>
        <s v="DCASA GELATINA POLVO PIÑA 28X400g"/>
        <s v="DCASA GELATINA POLVO LIMON 28X400g"/>
        <s v="DCASA GELATINA POLVO CHICLE 28X400g"/>
        <s v="DCASA GELATINA POLVO FRAMB.28X400g"/>
        <s v="BONI SAVILOE UND 320ML (12)"/>
        <s v="IAK FUN C REFR MANZ 200ML TETR (24)"/>
        <s v="IAK FUN C REFR MELOC 200ML TETR (24)"/>
        <s v="IAK KERNS KETCHUP SCH 52GR (144)"/>
        <s v="IAK KERNS JUNIOR MELOC TETR 200ml (24)"/>
        <s v="IAK DUCAL FRIJ CHUB NEGR ENT 1.82kgs (6)"/>
        <s v="IAK DUCAL FRIJ NEGR DyP 8oz (24)"/>
        <s v="IAK KERNS KETCHUP 776gr PET (12)"/>
        <s v="IAK KERNS COCT VEGET 1 LT TETR (12)"/>
        <s v="IAK KERNS 330ml COCTEL VEGETALES  (24)"/>
        <s v="IAK DUCAL FRIJ NEGR DyP 28oz (12)"/>
        <s v="IAK KERNS COCT VEGET ALMEJA 1LT (12)"/>
        <s v="IAK DUCAL BEB ALUMIN MELOC 330ml (24)"/>
        <s v="IAK DUCAL BEB ALUMIN PIÑA 330ml (24)"/>
        <s v="IAK DUCAL BEB ALUMIN MANZ 330ml (24)"/>
        <s v="IAK KERNS 330ml COCTEL VEGETALES ALMEJA  (24)"/>
        <s v="IAK KERNS 330ml NECT MELOCOTON (24)"/>
        <s v="IAK KERNS 330ml NECT MANZANA  (24)"/>
        <s v="IAK DUCAL BEB ALUMIN PERA 330ml (24)"/>
        <s v="IAK KERNS 154mL COCTEL VEGETALES (48)"/>
        <s v="IAK DUCAL FRIJ NEGR DyP 4oz (24)"/>
        <s v="IAK DUCAL FRIJ NEGR LAT 10.5oz (48)"/>
        <s v="IAK DUCAL FRIJ NEGR LAT 5.5oz (48)"/>
        <s v="IAK KERNS 330ml NECT PERA (24)"/>
        <s v="IAK KERNS 330ml NECT PIÑA (24)"/>
        <s v="IAK DUCAL FRIJ NEGR LAT 15oz (24)"/>
        <s v="QUA FRUTY FRESCO 9+9 (8)"/>
        <s v="BEST BOTE CHOCOGOL 150u (12)"/>
        <s v="BEST CHOCOPANDA CHOCOLATE 25X12X14G"/>
        <s v="QUA JUGOS YA MANGO 10X15X18 FIT"/>
        <s v="SCH QUA NUTRIBELA HIALURONICO 48X6X27ML"/>
        <s v="SCH QUA NUTRIBELA TRAT CAP 24X12X27ML"/>
        <s v="TERMO GABACHA #1 (26)"/>
        <s v="KELL CORN FLAKES 28X150G (28)" u="1"/>
        <s v="KELL CHOCO KRISPIS 28X290G (28)" u="1"/>
        <s v="KELL CORN FLAKES 16X500 (16)" u="1"/>
        <s v="FOS FOSFOROS FOGATA ECO 12X10" u="1"/>
        <s v="FOS Fosforos Propasa 10x10" u="1"/>
        <s v="XHC PFS MAX MB BLANCA 6X3X500G" u="1"/>
        <s v="XHC PFS LIMPIOX CILINDRO ALOE 18X320G" u="1"/>
        <s v="ALC ORO MAY HARIN MAIZ BLANC 400G (20)" u="1"/>
        <s v="ALC CR AVEN MOLIDA 12U 300g" u="1"/>
        <s v="ALD PLAY GUSANOS AZUCARADOS JARRA 6X200 (3G)" u="1"/>
        <s v="ALD MASTI MINT 16X100 (4G)" u="1"/>
        <s v="BEST CHOCOFRUTA TABLETA 32X300G" u="1"/>
        <s v="BEST CHOCOFRUTA 10X1400G (10)" u="1"/>
        <s v="BEST GALLETA CHAPETIN 24X12 (24)" u="1"/>
        <s v="BEST CAFE BARISTA SOLUBLE 12X24X8g" u="1"/>
        <s v="BONI IAK VASO PLASTICO KERNS" u="1"/>
        <s v="BONI QUA FRIJOL NEGRO LAT 5.5 OZ (48)" u="1"/>
        <s v="IAK DUCAL BEB TETR  PIÑA 200ML (24)" u="1"/>
        <s v="IAK KERNS NECT MANZ TETR 24X250ml" u="1"/>
        <s v="IAK KERNS NECT MELOC TETR 24X250ml" u="1"/>
        <s v="IAK DUCAL FRIJ NEGR DyP 14.1oz (18)" u="1"/>
        <s v="IAK KERNS KETCHUP 24X375gr PET" u="1"/>
        <s v="IAK DUCAL BEB TETR MELOC 200ml (24)" u="1"/>
        <s v="IAK DUCAL BEB TETR MANZ 200ml (24)" u="1"/>
        <s v="IAK BAMB DAIQUIRI FRESA 350ml LT (24)" u="1"/>
        <s v="IAK DUCAL FRIJ ROJO PICANT DyP 8oz (24)" u="1"/>
        <s v="IAK KERNS TE DURAZNO 2500ml (6)" u="1"/>
        <s v="IAK KERNS TE FRAMBUES 2500ml (6)" u="1"/>
        <s v="IAK BAMB PIÑA COLADA 350ml LATA (24)" u="1"/>
        <s v="IAK DUCAL FRIJ CARNICOS LAT 14oz (24)" u="1"/>
        <s v="IAK DUCAL FRIJ NEGR LAT 29oz (12)" u="1"/>
        <s v="IAK KERNS PASTA TOMATE 4 Oz DyP (48)" u="1"/>
        <s v="QUA JUGOS YA FRESA 10X15X18 FIT" u="1"/>
        <s v="QUA JUGOS YA JAMAICA 10X15X18 FIT" u="1"/>
        <s v="QUA JUGOS YA DURAZNO 10X15X18 FIT" u="1"/>
        <s v="QUA JUGOS YA NARANJA 10X15X18 FIT" u="1"/>
        <s v="QUA YUS GUANABA 9X15X28g)" u="1"/>
        <s v="QUA YUS FRESA 9X15X28g" u="1"/>
        <s v="QUA YUS DURAZNO 9X15X28g" u="1"/>
        <s v="QUA SAVILOE FRUTOS ROJOS 12X500ML" u="1"/>
        <s v="TERMO BOLSA DE BASURA NEGRA 24X35 (100)" u="1"/>
        <s v="ALC ARROZ MOLINER BLANC 400G (25)" u="1"/>
        <s v="QUA BONTEA DURAZNO 10X12X30G" u="1"/>
        <s v="FOS FOSFOROS CABALLO ROJO 24x10" u="1"/>
        <s v="ALD PLAY TORTU SPLASH 55g (24)" u="1"/>
        <s v="ALD PLAY BANANAS 55g (24)" u="1"/>
        <s v="BEST BOTE CONITO CHOCOLATE 80u (12)" u="1"/>
        <s v="DCASA HEINZ BANANO FLEX 24X113G" u="1"/>
        <s v="DCASA GELATINA POLVO NARANJA 28X400g" u="1"/>
        <s v="DM ESPONJAS (5XBOLSA)" u="1"/>
        <s v="IAK KERNS JUNIOR MANZ TETRA 200ml (24)" u="1"/>
        <s v="IAK KERNS JUNIOR PERA TETR 200ml (24)" u="1"/>
        <s v="IAK DUCAL FRIJ CHUB ROJO ENT 1.82kgs (6)" u="1"/>
        <s v="IAK KERNS PASTA TOMATE LATA 48X6oz" u="1"/>
        <s v="QUA JUGOS YA LIMON 10X15X18 FIT" u="1"/>
        <s v="QUA YUS HORCHATA 9X15X28g" u="1"/>
        <s v="QUA YUS TAMARINDO 9X15X28g" u="1"/>
        <s v="QUA YUS LIMONADA 9X15X28g" u="1"/>
        <s v="QUA YUS JAMAICA 9X15X28g" u="1"/>
        <s v="QUA YUS LIMONADA CON CHAN 9X15X28g" u="1"/>
        <s v="TERMO BOLSA COLOR 5 Lbs (46)" u="1"/>
        <s v="ALC ARROZ MACAREN PREC 400G (25)" u="1"/>
        <s v="KELL CHOCO KRISPIS MINI SCH 5X12X22G (5)" u="1"/>
        <s v="KELL FROOT LOOPS 28X180G (28)" u="1"/>
        <s v="FOS FOSFOROS MADERA GALLO 10X10" u="1"/>
        <s v="FOS FOSFOROS GALLO ECO 12X10" u="1"/>
        <s v="FOS ENCENDEDOR FRAGATA MINI 40X25" u="1"/>
        <s v="XHC PFS CENTELLA CAMPEON VERDE 6X4X330G" u="1"/>
        <s v="ALD PLAY TIBURONES 55g (24)" u="1"/>
        <s v="DCASA HEINZ PERA FLEX 24X113G" u="1"/>
        <s v="DCASA PAPEL ENCANTO MIL HOJAS ROLLO (24)" u="1"/>
        <s v="BONI ALD EXHIBIDOR RISTRA DE 5 GANCHERAS" u="1"/>
        <s v="BONI ARE PLATO SABUESO" u="1"/>
        <s v="IAK GOYA MAIZ ENTERO 15.25 ONZ (24)" u="1"/>
        <s v="UNS OSITO MIEL QUEENBEE 340gr (24)" u="1"/>
        <s v="QUA JUGOS YA PINA 10X15X18 FIT" u="1"/>
        <s v="QUA JUGOS YA HORCHATA 10X15X18 FIT" u="1"/>
        <s v="QUA TOKI SURTIDO 25X24X8G" u="1"/>
        <s v="TERMO PAJILLA TRANSPARENTE (50)" u="1"/>
        <s v="QUA BONTEA MANZANA 10X12X30G" u="1"/>
        <s v="ALD YOGUETA MILK 16X24 (15G)" u="1"/>
        <s v="ALD PIN POP ICE 16X24 (15G)" u="1"/>
        <s v="DCASA HEINZ FRUTA MIX FLEX 24X113G" u="1"/>
        <s v="DCASA HEINZ POSTRE  FLEX 24X113G" u="1"/>
        <s v="DCASA HEINZ CIRUELA/PASAS FLEX 24X113G" u="1"/>
        <s v="DM ESCOBA FLASH FIBER (UNIDAD)" u="1"/>
        <s v="IAK DUCAL FRIJ ROJO DyP 8oz (24)" u="1"/>
        <s v="IAK KERNS KETCHUP SALSA GALON (3)" u="1"/>
        <s v="QUA YUS NARANJA 9X15X28g)" u="1"/>
        <s v="QUA YUS PIÑA 9X15X28g" u="1"/>
        <s v="QUA YUS FRUTAS TROPICALES 9x15x28g" u="1"/>
        <s v="QUA YUS TE FRIO DURAZNO 9X15X28g" u="1"/>
        <s v="TERMO GABACHA #2 (12)" u="1"/>
        <s v="TERMO BOLSA TRANSPARENTE 5 Lbs (20)" u="1"/>
        <s v="ALC ORO MAY HARIN MAIZ BLANC 5LB (6)" u="1"/>
        <s v="KELL FROOT LOOPS MINI SCH 5X12X15G (5)" u="1"/>
        <s v="KELL CHOCO KRISPIS 24X620G (24)" u="1"/>
        <s v="KELL ZUCARITAS 28X260G (28)" u="1"/>
        <s v="XHC PFS MAX PODER LILA 6X3X400G" u="1"/>
        <s v="XHC PFS MAX MB NARANJA 6X3X500G" u="1"/>
        <s v="QUA SAVILOE 12X500ML (UNIDAD)" u="1"/>
        <s v="ALC ORO MAY HARIN MAIZ BLANC 50LBS (1)" u="1"/>
        <s v="ALD YOGUETA COOKIES &amp; CREAM 16X24 (15G)" u="1"/>
        <s v="ALD PIN POP BLACK CHERRY 16X24 (15G)" u="1"/>
        <s v="IPR MERMELADA MANZANA 12OZ (24)" u="1"/>
        <s v="IAK KERNS TE LIMON 2500ML (6)" u="1"/>
        <s v="IAK DUCAL FRIJ NEGR DyP 96oz (6)" u="1"/>
        <s v="IAK KERNS TETRA NECT MANZ 1000ml (12)" u="1"/>
        <s v="IAK KERNS TETRA NECT MELOC 1000ml (12)" u="1"/>
        <s v="IAK KERNS TETRA NECT FRUTAS 1000ml (12)" u="1"/>
        <s v="QUA JUGOS YA GUANABA 10X15X18 FIT" u="1"/>
        <s v="QUA YUS SABILA 9X15X28G" u="1"/>
        <s v="QUA NUTRIBELA TARRO 12X300ml" u="1"/>
        <s v="PORFIN MARGARINA ORISOL 400gr (24)" u="1"/>
        <s v="FOS ENCENDEDOR FRAGATA 40x25" u="1"/>
        <s v="BEST CHOCOGOL DYP 50X15X4g (50)" u="1"/>
        <s v="DCASA HEINZ MANZANA FLEX 24X113G" u="1"/>
        <s v="DCASA GELATINA POLVO MELOC.28X400g" u="1"/>
        <s v="ALD COMODATO EXHIBIDOR PIN POP" u="1"/>
        <s v="QUA JUGOS YA MORA 10X15X18 FIT" u="1"/>
        <s v="XHC PFS MAX PODER NARANJA 6X3X400G" u="1"/>
        <s v="XHC PFS MAX PODER ALOE 6X3X400G" u="1"/>
        <s v="IAK DUCAL FRIJ NEGR DyP 40oz (12)" u="1"/>
        <s v="ALD SONETTO SURTIDO 16X100 (4G)" u="1"/>
        <s v="BONI ARE MOCHILA SABUESO" u="1"/>
        <s v="IAK DUCAL FRIJ CARNICOS LAT 28oz (12)" u="1"/>
        <s v="QUA BONTEA LIMON 10X12X30G" u="1"/>
        <s v="IAK DUCAL FRIJ ROJO LAT 29oz (12)" u="1"/>
        <s v="UNS EXTENSION DOMESTICA SPT  8MTS" u="1"/>
        <s v="BONI IAK DUCAL FRIJOL NEGRO DyP 8 ONZ" u="1"/>
        <s v="BONI IAK DUCAL FRIJ DyP 4oz (24)" u="1"/>
        <s v="BONI QUA SAVILOE FRUTOS ROJOS UND 500ML (12)" u="1"/>
        <s v="IAK DUCAL BEB HOJALAT PIÑA 154ml (48)" u="1"/>
        <s v="TERMO BOLSA COLOR 2 Lbs (70)" u="1"/>
        <s v="XHC PFS CENTELLA CAMPEON BLANCO 6X4X330G" u="1"/>
        <s v="QUA YUS TE FRIO FRAMBUESA 9X15X28g" u="1"/>
        <s v="FOOD NATURAS SALSA SABOR POLLO 96X100G" u="1"/>
        <s v="BONI IAK CUCHARON PLASTICO" u="1"/>
        <s v="BONI BIC 1 PAR DE RASURADORA CONFORT 2" u="1"/>
        <s v="IAK BAMB MOJITO 350ml LATA (24)" u="1"/>
        <s v="IAK DUCAL FRIJ CARNICOS LAT 5 oz (48)" u="1"/>
        <s v="XHC UNS DETERGENTE PURO SOL 250gr (40)" u="1"/>
        <s v="UNS EXTENSION DOMESTICA SPT  6MTS" u="1"/>
        <s v="UNS BOMBILLO LED 9 WATTS (50)" u="1"/>
        <s v="KELL CHOCO KRISPIS 54X115G (54)" u="1"/>
        <s v="IAK DUCAL BEB HOJALAT MANZ 154ml (48)" u="1"/>
        <s v="IAK DUCAL BEB HOJALAT MELOC 154ml (48)" u="1"/>
        <s v="IAK DE MI TIERRA FRIJ VOLT NEGRO 35OZ DP (12)" u="1"/>
        <s v="UNS CAR MENTOLADO JAAZZ CLOROFILA 100und (30)" u="1"/>
        <s v="UNS BOMBILLO LED 12 WATTS (50)" u="1"/>
        <s v="KELL ZUCARITAS MINI SCH 5X12X20G" u="1"/>
        <s v="FOS PALITO CHOCOBANANO EL SOL 36X150u" u="1"/>
        <s v="ALD FRUNAS BARRA 18X50 (8,3)" u="1"/>
        <s v="BONI ARE PALITA SABUESO" u="1"/>
        <s v="QUA FRUTY FRESCO 6+6 (12)" u="1"/>
        <s v="QUA JUGOS YA FRUTAS TROPICALES 10X15" u="1"/>
        <s v="ARE SABUESO ADULTO 44 LBS" u="1"/>
        <s v="IAK DUCAL FRIJ ROJO LAT 5.5oz (48)" u="1"/>
        <s v="UNS BOMBILLO LED 12 Watt" u="1"/>
        <s v="UNS BOMBILLO LED 9 Watt" u="1"/>
        <s v="TERMO BOLSA TRANSPARENTE 2 Lbs (36)" u="1"/>
        <s v="TERMO GABACHA MINI/PIWI (26)" u="1"/>
        <s v="SCH QUA NUTRIBELA 10 48X6X27ML" u="1"/>
        <s v="ARE SABUESO CACHORRO 44 LBS" u="1"/>
        <s v="IAK GOYA MAIZ ENTERO 8.75 ONZ (24)" u="1"/>
        <s v="IAK KERNS SALSITA RANCHERA 106GR DP (24)" u="1"/>
        <s v="UNS GOMA DE MASCAR TUMIX SURTIDO 30x110x1.4g" u="1"/>
        <s v="IAK KERNS 157mL COCTEL VEGETALES (48)" u="1"/>
        <s v="BEST MENTAS 50X12X13g (50)" u="1"/>
        <s v="IAK DUCAL FRIJ ROJO DyP 14.1oz (18)" u="1"/>
        <s v="BEST GALLETA FRESA 24X12X22G (24)" u="1"/>
        <s v="ARE SABUESO CACHORRO 22 LBS" u="1"/>
        <s v="BONI IAK PALETA DE MADERA" u="1"/>
        <s v="IPR MERMELADA PINA 12OZ (24)" u="1"/>
        <s v="XHC PFS LIMPIOX CILINDRO AVENA 18X320G" u="1"/>
        <s v="UNS GALLE CAFE COFFEE JOY 6x18x45gr" u="1"/>
        <s v="XHC COLOSO CILINDRO 20X495G" u="1"/>
        <s v="IAK KERNS KETCHUP 8grs SACH 1000u" u="1"/>
        <s v="FOS CERILLOS GALLO FAMILIAR (100) 200 L" u="1"/>
        <s v="BEST CHOCOFRUTA 50x400G" u="1"/>
        <s v="IAK KERNS SALSITA QUESO 106GR DP (24)" u="1"/>
        <s v="ARE ARECANA ADULTO 50 LBS" u="1"/>
        <s v="BEST CHOCOFRUTA 50X400G (50)" u="1"/>
        <s v="TERMO BOLSA TRANSPARENTE 3 Lbs (30)" u="1"/>
        <s v="IAK KERNS SALSITA CARNE 106GR DP (24)" u="1"/>
        <s v="BONI PORFIN LIMPIOX AZUL 85g (72)" u="1"/>
        <s v="IPR CHILE JALAPEÑO ESCABECHE 5.5OZ (48)" u="1"/>
        <s v="ARE SABUESO ADULTO 50 LBS" u="1"/>
        <s v="UNS CHOC. TUBITO CHOKI CHOKI CHOCMAR 6x20" u="1"/>
        <s v="UNS AGOGO CENT. LIQ.SURT. 16x44x8.3gr" u="1"/>
        <s v="BEST GALLETA MANI 24X12X22G (24)" u="1"/>
        <s v="DIN MAZOLA MANTECA 1LB (50)" u="1"/>
        <s v="DIN MAZOLA ACEITE DYP 400ml (24)" u="1"/>
        <s v="DIN MAZOLA ACEITE DYP 700ml (18)" u="1"/>
        <s v="XHC DIN ZIXX JAB BLANCO 400G (6)" u="1"/>
        <s v="XHC DIN ZIXX JAB LILA 400G (6)" u="1"/>
        <s v="XHC DIN ROKU JAB SALMON 400G (4)" u="1"/>
        <s v="XHC DIN ZIXX JAB AVENA 400G (6)" u="1"/>
        <s v="XHC DIN ZIXX JAB AQUA 400G (6)" u="1"/>
        <s v="DIN MAZOLA MARGARINA BARRA 6X5X400gr (24)" u="1"/>
        <s v="DIN SOPA ISSIMA POLLO CON CHILE (12)" u="1"/>
        <s v="ALD BIAGI CAFE 16X100" u="1"/>
        <s v="ALD PLAY OSOS RELLENOS 55g (24)" u="1"/>
        <s v="XHC DIN ROKU JAB AQUA 375G (4)" u="1"/>
        <s v="ENV AGUA PURIFICADA SCANDIA 12X600ML" u="1"/>
        <s v="BONI NSK 1 BOLSA KIT CEPILLO" u="1"/>
        <s v="BONI COCA COLA 355 ML" u="1"/>
        <s v="BONI BARRA MARGARINA MAZOLA 80g" u="1"/>
        <s v="BONI SAVILOE UND 12X320ML (NUTRIBELA)" u="1"/>
        <s v="BONI YAES MUCHO NACHO NATURAL 75gr" u="1"/>
        <s v="IAK BLISS HAPPY MIX 350ml VIDR (24)" u="1"/>
        <s v="NSK BIC RASURADORA CONFORT 2 12 (48)" u="1"/>
        <s v="NSK LAVAPLATOS AXION 235G UNIDAD (48)" u="1"/>
        <s v="NSK VANISH PINK 6X12 U" u="1"/>
        <s v="NSK VANISH WHITE 6X12 U" u="1"/>
        <s v="NSK FABULOSO CITRIC Y FRU 1X6X12U/80ML" u="1"/>
        <s v="NSK AZISTIN LAVANDA 1X6X12U/80ML" u="1"/>
        <s v="NSK SUAVITEL AROM D SOL 1X6X12U/80ML" u="1"/>
        <s v="NSK SUAVITEL COMPL PRIMAV 1X6X12 U" u="1"/>
        <s v="NSK JABON PROTEX BALANCE 110GR (96)" u="1"/>
        <s v="NSK JABON PROTEX ALOE 110GR (96)" u="1"/>
        <s v="NSK JABON PROTEX FRESH 110GR (96)" u="1"/>
        <s v="NSK JABON PROTEX AVENA 110GR (96)" u="1"/>
        <s v="NSK LAVAPLATOS POTENSOL CILINDRO 400 GR (20)" u="1"/>
        <s v="NSK AZISTIN MANZANA 1X6X12U/80ML" u="1"/>
        <s v="NSK COLGATE KIT DE CEPILL 1X24TXTIRA 6UNDS" u="1"/>
        <s v="NSK COLGATE DOBLE FRESCURA 150ML" u="1"/>
        <s v="NSK COLGATE TRIP ACCION 75 ML+CEPIL (72)" u="1"/>
        <s v="NSK AZISTIN ALTERNATIVO CLORO 1X6X12U/80ML" u="1"/>
        <s v="NSK TAJIN CLASICO TIRA  DE 12 SCH (44T)" u="1"/>
        <s v="NSK LAVAPLATOS POTENSOL MARQUETA 215GR (42)" u="1"/>
        <s v="NSK BIC BOLIGRAFO NEGRO 12 (100)" u="1"/>
        <s v="NSK BIC BOLIGRAFO AZUL 12 (100)" u="1"/>
        <s v="YAES ROSTIZADOR EMPAN POLLO 90G (100)" u="1"/>
        <s v="YAES SAL DE MESA REFINADA 25/400G" u="1"/>
        <s v="DIN MAZOLA MARGARINA LIGHT 400GR (24)" u="1"/>
        <s v="XHC DIN ZIXX JAB AZUL 400G (6)" u="1"/>
        <s v="XHC DIN ZIXX JAB ROSADO 400G (6)" u="1"/>
        <s v="ALD SONETTO CHOCOLATE BLANCO 16X100 (4G)" u="1"/>
        <s v="BONI QUA YUS FRUTAS TROPICALES 9x15x28g" u="1"/>
        <s v="NSK BIC ENCENDEDOR HANDY P/ESTUFA (90)" u="1"/>
        <s v="NSK BIC RASURADORA SHAVER SENS 24 (48)" u="1"/>
        <s v="NSK FABULOSO LAVANDA 1X6X12U/80ML" u="1"/>
        <s v="NSK LAVAPLATOS DOÑA BCA.CILINDRO 250 GR (24)" u="1"/>
        <s v="NSK SUAVITEL ROSADO 6X12X80ML" u="1"/>
        <s v="YAES MUCHO NACHO BARBACOA 16X12X17gr" u="1"/>
        <s v="YAES GUENOS BARBACOA 4X12X20gr" u="1"/>
        <s v="YAES GUENOS LIMON 4X12X20gr" u="1"/>
        <s v="XHC DIN ROKU JAB AMARILLO 375G (4)" u="1"/>
        <s v="UNS GOMA DE MASCAR TUMIX MENTA 30x110x1.4g" u="1"/>
        <s v="YAES MUCHO NACHO ROSTIZADO 390G (12)" u="1"/>
        <s v="DIN MAZOLA ACEITE  BOT 32onz (12)" u="1"/>
        <s v="BONI NSK SPAGHETTI 60x200G" u="1"/>
        <s v="NSK LA MODERNA PASTA SPAGHETTI 60x200G" u="1"/>
        <s v="NSK BIC ENCENDEDOR MINI J5 (75)" u="1"/>
        <s v="NSK COLGATE DOBLE FRESC 75ML+CEPIL (72)" u="1"/>
        <s v="CB CAFE BARISTA SOLUBLE 12X24X8g" u="1"/>
        <s v="NSK BIC ENCENDEDOR MAXI J6 CARTON 15+3 (20)" u="1"/>
        <s v="YAES ROSTIZADOR MARISCO 100G (24)" u="1"/>
        <s v="YAES ROSTIZADOR BOLSA 453G (24)" u="1"/>
        <s v="XHC DIN ZIXX JAB AMARILLO 400G (6)" u="1"/>
        <s v="BONI NSK ROLLO PAPEL HIGIENICO" u="1"/>
        <s v="NSK LAVAPLATOS AXION LIMON TIRA 115GR (6)" u="1"/>
        <s v="XHC DIN VENZA JABON AVENA 110g (72)" u="1"/>
        <s v="XHC DIN VENZA JABON SABILA 110g (72)" u="1"/>
        <s v="DIN SOPA ISSIMA POLLO (12)" u="1"/>
        <s v="BONI DIN SALSA ISSIMA RANCHERA 106g (96)" u="1"/>
        <s v="IAK DUCAL FRIJ ROJO PICANT DyP 14oz (18)" u="1"/>
        <s v="BONI DIN MARGARINA MAZOLA 400G (24)" u="1"/>
        <s v="YAES MUCHO NACHO SALSA DE QUESO 105 G (30)" u="1"/>
        <s v="YAES MUCHO NACHO ROSTIZADO 180G (8)" u="1"/>
        <s v="YAES MUCHO NACHO QUESO 16X12X17gr" u="1"/>
        <s v="XHC DIN VENZA JABON VITAMINA E 110g (72)" u="1"/>
        <s v="NSK LAVAPLATOS DOÑA BLANCA CILINDRO 400G (20)" u="1"/>
        <s v="DIN ISSIMA MARGARINA 400gr (24)" u="1"/>
        <s v="BONI BAÑO 9 LITROS" u="1"/>
        <s v="XHC DIN ZIXX JAB VERDE 400G (6)" u="1"/>
        <s v="DIN SOPA ISSIMA CAMARON (12)" u="1"/>
        <s v="XHC DIN ROKU JAB SALMON 375G (4)" u="1"/>
        <s v="DIN MAZOLA MARGARINA  AJO/HIERBAS 400GR (24)" u="1"/>
        <s v="NSK COLGATE KIT DE CEPILL 1X24TX6UNDS" u="1"/>
        <s v="NSK LAVAPLATOS DOÑA BCA.CILINDRO 170GR(6)" u="1"/>
        <s v="NSK LAVAPLATOS  POTENSOL MARQUETA 215GR (42)" u="1"/>
        <s v="KELL CHOCO KRISPI SCH 8X6X150G (8)" u="1"/>
        <s v="NSK LA MODERNA CARACOL 3 42x200G" u="1"/>
        <s v="BONI QUA SAVILOE UND 500ML (12)" u="1"/>
        <s v="NSK LAVAPLATOS AXION MARQUETA 250 GR (42)" u="1"/>
        <s v="UNS DULCE KOPIKO CAPUCCINO BOTE 200und (6)" u="1"/>
        <s v="XHC DIN ROKU JAB AMARILLO 400G (4)" u="1"/>
        <m u="1"/>
        <s v="AXE AERO AP COLLISION 12X90G" u="1"/>
        <s v="AXE AERO BS COLLISION 12X90G" u="1"/>
        <s v="BYB MAYONESA CLASICA BOLSA 16/880g" u="1"/>
        <s v="BONI EGO POWER 110ML TARRO (24)" u="1"/>
        <s v="ALC ORO MAY HARIN MAIZ BLANC 2LB (9)" u="1"/>
        <s v="SEDAL AC 340 ML RIZOS DEFINIDOS (12)" u="1"/>
        <s v="SEDAL SH 340 ML RIZOS DEFINIDOS (12)" u="1"/>
        <s v="BYB SALSA PICAMAS ROJA PLASTICO 48/100g" u="1"/>
        <s v="XHC XEDEX DESIN FRUTOS CITRICOS SCH 5X12X100ML" u="1"/>
        <s v="DOVE AERO INVISIBLE DRY MEN 12X89G" u="1"/>
        <s v="DOVE STICK COCO 12X50G" u="1"/>
        <s v="ALD SONETTO SURTIDO 16X110u (16)" u="1"/>
        <s v="NSK LA MODERNA GALL MARIA VAINILLA 20x170G" u="1"/>
        <s v="DCASA GELATINA POLVO CHICLE 450G (25)" u="1"/>
        <s v="SCH SEDAL SH 2EN1 KERAT C/ANTIOX 24X28X10ML" u="1"/>
        <s v="SCH DOVE SH HIDRA Y SUAVI (ANTICASPA) 12X24X10ML" u="1"/>
        <s v="DOVE AERO DERMO ACLARANT 12X89G" u="1"/>
        <s v="BYB MANTEQUILLA DE MANI VASO 24/245g" u="1"/>
        <s v="BONI ALC ARROZ MACARENA PRECOCIDO 400g (25)" u="1"/>
        <s v="SCH SEDAL SH HIALURONICO Y VIT C 24X28X15ML" u="1"/>
        <s v="GRIPETIN GRIPE Y TOS - 12 SOBRES" u="1"/>
        <s v="XHC LIMPIOX CILINDRO ALOE 18X320G" u="1"/>
        <s v="REXONA AERO CLIN ANTIBAC W 12X90G" u="1"/>
        <s v="XHC MAX PODER BLANCO 6X4X350G" u="1"/>
        <s v="AXE AERO AP URBAN 48H ABP 12X90G" u="1"/>
        <s v="BYB SALSA BARBACOA DOY PACK 24/95g" u="1"/>
        <s v="QUA JUGOS YA LIMON 10X15" u="1"/>
        <s v="EGO GEL CONTROL CAIDA 24X230ML (24)" u="1"/>
        <s v="ALD SONETTO CHOCOLATE BLANCO 16X110u (16)" u="1"/>
        <s v="DOVE AERO CUIDADO TOTAL 12X89G" u="1"/>
        <s v="BEST CHOCO PANDA COCOA 9+1 10X30X20G (30)" u="1"/>
        <s v="BEST GOLOSINAS BOLSA 25U (24)" u="1"/>
        <s v="ALD YOGUETA CHOCOCARAMEL 16X24 (16)" u="1"/>
        <s v="BONI QUA JUGO YA HORCHATA" u="1"/>
        <s v="XHC MAX MB BLANC/VERD DUOX 6X3X540G" u="1"/>
        <s v="GRECO CHOCOCHIPS GALLETA 240gr (24)" u="1"/>
        <s v="AXE AERO VITTO DARK TEMPT12X58G" u="1"/>
        <s v="BEST BOTONETAS CHOCOLATE 20X24X11.5G (20)" u="1"/>
        <s v="EGO GEL CONTROL CAIDA 3X8X110ML" u="1"/>
        <s v="BEST CHOCOFRUTA TABLETA 410 GRS 1X24" u="1"/>
        <s v="GOMITAS 4 OSOS GRANDES 14GR 12X2X20X4" u="1"/>
        <s v="KMD EL ARTESANO SALSA CHILTEPE 95g" u="1"/>
        <s v="BYB CONCENTRADO DE TAMARINDO 4/3785 ml" u="1"/>
        <s v="BEST CARAMELO DURO SURTIDO 30 X 100 UND" u="1"/>
        <s v="XHC PFS MAX MB BLANC/VERD DUOX 6X3X540G" u="1"/>
        <s v="IPR MIEL MAPLE 360ML" u="1"/>
        <s v="BYB CONCENTRADO DE HORCHATA DISPLAY 6/12u" u="1"/>
        <s v="QUA JUGOS YA MORA 10X15" u="1"/>
        <s v="REXONA AERO CLINICAL CLASSIC WOMAN 12X90G" u="1"/>
        <s v="BEST GALLETA CHOCOLATE 24X12X22G (24)" u="1"/>
        <s v="BONI XTREME GEL 100g" u="1"/>
        <s v="IAK KERNS JUNIOR UVA TETR 200ml (24)" u="1"/>
        <s v="PD PEDIALYTE UVA 60 MEQ 500ML (12)" u="1"/>
        <s v="REXONA CLINICAL MEN 12X48G" u="1"/>
        <s v="BYB MAYONESA EXTRAMAYO 48/100g" u="1"/>
        <s v="PONDS CR  50G CLARANT B3 GRASA (24)" u="1"/>
        <s v="PONDS CR 100G CLARANT B3 GRASA (24)" u="1"/>
        <s v="IPR LOZANO MANZANA 500ML (12)" u="1"/>
        <s v="FOOD HELLMANNS MAY DYP 12X400G" u="1"/>
        <s v="FOOD MAIZENA FECULA MAIZ MANZANA CANELA 16X12X47G" u="1"/>
        <s v="DCASA PAPEL HIG. 1X12X4ROLL" u="1"/>
        <s v="BYB VINAGRE PRIMA 24/500" u="1"/>
        <s v="XHC MAX PODER NARANJA 6X3X400G" u="1"/>
        <s v="XHC MAX MB BLANC/NAR DUOX 6X3X540G" u="1"/>
        <s v="BONI QUA AVENA ESTRELLA 360G" u="1"/>
        <s v="BYB SALSA PICAMAS ALMOHADITA 48/110 g" u="1"/>
        <s v="MA AVENA INTEGRAL 25X300G" u="1"/>
        <s v="BONI ALC ARROZ MACARENA BLANCO 400g (25)" u="1"/>
        <s v="BONI ALC ARROZ MOLINERO BLANCO 400g (25)" u="1"/>
        <s v="BONI NSK TAJIN CLASICO 24/45G" u="1"/>
        <s v="AMS TOALLA HUMEDA BABY STAR 12X80" u="1"/>
        <s v="QUA JUGOS YA SABILA 10X15" u="1"/>
        <s v="NSK SUAVITEL COMPL PRIMAV 1X2X36UNDS+6UNDS" u="1"/>
        <s v="BONI GORRAS PEDIALYTE" u="1"/>
        <s v="XHC CENTELLA CHIBOLONA VERDE 4X3X400G" u="1"/>
        <s v="SCH SEDAL SH SOS CASPA 12X24X10ML+4" u="1"/>
        <s v="BONI ALC ORO MAYA 400GR" u="1"/>
        <s v="XHC XEDEX P MAXIMO PODER 30X400G" u="1"/>
        <s v="NSK LA MODERNA MOÑO 42x180G" u="1"/>
        <s v="AMS Pañal Bebin SuperFlexi Mediano 4x40" u="1"/>
        <s v="REXONA AERO ANTIBAC INVISIBLE MEN ADVANCE 12/90G" u="1"/>
        <s v="BONI NSK  KIT DE CEPILLADO COLGATE UND" u="1"/>
        <s v="NSK BIC RASURADORA CONFORT 2 12+2 (48)" u="1"/>
        <s v="XHC XEDEX P MAXIMO PODER 30X450G" u="1"/>
        <s v="AMS Pañal Super Lucca Grande 4X50" u="1"/>
        <s v="DOVE AERO INVISIBLE DRY WOMAN 12X89G" u="1"/>
        <s v="FOS ENCENDEDORES FRAGATA MINI 10X12X3 (3 PACK)(10)" u="1"/>
        <s v="ALD YOGUETA CHOCOCARAMEL 1x24u (16)" u="1"/>
        <s v="GRECO CANASTICAS GALLETA MORA ROJA 270gr (24)" u="1"/>
        <s v="NSK HOT CAKE CAJA 12x500G" u="1"/>
        <s v="XHC PFS MAX PODER VERDE LIMON 6X3X400G" u="1"/>
        <s v="BYB CHEEZ DIP DOY PACK 12/200g" u="1"/>
        <s v="BYB MAYONESA EXTRAMAYO 48/200g" u="1"/>
        <s v="BONI IAK KERNS COCTEL VEGETALES 157ML" u="1"/>
        <s v="BONI DINANT PLATO PLASTICO" u="1"/>
        <s v="FOOD NATURAS JUMB SSA RANCH 24X100G" u="1"/>
        <s v="EGO GEL POWER 8X30X15ML+GEL 200ML" u="1"/>
        <s v="DOVE STICK ORIGINAL 12X50G" u="1"/>
        <s v="FOOD MAIZENA FECULA MAIZ NATURAL 20X20X45G" u="1"/>
        <s v="YAES EMPANIZADOR CEREAL 90G" u="1"/>
        <s v="FOOD MAIZENA FECULA MAIZ NATURAL 20X20X47G" u="1"/>
        <s v="GOMITAS LIMON Y CHILE 20GR 12X2X10X4" u="1"/>
        <s v="BYB SALSA BARBACOA SQUEZZE PLASTICO 24/14oz" u="1"/>
        <s v="GRECO INTEGRAL AVENA FRUTOS ROJOS 156gr (24)" u="1"/>
        <s v="BEST CHOCOPANDA CAJA CHOCOLATE 285G (36)" u="1"/>
        <s v="YAES ROSTIZADOR 18/453G" u="1"/>
        <s v="REXONA AERO BAMBOO 12X90G" u="1"/>
        <s v="AMS Pañal Bebin SuperFlexi Grande 4x40" u="1"/>
        <s v="DCASA GELATINA POLVO FRESA 450G (25)" u="1"/>
        <s v="DCASA GELATINA POLVO LIMON 450G (25)" u="1"/>
        <s v="AMS PAPEL HIG MAX PAP 8X6 DORADO NEGRO HT" u="1"/>
        <s v="IAK ADAN Y EVA FRUTOS ROJOS 350ML LAT (24)" u="1"/>
        <s v="FOOD NATURAS SSA TOMATE RANCHERA 24X200G" u="1"/>
        <s v="SCH SEDAL CR LISO PERFECTO 24X28X10ML" u="1"/>
        <s v="SCH SEDAL CR PEIN RIZ OBED 24X28X10ML" u="1"/>
        <s v="SCH SEDAL SH LISO PERFECTO 24X28X10ML" u="1"/>
        <s v="BONI QUA GALLETA BEST MANI 24X12" u="1"/>
        <s v="AMS TOALLA HUMEDA LUCCA FRESH 12X350G" u="1"/>
        <s v="PD PEDIALYTE COCO 30 MEQ 500ML (12)" u="1"/>
        <s v="PD PEDIALYTE COCO 60 MEQ 500ML (12)" u="1"/>
        <s v="NSK LYSOL DESINFECTANTE MULTIUSOS SPRAY" u="1"/>
        <s v="BONI UL AZUCAR MORENA 230G" u="1"/>
        <s v="BYB MERMELADA DE MORA VASO 12/260g" u="1"/>
        <s v="BYB MERMELADA DE PIÑA VASO 12/260g" u="1"/>
        <s v="AMS PAPEL HIGIENICO MAX PAPPEL 8X6X DORADO NEGRO HT" u="1"/>
        <s v="SCH QUA NUTRIBELA 10 18+6 (12)" u="1"/>
        <s v="REXONA STICK WOMAN BAMBOO 12X50G" u="1"/>
        <s v="QUA JUGOS YA JAMAICA 10X15" u="1"/>
        <s v="XHC XEDEX P SUAV B PRIMAV 15X1KG" u="1"/>
        <s v="XHC VENZA JABON VITAMINA E 110g (72)" u="1"/>
        <s v="XHC DIN ROKU JAB AQUA 400G (4)" u="1"/>
        <s v="XHC XEDEX DESIN CITRICOS DYP 12X750ML" u="1"/>
        <s v="BONI IAK FUN C TETRA MANZANA 200ML" u="1"/>
        <s v="EGO GEL POWER 4x6x200 ML" u="1"/>
        <s v="IPR LOZANO UVA 500ML" u="1"/>
        <s v="XHC XEDEX P MAXIMO PODER 13X900G" u="1"/>
        <s v="BEST BOTE CONITO CHOCOLATE 70u (12)" u="1"/>
        <s v="BYB SALSA SOYA PLASTICA 48/3.5oz" u="1"/>
        <s v="REXONA AERO SPORFAN 12X90G" u="1"/>
        <s v="BONI SH SAVILE BIOTINA DISPLAY" u="1"/>
        <s v="FRV GRIPETIN GRIPE Y TOS - 12 SOBRES" u="1"/>
        <s v="SCH SAVILE CR RIZOS ARGAN 12X28X15ML" u="1"/>
        <s v="XHC XEDEX P PROTECCION COLOR 15X900G" u="1"/>
        <s v="BYB MAYONESA CLASICA ALMOHADITA 48/100g" u="1"/>
        <s v="BONI QUA NUTRIBELA 10 24X12X27ML" u="1"/>
        <s v="GRECO INTEGRAL AVENA UVA Y CIRUELA 156gr (24)" u="1"/>
        <s v="FOOD MAIZENA ALMIDON MAIZ NATURAL 40X380G" u="1"/>
        <s v="NSK LAVAPLATOS AXION 235G UNIDAD  (48)" u="1"/>
        <s v="BONI QUA HARINA MASECA 400G" u="1"/>
        <s v="BEST CARAMELO BLANDO DE LECHE 16 X 100 UND" u="1"/>
        <s v="BONI GORRA ALDOR" u="1"/>
        <s v="NSK BIC RASURADORA SHAVER SENS 24+4 (24)" u="1"/>
        <s v="NSK LA MODERNA PASTA TORNILLO 42x200G" u="1"/>
        <s v="IAK ADAN Y EVA LIMON JEMGIBRE 355ML LAT (24)" u="1"/>
        <s v="YAES LECHE DE COCO 400ml (24)" u="1"/>
        <s v="EGO GEL POWER 4x6x200 ML+5 SCH" u="1"/>
        <s v="BEST CHOCOGOL DYP 50X15X5g (50)" u="1"/>
        <s v="XHC XEDEX P SUAVIZ B PRIMAV 30X125G" u="1"/>
        <s v="AXE AERO BS ICE CHILL 12X90G/150ML" u="1"/>
        <s v="XHC PFS MAX MB NARANJA 6X3X540G" u="1"/>
        <s v="XHC REXONA JAB AVENA 48X125G" u="1"/>
        <s v="FOOD NATURAS SALSA TOMATE RANCHERA 96X100G" u="1"/>
        <s v="QUA JUGOS YA PIÑA 10X15" u="1"/>
        <s v="REXONA AERO V8 12X90G" u="1"/>
        <s v="BEST CARAMELO BLANDO ZUMO SURTIDO 16 X 100 UND" u="1"/>
        <s v="FOOD LIPTON TE VERDE C/MENTA 20X20BLS" u="1"/>
        <s v="UNS DULCE KOPIKO CAFE BOTE 200und (6)" u="1"/>
        <s v="EGO GEL ATTRAC 4/6/200ML+5 SCH" u="1"/>
        <s v="IQUI CLORO MAGICLOR POPULINO 1X4X12 235ML" u="1"/>
        <s v="BEST RODAJAS JAL 24/215G" u="1"/>
        <s v="REXONA AERO CLIN ANTIB MEN 12X91G" u="1"/>
        <s v="XHC PFS MAX MB BLANCA 6X3X540G" u="1"/>
        <s v="AMS PAPEL HIG LUCCA 24X1X168 NARANJA HD" u="1"/>
        <s v="AMS TOALLA DE COCINA MAX PAPEL 12X2X240HD BAJA" u="1"/>
        <s v="BYB SALSA PICAMAS VERDE PLASTICO 24/200g" u="1"/>
        <s v="UNS GOMA DE MASC. AGOGO CENT. LIQ.SURT. 16x44x8.3gr" u="1"/>
        <s v="SEDAL SH 340 ML NEGROS LUMINOSOS (12)" u="1"/>
        <s v="XHC VENZA JABON AVENA 110g (72)" u="1"/>
        <s v="TERMO BOLSA DE BASURA NEGRA 24X35" u="1"/>
        <s v="TERMO GABACHA #1" u="1"/>
        <s v="XHC MAX PODER AMARILLO 6X3X400G" u="1"/>
        <s v="BONI ROLLO PAPEL HIGIENICO" u="1"/>
        <s v="BONI NSK LAPICERO BIC" u="1"/>
        <s v="BYB SALSA SOYA PLASTICA 24/152 ml" u="1"/>
        <s v="TERMO BOLSA TRANSPARENTE 1 Lbs (60)" u="1"/>
        <s v="BEST FRUTIBOTONETAS TROPICAL 20Ctx24U 25G" u="1"/>
        <s v="BYB MAYONESA BOLSA 48/200g" u="1"/>
        <s v="XHC XEDEX JAB LIQ FLORAL DYP 12X450ML" u="1"/>
        <s v="FOOD LIPTON TE MANZANILLA MIEL 24X20BLS" u="1"/>
        <s v="BONI AMSA PAQ TOALLA HUMEDA BEBIN 40 UND" u="1"/>
        <s v="BYB SALSA PICAMAS VERDE PLASTICO 48/100g" u="1"/>
        <s v="QUA JUGOS YA NARANJA 10X15" u="1"/>
        <s v="FOOD KNORR SOPA GAL CRIOL C/FIDEOS 12X12X54G" u="1"/>
        <s v="QUA JUGOS YA MANGO 10X15" u="1"/>
        <s v="AXE AERO BS EXCITE 12X90G" u="1"/>
        <s v="BYB CONCENTRADO DE HORCHATA 24/225 ml" u="1"/>
        <s v="FOOD MAIZENA FECULA MAIZ  FRESA 16X12X45G" u="1"/>
        <s v="IAK KERNS SALSITA HONGOS 106GR DP (24)" u="1"/>
        <s v="PONDS CR 50G CLARANT B3 SECA (24)" u="1"/>
        <s v="SEDAL CR 300 ML PEIN KERATINA Y ANTIOX (12)" u="1"/>
        <s v="LC GOMITAS 10X12X5" u="1"/>
        <s v="FOOD MAIZENA FECULA BAN/FRESA/VAIN 16X12X47G" u="1"/>
        <s v="BEST MENTA GLACIAL 30 BOLSAS DE 100 UNIDADES" u="1"/>
        <s v="XHC VENZA JABON SABILA 110g (72)" u="1"/>
        <s v="PD PEDIALYTE FRESA 60 MEQ 500ML (12)" u="1"/>
        <s v="REXONA STICK MEN ANTIBAC 12X50G" u="1"/>
        <s v="SCH DOVE SH OLEO NUTRI 12X24X10ML" u="1"/>
        <s v="ALD PIN POP FRESA 16X24u (16)" u="1"/>
        <s v="ALD PIN POP MANGO 16X24u (16)" u="1"/>
        <s v="BYB SALSA INGLESA PLASTICA 24/152 ml" u="1"/>
        <s v="XHC MAX PODER AZUL 6X4X330G" u="1"/>
        <s v="AXE AERO BS APOLLO 12X90G" u="1"/>
        <s v="BYB SALSA T/KETCHUP FRONTERA 32/375g" u="1"/>
        <s v="AMS PAPEL HIGENICO LUCCA 6X4X1000 MEJOR HD" u="1"/>
        <s v="ALD PIN POP SENSAT CHICLE SABOR SURTI 1x24u (16)" u="1"/>
        <s v="BONI DIN CUBETA PLASTICA" u="1"/>
        <s v="DCASA GELATINA POLVO UVA 450G (25)" u="1"/>
        <s v="BONI COLADOR" u="1"/>
        <s v="IPR LOZANO UVA 3.2L (6)" u="1"/>
        <s v="IQUI CLORO BLANCO SOL 1/2 GALON (6)" u="1"/>
        <s v="SCH REXONA CLIN DEO CLAS W 12X8X8G+SCH (12)" u="1"/>
        <s v="PONDS CR  50G REJUVENESS (24)" u="1"/>
        <s v="AMS ALCOHOL GEL ANTIBAC. CLT 12X440ML (12)" u="1"/>
        <s v="XHC MAX BLANC/NARAN DUOX 6X4X330G" u="1"/>
        <s v="XHC REXONA JAB ANTIBAC LIMP PROF 48X125G" u="1"/>
        <s v="BEST FRUTI BOTONETAS TROPICAL 20X24X25G (20)" u="1"/>
        <s v="TERMO BOLSA COLOR 5 Lbs" u="1"/>
        <s v="REXONA AERO AO ACTIVE 12X89G" u="1"/>
        <s v="NSK LA MODERNA CODITOS QUESO 20x200G" u="1"/>
        <s v="AXE AERO BS BLACK NIGHT12X90G" u="1"/>
        <s v="XHC VENZA JABON FRESCURA EXTR 110g (72)" u="1"/>
        <s v="DOVE AERO GO FRESH PEPINO 12X89G" u="1"/>
        <s v="YAES ROSTIZADOR 100/100G" u="1"/>
        <s v="YAES EMPANIZADOR DE POLLO 180/50G" u="1"/>
        <s v="AXE AERO AP ICE CHILL 12X90G/152ML" u="1"/>
        <s v="BYB MAYONESA EXTRAMAYO 32/375g" u="1"/>
        <s v="NSK TAJIN SALSA LIQ CHAMOY 475MLl (12)" u="1"/>
        <s v="SCH REXONA CLIN DEO CLAS MIX S6X10X8G+SCH (6)" u="1"/>
        <s v="AMS SERVILLETA MAX PAPPEL 10X1X100 CUADRADA" u="1"/>
        <s v="NSK BIC MAXI J6 CARTÓN 15+3 (20)" u="1"/>
        <s v="PONDS CR 50G REJUVENESS (24)" u="1"/>
        <s v="PONDS POLVO COMP AF NATURAL2 16X12G" u="1"/>
        <s v="BONI ALC ARROZ ESTRELLA PRECOCIDO 350g (25)" u="1"/>
        <s v="BYB SALSA BARBACOA 4/4,400g" u="1"/>
        <s v="TERMO BOLSA TRANSPARENTE 1 Lbs" u="1"/>
        <s v="BONI NSK JABON PROTEX FRESH 110GR (96)" u="1"/>
        <s v="SCH SAVILE SH 2EN1 12X28X15ML" u="1"/>
        <s v="TERMO BOLSA TRANSPARENTE 2 Lbs" u="1"/>
        <s v="TERMO BOLSA TRANSPARENTE 3 Lbs" u="1"/>
        <s v="FOOD NATURAS SALSA TOMATE C/CARNES 96X100G" u="1"/>
        <s v="TERMO BOLSA TRANSPARENTE 5 Lbs" u="1"/>
        <s v="NSK TAJIN SALSA LIQ CLASICA 475ML (12)" u="1"/>
        <s v="DIN MAZOLA MARGARINA BARRA 400gr (24)" u="1"/>
        <s v="BYB SALSA INGLESA PLASTICA 48/3.5onz" u="1"/>
        <s v="AMS TOALLAS HUMEDAS BABY STAR 24X40" u="1"/>
        <s v="BYB CHILE JALAPEÑO LA CONTENTA LATA 48/180g" u="1"/>
        <s v="BONI DCASA ORO MAYA 400GR" u="1"/>
        <s v="BONI DIN JABONERA VENZA" u="1"/>
        <s v="NSK LA MODERNA SPAGHETTI QUESO 20x200G" u="1"/>
        <s v="XHC CENTELLA CHIBOLONA AZUL 4X3X400G" u="1"/>
        <s v="EGO GEL ATTRAC 6/30/12ML" u="1"/>
        <s v="XHC MAX BLANC/AZUL DUOX 6X3X400G" u="1"/>
        <s v="GOMITAS 10 OSOS 12X2X20X10" u="1"/>
        <s v="REXONA STICK MEN ANTIBACT FRESH 12X50G" u="1"/>
        <s v="BONI BAÑO 10 LITROS" u="1"/>
        <s v="BYB CONCENTRADO DE HORCHATA 12/678 ml" u="1"/>
        <s v="FOOD KNORR SOPA POLLO C/FIDEO 12X12X55G" u="1"/>
        <s v="ALC ARROZ MOLINERO BLANCO 200GR (20)" u="1"/>
        <s v="ALD YOGUETA SURTIDA 1x24u (16)" u="1"/>
        <s v="XHC DIN VENZA JABON FRESCURA EXTR 110g (72)" u="1"/>
        <s v="AXE AERO BS BLACK 12X90G" u="1"/>
        <s v="BYB MERMELADA DE FRESA TARRO 12/300g" u="1"/>
        <s v="SCH DOVE SH OLEO NUTRI 24X28X10ML" u="1"/>
        <s v="SCH SEDAL SH CERAMIDAS 24X28X10ML" u="1"/>
        <s v="SCH SEDAL SH NEGRO LUM 24X28X10ML" u="1"/>
        <s v="ALD YOGUETA MILK 16X24u (16)" u="1"/>
        <s v="BYB SALSA PICAMAS VERDE BOLSA 48/223g" u="1"/>
        <s v="XHC XEDEX P SUAVIZ YLANG 15X1KG" u="1"/>
        <s v="AMS PAPEL HIG MAX PAP. 6X4 MEJOR QUE 1000HD" u="1"/>
        <s v="YAES ROSTIZADOR BOLSA 453G (18)" u="1"/>
        <s v="BONI IAK DUCAL FRIJOL LATA 15 ONZ" u="1"/>
        <s v="XHC DOVE JAB CUIDA PROTEGE 48X90G" u="1"/>
        <s v="FOOD MAIZENA ALMIDON MAIZ NATURAL 80X185G" u="1"/>
        <s v="BYB SALSA INGLESA PLASTICO 4/3850 ml" u="1"/>
        <s v="ALD PIN POP BLACK CHERRY CON CHICLE 16x24u (16)" u="1"/>
        <s v="GOMITAS 4 TAPA Y CORAZONES FRUTA 20GR 12X2X10X4" u="1"/>
        <s v="XHC REXONA JAB BAMBOO 48X125G" u="1"/>
        <s v="ALD PIN POP MIX ASSORTED 16X24u (16)" u="1"/>
        <s v="BYB MAYONESA CLASICA BOLSA 8/1500g" u="1"/>
        <s v="PONDS CR  45G C ORIGINAL (24)" u="1"/>
        <s v="DIN SOPA ISSIMA CAMARON/CHILE (12)" u="1"/>
        <s v="ALD FRUNAS DUO COLOR 16X100u (16)" u="1"/>
        <s v="REXONA STICK WOMAN ANTIBAC INVISIBLE 12X50G" u="1"/>
        <s v="NSK LA MODERNA GALL MARIANITA NUEZ 20x185G" u="1"/>
        <s v="DCASA MIRASOL MARG 36X5+1/80G" u="1"/>
        <s v="AMS PAPEL HIGENICO LUCCA 24X1X1000 MEJOR HD" u="1"/>
        <s v="BYB MAYONESA BOLSA 32/380g" u="1"/>
        <s v="BYB SALSA PICAMAS VERDE JUMBO PLASTICO 24/19oz" u="1"/>
        <s v="EGO GEL POWER 6/1000 ML" u="1"/>
        <s v="FOOD HELLMANNS MAY DP 12X380G" u="1"/>
        <s v="XHC XEDEX P ANTIBAC 15X1KG" u="1"/>
        <s v="BYB MAYONESA CLASICA BOLSA 32/380g" u="1"/>
        <s v="QUA FRUTY F SURTIDO 8X18X14G" u="1"/>
        <s v="AXE AERO BS ANARCHY FW 12X90G" u="1"/>
        <s v="QUA NUTRIBELA TRAT CAP 24X12X27ML" u="1"/>
        <s v="QUA JUGOS YA DURAZNO 10X15" u="1"/>
        <s v="FOOD NATURAS FRIJOL NEGRO VOLTEADO 24X380G" u="1"/>
        <s v="XHC MAX PODER VERDE 6X4X330G" u="1"/>
        <s v="DCASA GELATINA POLVO NARANJA 450G (25)" u="1"/>
        <s v="FOOD NATURAS PASTA TRADICIONAL 96X100G" u="1"/>
        <s v="FOOD NATURAS SALSA ITALIANA CL 96X100G" u="1"/>
        <s v="BYB CHILE JALAPEÑO SEMIPICANTE LATA 96/5.8oz" u="1"/>
        <s v="QUA JUGOS YA FRESA 10X15" u="1"/>
        <s v="FOOD LIPTON TE INFUS MANZANILLA 24X20BLS" u="1"/>
        <s v="BYB CHILE JALAPEÑO SEMIPICANTE BOLSA 12/320g" u="1"/>
        <s v="REXONA AERO ANTIBAC INVISIBLE MEN 12X90G" u="1"/>
        <s v="SCH REXONA CLIN DEO CLEAN MEN 12X8X8G+SCH (12)" u="1"/>
        <s v="DOVE AERO CLEAR TONE 12X89G" u="1"/>
        <s v="GRECO GALL CHOCOCHIPS MINI 16X" u="1"/>
        <s v="BEST GALLETA MICHOKO 24X12X22G (24)" u="1"/>
        <s v="AMS TOALLA DE COCINA MAX PAPEL 8X3X120" u="1"/>
        <s v="REXONA STICK WOMAN POWDER 12X50G" u="1"/>
        <s v="FOSFORO QUETZAL 10X10" u="1"/>
        <s v="BYB MOSTAZA BOLSA 48/100g" u="1"/>
        <s v="BYB MOSTAZA BOLSA 48/200g" u="1"/>
        <s v="BONI QUA FRUTY FRESCO (8)" u="1"/>
        <s v="NSK LYSOL DESINFECTANTE MULTIUSOS DP 500 ML (18)" u="1"/>
        <s v="BONI DIN SOPA ISSIMA" u="1"/>
        <s v="FOOD NATURAS FRIJOL NEGRO VOLT 24X210G" u="1"/>
        <s v="TERMO GABACHA #2" u="1"/>
        <s v="BYB MERMELADA DE FRESA VASO 12/260g" u="1"/>
        <s v="PD PEDIALYTE CLASICO 30 MEQ 500ML (12)" u="1"/>
        <s v="PD PEDIALYTE MANZANA 60 MEQ 500ML (12)" u="1"/>
        <s v="IAK DUCAL FRIJ NEGR LAT 5.5oz PROMO (48)" u="1"/>
        <s v="BEST RODAJAS JAL EN ESCAB 24/170G" u="1"/>
        <s v="XHC PFS CENTELLA CHIBOLONA VERDE 4X3X400G" u="1"/>
        <s v="BYB SALSA PICAMAS VERDE BOLSA 48/100g" u="1"/>
        <s v="BYB CONCENTRADO DE TAMARINDO 24/225 ml" u="1"/>
        <s v="AMS PAPEL HIG MAX PAP. SUPER ECON 4X12 (4)" u="1"/>
        <s v="BYB VINAGRE CLARO 24/200ml" u="1"/>
        <s v="DOVE STICK GO FRESH PEPINO" u="1"/>
        <s v="AMS TOALLA FEM FEELING MAXI NOCTURNA 12X8" u="1"/>
        <s v="BONI QUA JUGOS YA FRUTAS TROPICALES" u="1"/>
        <s v="BYB VINAGRE CLARO 24/500ml" u="1"/>
        <s v="SCH SEDAL SH 2EN1 CERAMIDAS 12X24X10ML+4 SCH" u="1"/>
        <s v="SCH DOVE SH HIDRA Y SUAVI (ANTICASPA) 24X28X10ML" u="1"/>
        <s v="NSK LA MODERNA CODO 2 50x200G" u="1"/>
        <s v="AMS Pañal Bebin SuperFlexi XXG 4x40" u="1"/>
        <s v="AMS SHAMPOO BABY STAR 5X30X10ML SIN LAGRIMAS" u="1"/>
        <s v="DOVE AERO ORIGINAL 12X89G" u="1"/>
        <s v="XHC PFS CENTELLA CHIBOLONA AMARILLO 4X3X400G" u="1"/>
        <s v="BYB MAYONESA PRIMA BOLSA 8/1500g" u="1"/>
        <s v="DOVE AERO AP CALENDULA 12X87G" u="1"/>
        <s v="NSK LYSOL DESINFECTANTE MULTIUSOS SPRAY (12)" u="1"/>
        <s v="NSK DOÑA BLANCA CILINDRO 400G (20)" u="1"/>
        <s v="SCH DOVE SH RECON COMPL SUP 24X28X10ML" u="1"/>
        <s v="NSK BIC RASURADORA TWIN LADY 12+2 KIT CEP (24)" u="1"/>
        <s v="SEDAL CR 300 ML PEIN LISOS PERFEC (12)" u="1"/>
        <s v="BYB CHILE JALAPEÑO PICANTE LATA 96/5.8oz" u="1"/>
        <s v="EGO GEL ATTRAC 4X6X110ML" u="1"/>
        <s v="AMS Pañal Bebin SuperFlexi Pequeño 4x40" u="1"/>
        <s v="XHC MAX BLANC/VERDE DUOX 6X4X350G" u="1"/>
        <s v="SCH SEDAL CR PEIN KERAT 24X28X10ML" u="1"/>
        <s v="TERMO GABACHA MINI/PIWI" u="1"/>
        <s v="PONDS CR 100G REJUVENESS DIA (24)" u="1"/>
        <s v="DOVE MINIROLLON ORIGINAL 6X30ML" u="1"/>
        <s v="BYB MAYONESA ALMOHADITA 48/100g" u="1"/>
        <s v="BYB PICAMAS HABANERO 24/155G" u="1"/>
        <s v="KELL FROOT LOOPS MINI SCH 5X12X22G (5)" u="1"/>
        <s v="SCH DOVE SUPER AC 60 20X12X12ML (20)" u="1"/>
        <s v="NSK LA MODERNA GALL MALVADISCO 10x624G" u="1"/>
        <s v="REXONA ROLLON V8 6X30ML" u="1"/>
        <s v="BONI ALC ARROZ GALLO DORADO 400g (25)" u="1"/>
        <s v="YAES ROSTIZADOR 100/90G" u="1"/>
        <s v="BYB VINAGRE CLARO 48/100ml" u="1"/>
        <s v="AMS ALCOHOL LIQUIDO ANTIBACT. CLT 12X1X850ML (12)" u="1"/>
        <s v="REXONA ROLLON BAMBOO 6X30ML" u="1"/>
        <s v="XHC XEDEX P SUAVIZ YLANG 30X125G" u="1"/>
        <s v="BONI PFS CLORO MAGICLOR UND" u="1"/>
        <s v="YAES VINAGRE MANZANA CLEMEN 500ml (24)" u="1"/>
        <s v="PD PEDIALYTE CEREZA 30 MEQ 500ML (12)" u="1"/>
        <s v="EGO GEL POWER 6/30/12ML" u="1"/>
        <s v="AMS JAB ANTIBAC CLT NARANJA JUGOSA 12X440" u="1"/>
        <s v="BONI VANISH 3X100ML" u="1"/>
        <s v="SCH SEDAL SH NEGR LUM 12X24X10ML+4" u="1"/>
        <s v="BONI QUA GALLETA BEST MANI 24X12 (JUGOS YA)" u="1"/>
        <s v="BYB MERMELADA DE FRESA DOY PACK 24/200g" u="1"/>
        <s v="DOVE AERO AP COCO 12X87G" u="1"/>
        <s v="MA AVENA MOSH ESTRELLA 25X360G" u="1"/>
        <s v="LOT CONSOME CRIOLLO LOTY 225GR (50)" u="1"/>
        <s v="QUA JUGOS YA GUANABA 10X15G" u="1"/>
        <s v="BONI IAK DUCAL FRIJOL LATA 5.5 ONZ" u="1"/>
        <s v="KMD EL ARTESANO SALSA COBANERO 95g" u="1"/>
        <s v="XHC DOVE JAB BLANCO ORIGINAL 48X90G" u="1"/>
        <s v="BYB MAYONESA CLASICA BOLSA 48/100g" u="1"/>
        <s v="XHC PFS CENTELLA CHIBOLONA BLANCO 4X3X400G" u="1"/>
        <s v="XHC PFS CENTELLA CHIBOLONA ROSADO 4X3X400G" u="1"/>
        <s v="DOVE STICK DERMO ACLARANT 12X50G" u="1"/>
        <s v="QUA FRUTY FRESCO 6+6" u="1"/>
        <s v="QUA SAVILOE 12X320ML (PAQUETE)" u="1"/>
        <s v="QUA SAVILOE 12X500ML (PAQUETE)" u="1"/>
        <s v="QUA PROMOCION SAVILOE 500ML 9+3 (PAQUETE)" u="1"/>
        <s v="IAK ADAN Y EVA COCO LIMON 355ML LAT (24)" u="1"/>
        <s v="AXE AERO AP DARK TEMP SEC 12X90G" u="1"/>
        <s v="SCH QUA NUTRIBELA 10 9+3 (24)" u="1"/>
        <s v="IPR MIEL MAPLE 360ML (12)" u="1"/>
        <s v="BYB VINAGRE CLARO BOTE LARGO 12/750ml" u="1"/>
        <s v="YAES CHILE JALAPEÑO EN RAJAS 105 GR (40)" u="1"/>
        <s v="AXE STICK AP ICE CHILL 12X50G" u="1"/>
        <s v="AXE STICK TRANS DARK TEMP 12X54G" u="1"/>
        <s v="EGO GEL URBAN 4x6x110 ML" u="1"/>
        <s v="XHC MAX PODER BLANCO 6X3X400G" u="1"/>
        <s v="XHC MAX PODER ROSADO 6X3X400G" u="1"/>
        <s v="AMS ECO JAB ANTIBAC CL NARANJA JUGOSA 1x20 LT" u="1"/>
        <s v="BYB MAYONESA EXTRAMAYO BOLSA 8/1500g" u="1"/>
        <s v="REXONA STICK WOMAN ANTIBAC 12X50G" u="1"/>
        <s v="NSK LA MODERNA SUR GALLETAS 1143KG" u="1"/>
        <s v="XHC MAX PODER VERDE LIMON 6X3X400G" u="1"/>
        <s v="BONI AMSA LUCA NARANJA ROLLO" u="1"/>
        <s v="PONDS CR  50G CLARANT B3 SECA (24)" u="1"/>
        <s v="PONDS CR 100G CLARANT B3 SECA (24)" u="1"/>
        <s v="ALC CR AVEN HOJUELA 12U 350G" u="1"/>
        <s v="IAK KERNS NECT PERA TETR 250ml (24)" u="1"/>
        <s v="FOOD MAIZENA ALMIDON MAIZ NATURAL 80X190G" u="1"/>
        <s v="BYB MAYONESA PRIMA BOLSA 4/3000g" u="1"/>
        <s v="ALD PIN POP THE MOST WANTED 16X24u (16)" u="1"/>
        <s v="BYB SALSA PICANTE FRONTERA 4/1 GALON BOLSA" u="1"/>
        <s v="BONI AMSA TOALLA HUMEDA STAR 24X1X40" u="1"/>
        <s v="BYB CHILE JALAPEÑO SEMIPICANTE 96/5.8oz" u="1"/>
        <s v="BONI UL PALANGA" u="1"/>
        <s v="BYB SALSA SOYA PLASTICO 4/3850 ml" u="1"/>
        <s v="FOOD KNORR SOPA TORTILLA 12X12X58G" u="1"/>
        <s v="SCH QUA NUTRIBELA 10 6+6 (24)" u="1"/>
        <s v="XHC XEDEX P MULTI LIMP ACTIVA 20X250G" u="1"/>
        <s v="SEDAL SH 340 ML CERAMIDAS (12)" u="1"/>
        <s v="NSK BIC ENCENDEDOR J6 MAXI (75)" u="1"/>
        <s v="BONI UL SAVILE ANTICASPA UNIDAD" u="1"/>
        <s v="AMS PAPEL HIG MAX PAP. 2 PACK MORADO HD 12X2X350" u="1"/>
        <s v="AXE STICK TRANS COLLISION 12X54G" u="1"/>
        <s v="BYB MOSTAZA BOLSA 32/390g" u="1"/>
        <s v="BONI PROMOV" u="1"/>
        <s v="BONI DIN PLATO PLASTICO" u="1"/>
        <s v="BYB CHILE JALAPEÑO PICANTE 96/5.8oz" u="1"/>
        <s v="DOVE STICK CLEAR TONE 12X50G" u="1"/>
        <s v="BONI BEST GALLETA MANI 12X12" u="1"/>
        <s v="BYB VINAGRE CLARO 24/360ml" u="1"/>
        <s v="XHC DOVE JAB BABY HUMECTANTE 48X75G" u="1"/>
        <s v="BYB SALSA PICAMAS VERDE BOLSA 8/1750g" u="1"/>
        <s v="AMS TOALLA HUMEDA LUCCA SUPER SEC 12X80" u="1"/>
        <s v="BONI IAK FUN C TETRA MELOCOTON 200ML" u="1"/>
        <s v="EGO GEL ATTRAC 6/1000ML" u="1"/>
        <s v="AMS SERVILLETA JAPPYKLUB 10X1X100" u="1"/>
        <s v="IAK DUCAL FRIJ NEGR DyP 104oz (6)" u="1"/>
        <s v="BEST BOTE CONITO RELL SUR 70u (12)" u="1"/>
        <s v="FOOD NATURAS SALSA C/QUESO 96X100G" u="1"/>
        <s v="MA CREMA AVENA 50X100G" u="1"/>
        <s v="IAK KERNS TETRA NECT MANGO 1000ml (12)" u="1"/>
        <s v="BEST DAPI GALLETA VAINILLA 48X12X14.5G (48)" u="1"/>
        <s v="NSK LA MODERNA CABELLO DE ANGEL 20x200G" u="1"/>
        <s v="MA AVENA STEEL CUT 96X40G" u="1"/>
        <s v="GOMITAS 4 TAPA MENTA 20GR 12X2X10X4" u="1"/>
        <s v="BONI SAVILE ANTICASPA 7 und" u="1"/>
        <s v="FOOD HELLMANNS  MAY DYP 12X190G" u="1"/>
        <s v="PONDS CR  50G C PEPINO (24)" u="1"/>
        <s v="BYB MAYONESA CLASICA BOLSA 48/200g" u="1"/>
        <s v="NSK BIC ENCENDEDOR MAXI J6 5+1 (60)" u="1"/>
        <s v="PONDS CR  50G S HUMECTANTE NUTRITIVA (24)" u="1"/>
        <s v="PONDS CR 100G S HUMECTANTE NUTRITIVA (24)" u="1"/>
        <s v="BYB MERMELADA DE PIÑA TARRO 12/300g" u="1"/>
        <s v="SCH SAVILE SH ARGAN 12X28X15ML" u="1"/>
        <s v="SCH SAVILE CR ARGAN 24X28X15ML" u="1"/>
        <s v="SCH SAVILE SH ARGAN 24X28X15ML" u="1"/>
        <s v="BYB SALSA PICAMAS VERDE BOLSA 48/110g" u="1"/>
        <s v="FOOD MAIZENA FECULA MAIZ  FRESA 16X12X47G" u="1"/>
        <s v="FOOD MAIZENA FECULA MAIZ BANANA 16X12X47G" u="1"/>
        <s v="FOOD MAIZENA FECULA MAIZ VAINILL16X12X47G" u="1"/>
        <s v="REXONA AERO WOMAN TONO PERFECTO 12X90G" u="1"/>
        <s v="XHC CENTELLA CHIBOLONA AMARILLO 4X3X400G" u="1"/>
        <s v="XHC PFS CENTELLA CHIBOLONA AZUL 4X3X400G" u="1"/>
        <s v="NSK BIC ENCENDEDOR MAXI J6 CARTON 15u (25)" u="1"/>
        <s v="REXONA STICK MEN V8 12X50G" u="1"/>
        <s v="SEDAL SH 340 ML LISO PERFECTO (12)" u="1"/>
        <s v="XHC XEDEX P PROTECCION COLOR 15X1KG" u="1"/>
        <s v="BONI CUBETA PLASTICA" u="1"/>
        <s v="XHC XEDEX P ANTIBACT 20X250G" u="1"/>
        <s v="IPR LOZANO MANZANA 500ML" u="1"/>
        <s v="YAES ROSTIZADOR MARISCO 100G" u="1"/>
        <s v="QUA JUGOS YA HORCHATA 10X15" u="1"/>
        <s v="QUA FRUTY FRESCO 14+4 (8)" u="1"/>
        <s v="NSK LA MODERNA CODO 3 42x200G" u="1"/>
        <s v="AMS ECO SUAVIZ CL LIBRE DE ENJUAGUE 1x20 LT" u="1"/>
        <s v="IAK BAMB MARGARITA 350ml LATA (24)" u="1"/>
        <s v="ALD PIN POP WATERMELON 16X24 (15G)" u="1"/>
        <s v="DCASA GELATINA POLVO PIÑA 450G (25)" u="1"/>
        <s v="BONI NSK BIC ENCENDEDOR J6 MAXI (75)" u="1"/>
        <s v="IQUI CLORO MAGICLOR POPULINO 1X12X6 235ML" u="1"/>
        <s v="BYB SALSA PICAMAS COBANERO 24/155g" u="1"/>
        <s v="BONI QUA GALLETA BEST MANI MINI 24X12" u="1"/>
        <s v="REXONA STICK WOMAN ANTIBAC FRESH 12X50G" u="1"/>
        <s v="BYB SALSA PICAMAS VERDE BOLSA 32/454g" u="1"/>
        <s v="BIOKLAR GEL ANTIBAC SIN FRAG 60ML" u="1"/>
        <s v="PONDS POLVO COMP AF CARIBE 16X12G" u="1"/>
        <s v="GRIPETIN MULTISINTOMAS - 12 SOBRES" u="1"/>
        <s v="QUA NUTRIBELA 10 18+6 (12)" u="1"/>
        <s v="XHC REXONA JAB ANTIBAC FRESH 48X125G" u="1"/>
        <s v="AMS JAB ANTIBAC CLT PINK LIMONADE 12X500" u="1"/>
        <s v="ALC ARROZ GALLO DORADO PRE COCIDO 200GR (20)" u="1"/>
        <s v="XHC MAX MB NARANJA 6X3X540G" u="1"/>
        <s v="BYB SALSA PICANTE FRONTERA 32/16onz" u="1"/>
        <s v="XHC XEDEX P PROTECCION COLOR 20X250G" u="1"/>
        <s v="BYB SALSA PICAMAS VERDE BOLSA 4/3000g" u="1"/>
        <s v="XHC MAX MB BLANCA 6X3X540G" u="1"/>
        <s v="EGO GEL ATTRAC 4x6x200ML" u="1"/>
        <s v="AMS PAPEL HIG MAX PAP. 12X4 MEJOR QUE 1000 HD" u="1"/>
        <s v="REXONA AERO CLINICAL EXTRA DRY 12X91G" u="1"/>
        <s v="MA AVENA INTEGRAL 100X40G" u="1"/>
        <s v="NSK LA MODERNA PLUMA 42x200G" u="1"/>
        <s v="NSK LA MODERNA MACARRON LARGO 20x200G" u="1"/>
        <s v="BONI ALC ARROZ ESTRELLA BLANCO 350g (25)" u="1"/>
        <s v="IPR LOZANO MANZANA 3.2L (6)" u="1"/>
        <s v="XHC MAX PODER LILA 6X3X400G" u="1"/>
        <s v="NSK LYSOL DESINFECTANTE MULTIUSOS DP 500 ML" u="1"/>
        <s v="AXE AERO BS GOLD TEMPTATION 12X90G" u="1"/>
        <s v="XHC XEDEX DESIN LAVANDA DYP 24X425ML" u="1"/>
        <s v="BYB VINAGRE CLARO GALÓN PLASTICO 4/3785ml" u="1"/>
        <s v="DCASA MIRASOL MARG 6X60X35G" u="1"/>
        <s v="XHC XEDEX DESIN CITRICOS SCH 5X12X100ML" u="1"/>
        <s v="NSK BIC RASURADORA CONFORT 3 12+2 (24)" u="1"/>
        <s v="XHC PFS MAX MB BLANC/NAR DUOX 6X3X540G" u="1"/>
        <s v="XHC CENTELLA CHIBOLONA BLANCO 4X3X400G" u="1"/>
        <s v="XHC CENTELLA CHIBOLONA ROSADO 4X3X400G" u="1"/>
        <s v="SCH SAVILE SH 2EN1 24X28X15ML" u="1"/>
        <s v="EGO GEL ATTRAC 24/110ML" u="1"/>
        <s v="BYB MOSTAZA ALMOHADITA 48/110 g" u="1"/>
        <s v="FOOD HELLMANNS MAY DYP 12X100G" u="1"/>
        <s v="GOMITAS 4 OSOS 12X2X20X4" u="1"/>
        <s v="BONI PLAST PALANGANA XEDEX" u="1"/>
        <s v="XHC SURF P ROSAS 15X1KG" u="1"/>
        <s v="AMS SERVILLETA LUCCA 10X1X100" u="1"/>
        <s v="BYB CONCENTRADO DE JAMAICA 12/678 ml" u="1"/>
        <s v="BONI ALC HARINA ORO MAYA 800g (9)" u="1"/>
        <s v="BONI ARROZ GALLO DORADO 400G" u="1"/>
        <s v="BYB MAYONESA PRIMA 32/375g" u="1"/>
        <s v="REXONA AERO CLINICAL CLEAN MEN 12X90G" u="1"/>
        <s v="AMS TOALLA DE COCINA MAX PAPEL 12X2HD" u="1"/>
        <s v="SEDAL SH 340 ML KERATINA C ANTIOX (12)" u="1"/>
        <s v="SEDAL CR 300 ML PEIN RIZOS OBEDIENTES (12)" u="1"/>
        <s v="BONI IAK DUCAL FRIJOL LATA 10.5 OZ (48)" u="1"/>
        <s v="XHC XEDEX P MULTI LIMP ACTIVA 15X1KG" u="1"/>
        <s v="XHC XEDEX DESIN LAVANDA DYP 12X750ML" u="1"/>
        <s v="BYB CHILE JALAPEÑO PICANTE BOLSA 12/320g" u="1"/>
        <s v="FOOD HELLMANNS MOST DYP 12X100G" u="1"/>
        <s v="BONI HERMETICO RECTANGULAR" u="1"/>
        <s v="FOOD KNORR SOPA POLL VERD CODITO 12X12X54G" u="1"/>
        <s v="FOOD KNORR SOPA COST CRIOL C/FID 12X12X55G" u="1"/>
        <s v="FOOD KNORR SOPA GAL C/ARROZ CHIP 12X12X55G" u="1"/>
        <s v="MA AVENA PERLADA 50X165G" u="1"/>
        <s v="BEST CHOCOFRUTA 10X 1600G (10)" u="1"/>
        <s v="XHC MAX PODER AZUL  6X3X400G" u="1"/>
        <s v="XHC MAX PODER VERDE 6X3X400G" u="1"/>
        <s v="AXE AERO BS DARK TEMPT 12X90G" u="1"/>
        <s v="EGO GEL ATTRAC 12/500ML" u="1"/>
        <s v="BEST CHOCOFRUTA TABLETA 24X375G" u="1"/>
        <s v="NSK COLGATE TRIP ACCION+PROTEX 75ML (48)" u="1"/>
        <s v="BYB CONCENTRADO DE MORA 12/678 ml" u="1"/>
        <s v="BEST BOTONETAS MANI 20X24X13G (20)" u="1"/>
        <s v="DIN ISSIMA PAST TOMAT ROJITA 106g (96)" u="1"/>
        <s v="XHC MAX BLANC/NARAN DUOX 6X3X400G" u="1"/>
        <s v="XHC MAX BLANC/VERDE DUOX 6X3X400G" u="1"/>
        <s v="FOOD NATURAS FRIJ NEGR VOLT 24X210G" u="1"/>
        <s v="XHC XEDEX DESIN LAVANDA SCH 5X12X100ML" u="1"/>
        <s v="DOVE STICK CALENDULA 12X50G" u="1"/>
        <s v="GOMITAS 5 OSOS PEQUEÑOS 12.5GR 12X2X20X5" u="1"/>
        <s v="EGO GEL POWER 12/500 ML" u="1"/>
        <s v="FOOD MAIZENA FECULA MAIZ VAINILLA 16X12X45G" u="1"/>
        <s v="PONDS CR 50G CLARANT B3 GRASA (24)" u="1"/>
        <s v="FOOD KNORR SOPA GAL C/CONCHI 12X12X54G" u="1"/>
        <s v="IPR LOZANO UVA 500ML (12)" u="1"/>
        <s v="ALD PIN POP SENSATIONS 16X24 (17G)" u="1"/>
        <s v="AMS TOALLA DE COCINA MAX PAPEL 24X1 HD" u="1"/>
        <s v="PONDS CR 100G H (24)" u="1"/>
        <s v="MA AVENA FORTIFICADA 100X40G" u="1"/>
        <s v="FOOD HELLMANNS MAY DYP 12X200G" u="1"/>
        <s v="EGO GEL POWER 4X6X110ML" u="1"/>
        <s v="BYB MIEL DE MAPLE GARRAFA 24/330 ml" u="1"/>
        <s v="REXONA STICK ACTR BAMBOO 12X50G" u="1"/>
        <s v="SCH SAVILE SH BIOTINA 12X28X15ML" u="1"/>
        <s v="XHC CENTELLA CAMPEON VERDE 6X4X330G" u="1"/>
        <s v="BYB CONCENTRADO DE TAMARINDO 12/678 ml" u="1"/>
        <s v="XHC SURF P FUERZA SOLAR 15X1KG" u="1"/>
        <s v="SCH SAVILE SH ANTICASPA 24X28X15ML (24)" u="1"/>
        <s v="AXE AERO BS ICE CHILL 12X90G" u="1"/>
        <s v="DOVE MINIROLLON CUIDADO TOTAL 6X30ML" u="1"/>
        <s v="BONI 1 BOLSA KIT CEPILLO" u="1"/>
        <s v="BONI QUA GALLETA BEST MANI 24X12 (YUS)" u="1"/>
        <s v="BYB MAYONESA EXTRAMAYO BOLSA 4/3000g" u="1"/>
      </sharedItems>
    </cacheField>
    <cacheField name="Columna3" numFmtId="0">
      <sharedItems containsSemiMixedTypes="0" containsString="0" containsNumber="1" containsInteger="1" minValue="1" maxValue="2424"/>
    </cacheField>
    <cacheField name="Columna4" numFmtId="0">
      <sharedItems containsSemiMixedTypes="0" containsString="0" containsNumber="1" minValue="0.03" maxValue="100"/>
    </cacheField>
    <cacheField name="Columna5" numFmtId="0">
      <sharedItems containsSemiMixedTypes="0" containsString="0" containsNumber="1" minValue="0.25" maxValue="1413.1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n v="6"/>
    <n v="0.61875000000000002"/>
    <n v="3.7125000000000004"/>
  </r>
  <r>
    <x v="1"/>
    <x v="1"/>
    <n v="24"/>
    <n v="0.92"/>
    <n v="22.080000000000002"/>
  </r>
  <r>
    <x v="2"/>
    <x v="2"/>
    <n v="72"/>
    <n v="0.5541666666666667"/>
    <n v="39.900000000000006"/>
  </r>
  <r>
    <x v="3"/>
    <x v="3"/>
    <n v="24"/>
    <n v="0.61875000000000002"/>
    <n v="14.850000000000001"/>
  </r>
  <r>
    <x v="4"/>
    <x v="4"/>
    <n v="12"/>
    <n v="0.61875000000000002"/>
    <n v="7.4250000000000007"/>
  </r>
  <r>
    <x v="5"/>
    <x v="5"/>
    <n v="12"/>
    <n v="0.61875000000000002"/>
    <n v="7.4250000000000007"/>
  </r>
  <r>
    <x v="6"/>
    <x v="6"/>
    <n v="18"/>
    <n v="0.3175"/>
    <n v="5.7149999999999999"/>
  </r>
  <r>
    <x v="7"/>
    <x v="7"/>
    <n v="6"/>
    <n v="0.19166666666666665"/>
    <n v="1.1499999999999999"/>
  </r>
  <r>
    <x v="8"/>
    <x v="8"/>
    <n v="6"/>
    <n v="0.19166666666666665"/>
    <n v="1.1499999999999999"/>
  </r>
  <r>
    <x v="9"/>
    <x v="9"/>
    <n v="6"/>
    <n v="0.19166666666666665"/>
    <n v="1.1499999999999999"/>
  </r>
  <r>
    <x v="10"/>
    <x v="10"/>
    <n v="12"/>
    <n v="0.19583333333333333"/>
    <n v="2.35"/>
  </r>
  <r>
    <x v="11"/>
    <x v="11"/>
    <n v="3"/>
    <n v="0.19833333333333333"/>
    <n v="0.59499999999999997"/>
  </r>
  <r>
    <x v="12"/>
    <x v="12"/>
    <n v="3"/>
    <n v="0.11041666666666666"/>
    <n v="0.33124999999999999"/>
  </r>
  <r>
    <x v="12"/>
    <x v="12"/>
    <n v="1"/>
    <n v="0.11041666666666666"/>
    <n v="0.11041666666666666"/>
  </r>
  <r>
    <x v="13"/>
    <x v="13"/>
    <n v="6"/>
    <n v="0.11041666666666666"/>
    <n v="0.66249999999999998"/>
  </r>
  <r>
    <x v="14"/>
    <x v="14"/>
    <n v="4"/>
    <n v="1.4624999999999999"/>
    <n v="5.85"/>
  </r>
  <r>
    <x v="15"/>
    <x v="15"/>
    <n v="2"/>
    <n v="2.65"/>
    <n v="5.3"/>
  </r>
  <r>
    <x v="16"/>
    <x v="16"/>
    <n v="6"/>
    <n v="0.1125"/>
    <n v="0.67500000000000004"/>
  </r>
  <r>
    <x v="17"/>
    <x v="17"/>
    <n v="3"/>
    <n v="0.21666666666666667"/>
    <n v="0.65"/>
  </r>
  <r>
    <x v="18"/>
    <x v="18"/>
    <n v="288"/>
    <n v="0.11944444444444444"/>
    <n v="34.4"/>
  </r>
  <r>
    <x v="18"/>
    <x v="18"/>
    <n v="12"/>
    <n v="0.11944444444444444"/>
    <n v="1.4333333333333331"/>
  </r>
  <r>
    <x v="19"/>
    <x v="19"/>
    <n v="800"/>
    <n v="9.9124999999999991E-2"/>
    <n v="79.3"/>
  </r>
  <r>
    <x v="19"/>
    <x v="19"/>
    <n v="40"/>
    <n v="9.9124999999999991E-2"/>
    <n v="3.9649999999999999"/>
  </r>
  <r>
    <x v="20"/>
    <x v="20"/>
    <n v="120"/>
    <n v="9.9166666666666667E-2"/>
    <n v="11.9"/>
  </r>
  <r>
    <x v="21"/>
    <x v="21"/>
    <n v="160"/>
    <n v="0.40750000000000003"/>
    <n v="65.2"/>
  </r>
  <r>
    <x v="22"/>
    <x v="22"/>
    <n v="3840"/>
    <n v="0.19843750000000002"/>
    <n v="762.00000000000011"/>
  </r>
  <r>
    <x v="23"/>
    <x v="23"/>
    <n v="960"/>
    <n v="0.19833333333333333"/>
    <n v="190.4"/>
  </r>
  <r>
    <x v="24"/>
    <x v="24"/>
    <n v="240"/>
    <n v="0.19843750000000002"/>
    <n v="47.625000000000007"/>
  </r>
  <r>
    <x v="25"/>
    <x v="25"/>
    <n v="384"/>
    <n v="0.19833333333333333"/>
    <n v="76.16"/>
  </r>
  <r>
    <x v="26"/>
    <x v="26"/>
    <n v="12"/>
    <n v="0.42"/>
    <n v="5.04"/>
  </r>
  <r>
    <x v="26"/>
    <x v="26"/>
    <n v="2"/>
    <n v="0.42"/>
    <n v="0.84"/>
  </r>
  <r>
    <x v="27"/>
    <x v="27"/>
    <n v="12"/>
    <n v="0.83833333333333337"/>
    <n v="10.06"/>
  </r>
  <r>
    <x v="28"/>
    <x v="28"/>
    <n v="65"/>
    <n v="1.7638461538461538"/>
    <n v="114.65"/>
  </r>
  <r>
    <x v="29"/>
    <x v="29"/>
    <n v="65"/>
    <n v="1.7638461538461538"/>
    <n v="114.65"/>
  </r>
  <r>
    <x v="30"/>
    <x v="30"/>
    <n v="224"/>
    <n v="0.22083333333333333"/>
    <n v="49.46666666666666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n v="2688"/>
    <n v="0.19833333333333333"/>
    <n v="533.12"/>
  </r>
  <r>
    <x v="1"/>
    <x v="1"/>
    <n v="5184"/>
    <n v="0.19843750000000002"/>
    <n v="1028.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n v="128"/>
    <n v="0.88200000000000001"/>
    <n v="112.896"/>
  </r>
  <r>
    <x v="1"/>
    <x v="1"/>
    <n v="31"/>
    <n v="0.88200000000000001"/>
    <n v="27.341999999999999"/>
  </r>
  <r>
    <x v="2"/>
    <x v="2"/>
    <n v="36"/>
    <n v="0.88200000000000001"/>
    <n v="31.751999999999999"/>
  </r>
  <r>
    <x v="3"/>
    <x v="3"/>
    <n v="12"/>
    <n v="0.88200000000000001"/>
    <n v="10.584"/>
  </r>
  <r>
    <x v="4"/>
    <x v="4"/>
    <n v="1"/>
    <n v="0.79400000000000004"/>
    <n v="0.79400000000000004"/>
  </r>
  <r>
    <x v="5"/>
    <x v="5"/>
    <n v="84"/>
    <n v="0.75"/>
    <n v="63"/>
  </r>
  <r>
    <x v="6"/>
    <x v="6"/>
    <n v="97"/>
    <n v="0.11944444444444444"/>
    <n v="11.58611111111111"/>
  </r>
  <r>
    <x v="7"/>
    <x v="7"/>
    <n v="12"/>
    <n v="0.12833333333333333"/>
    <n v="1.54"/>
  </r>
  <r>
    <x v="8"/>
    <x v="8"/>
    <n v="90"/>
    <n v="1.76"/>
    <n v="158.4"/>
  </r>
  <r>
    <x v="9"/>
    <x v="9"/>
    <n v="25"/>
    <n v="0.88000000000000012"/>
    <n v="22.000000000000004"/>
  </r>
  <r>
    <x v="10"/>
    <x v="10"/>
    <n v="273"/>
    <n v="0.77200000000000002"/>
    <n v="210.756"/>
  </r>
  <r>
    <x v="11"/>
    <x v="11"/>
    <n v="245"/>
    <n v="0.77200000000000002"/>
    <n v="189.14000000000001"/>
  </r>
  <r>
    <x v="12"/>
    <x v="12"/>
    <n v="3"/>
    <n v="0.66249999999999998"/>
    <n v="1.9874999999999998"/>
  </r>
  <r>
    <x v="13"/>
    <x v="13"/>
    <n v="14"/>
    <n v="1"/>
    <n v="14"/>
  </r>
  <r>
    <x v="14"/>
    <x v="14"/>
    <n v="30"/>
    <n v="0.9770833333333333"/>
    <n v="29.3125"/>
  </r>
  <r>
    <x v="15"/>
    <x v="15"/>
    <n v="12"/>
    <n v="1.6555555555555557"/>
    <n v="19.866666666666667"/>
  </r>
  <r>
    <x v="16"/>
    <x v="16"/>
    <n v="5"/>
    <n v="0.8833333333333333"/>
    <n v="4.4166666666666661"/>
  </r>
  <r>
    <x v="17"/>
    <x v="17"/>
    <n v="1"/>
    <n v="0.8833333333333333"/>
    <n v="0.8833333333333333"/>
  </r>
  <r>
    <x v="18"/>
    <x v="18"/>
    <n v="6"/>
    <n v="2.65"/>
    <n v="15.899999999999999"/>
  </r>
  <r>
    <x v="19"/>
    <x v="19"/>
    <n v="1"/>
    <n v="2.65"/>
    <n v="2.65"/>
  </r>
  <r>
    <x v="20"/>
    <x v="20"/>
    <n v="6"/>
    <n v="2.65"/>
    <n v="15.899999999999999"/>
  </r>
  <r>
    <x v="21"/>
    <x v="21"/>
    <n v="7"/>
    <n v="2.65"/>
    <n v="18.55"/>
  </r>
  <r>
    <x v="22"/>
    <x v="22"/>
    <n v="1"/>
    <n v="2.65"/>
    <n v="2.65"/>
  </r>
  <r>
    <x v="23"/>
    <x v="23"/>
    <n v="1"/>
    <n v="2.65"/>
    <n v="2.65"/>
  </r>
  <r>
    <x v="24"/>
    <x v="24"/>
    <n v="1"/>
    <n v="2.65"/>
    <n v="2.65"/>
  </r>
  <r>
    <x v="25"/>
    <x v="25"/>
    <n v="6"/>
    <n v="8.3333333333333329E-2"/>
    <n v="0.5"/>
  </r>
  <r>
    <x v="26"/>
    <x v="26"/>
    <n v="6"/>
    <n v="8.3333333333333329E-2"/>
    <n v="0.5"/>
  </r>
  <r>
    <x v="27"/>
    <x v="27"/>
    <n v="2"/>
    <n v="0.83833333333333337"/>
    <n v="1.6766666666666667"/>
  </r>
  <r>
    <x v="28"/>
    <x v="28"/>
    <n v="25"/>
    <n v="0.1275"/>
    <n v="3.1875"/>
  </r>
  <r>
    <x v="29"/>
    <x v="29"/>
    <n v="5"/>
    <n v="0.1275"/>
    <n v="0.63749999999999996"/>
  </r>
  <r>
    <x v="30"/>
    <x v="30"/>
    <n v="1"/>
    <n v="1.190625"/>
    <n v="1.190625"/>
  </r>
  <r>
    <x v="31"/>
    <x v="31"/>
    <n v="377"/>
    <n v="9.9124999999999991E-2"/>
    <n v="37.370124999999994"/>
  </r>
  <r>
    <x v="32"/>
    <x v="32"/>
    <n v="8"/>
    <n v="0.55541666666666667"/>
    <n v="4.4433333333333334"/>
  </r>
  <r>
    <x v="33"/>
    <x v="33"/>
    <n v="2"/>
    <n v="0.61875000000000002"/>
    <n v="1.2375"/>
  </r>
  <r>
    <x v="34"/>
    <x v="34"/>
    <n v="11"/>
    <n v="0.5541666666666667"/>
    <n v="6.0958333333333332"/>
  </r>
  <r>
    <x v="35"/>
    <x v="35"/>
    <n v="31"/>
    <n v="0.25"/>
    <n v="7.75"/>
  </r>
  <r>
    <x v="36"/>
    <x v="36"/>
    <n v="39"/>
    <n v="0.19833333333333333"/>
    <n v="7.7350000000000003"/>
  </r>
  <r>
    <x v="37"/>
    <x v="37"/>
    <n v="12"/>
    <n v="0.19843750000000002"/>
    <n v="2.3812500000000001"/>
  </r>
  <r>
    <x v="38"/>
    <x v="38"/>
    <n v="72"/>
    <n v="0.19843750000000002"/>
    <n v="14.287500000000001"/>
  </r>
  <r>
    <x v="39"/>
    <x v="39"/>
    <n v="96"/>
    <n v="0.19833333333333333"/>
    <n v="19.04"/>
  </r>
  <r>
    <x v="40"/>
    <x v="40"/>
    <n v="1488"/>
    <n v="0.19833333333333333"/>
    <n v="295.12"/>
  </r>
  <r>
    <x v="41"/>
    <x v="41"/>
    <n v="12"/>
    <n v="0.9"/>
    <n v="10.8"/>
  </r>
  <r>
    <x v="42"/>
    <x v="42"/>
    <n v="1"/>
    <n v="0.88437500000000002"/>
    <n v="0.88437500000000002"/>
  </r>
  <r>
    <x v="43"/>
    <x v="43"/>
    <n v="6"/>
    <n v="0.9"/>
    <n v="5.4"/>
  </r>
  <r>
    <x v="44"/>
    <x v="44"/>
    <n v="7"/>
    <n v="0.9"/>
    <n v="6.3"/>
  </r>
  <r>
    <x v="45"/>
    <x v="45"/>
    <n v="8"/>
    <n v="0.9"/>
    <n v="7.2"/>
  </r>
  <r>
    <x v="46"/>
    <x v="46"/>
    <n v="6"/>
    <n v="0.9"/>
    <n v="5.4"/>
  </r>
  <r>
    <x v="47"/>
    <x v="47"/>
    <n v="4"/>
    <n v="0.9"/>
    <n v="3.6"/>
  </r>
  <r>
    <x v="48"/>
    <x v="48"/>
    <n v="4"/>
    <n v="0.9"/>
    <n v="3.6"/>
  </r>
  <r>
    <x v="49"/>
    <x v="49"/>
    <n v="11"/>
    <n v="0.9"/>
    <n v="9.9"/>
  </r>
  <r>
    <x v="50"/>
    <x v="50"/>
    <n v="17"/>
    <n v="0.9"/>
    <n v="15.3"/>
  </r>
  <r>
    <x v="51"/>
    <x v="51"/>
    <n v="5"/>
    <n v="0.9"/>
    <n v="4.5"/>
  </r>
  <r>
    <x v="52"/>
    <x v="52"/>
    <n v="7"/>
    <n v="0.9"/>
    <n v="6.3"/>
  </r>
  <r>
    <x v="53"/>
    <x v="53"/>
    <n v="2"/>
    <n v="100"/>
    <n v="200"/>
  </r>
  <r>
    <x v="54"/>
    <x v="54"/>
    <n v="10"/>
    <n v="0.92524999999999991"/>
    <n v="9.2524999999999995"/>
  </r>
  <r>
    <x v="55"/>
    <x v="55"/>
    <n v="66"/>
    <n v="0.36249999999999999"/>
    <n v="23.925000000000001"/>
  </r>
  <r>
    <x v="56"/>
    <x v="56"/>
    <n v="24"/>
    <n v="0.36249999999999999"/>
    <n v="8.6999999999999993"/>
  </r>
  <r>
    <x v="57"/>
    <x v="57"/>
    <n v="5"/>
    <n v="1.4950000000000001"/>
    <n v="7.4750000000000005"/>
  </r>
  <r>
    <x v="58"/>
    <x v="58"/>
    <n v="1"/>
    <n v="1.4933333333333334"/>
    <n v="1.4933333333333334"/>
  </r>
  <r>
    <x v="59"/>
    <x v="59"/>
    <n v="1"/>
    <n v="1.4950000000000001"/>
    <n v="1.4950000000000001"/>
  </r>
  <r>
    <x v="60"/>
    <x v="60"/>
    <n v="9"/>
    <n v="0.44083333333333335"/>
    <n v="3.9675000000000002"/>
  </r>
  <r>
    <x v="61"/>
    <x v="61"/>
    <n v="2"/>
    <n v="0.57333333333333336"/>
    <n v="1.1466666666666667"/>
  </r>
  <r>
    <x v="62"/>
    <x v="62"/>
    <n v="2"/>
    <n v="0.57333333333333336"/>
    <n v="1.1466666666666667"/>
  </r>
  <r>
    <x v="63"/>
    <x v="63"/>
    <n v="2"/>
    <n v="0.57333333333333336"/>
    <n v="1.1466666666666667"/>
  </r>
  <r>
    <x v="64"/>
    <x v="64"/>
    <n v="6"/>
    <n v="0.54"/>
    <n v="3.24"/>
  </r>
  <r>
    <x v="65"/>
    <x v="65"/>
    <n v="13"/>
    <n v="0.22041666666666668"/>
    <n v="2.8654166666666669"/>
  </r>
  <r>
    <x v="66"/>
    <x v="66"/>
    <n v="12"/>
    <n v="0.22041666666666668"/>
    <n v="2.645"/>
  </r>
  <r>
    <x v="67"/>
    <x v="67"/>
    <n v="12"/>
    <n v="0.44083333333333335"/>
    <n v="5.29"/>
  </r>
  <r>
    <x v="68"/>
    <x v="68"/>
    <n v="3"/>
    <n v="0.83750000000000002"/>
    <n v="2.5125000000000002"/>
  </r>
  <r>
    <x v="69"/>
    <x v="69"/>
    <n v="10"/>
    <n v="0.22041666666666668"/>
    <n v="2.2041666666666666"/>
  </r>
  <r>
    <x v="70"/>
    <x v="70"/>
    <n v="6"/>
    <n v="0.44062499999999999"/>
    <n v="2.6437499999999998"/>
  </r>
  <r>
    <x v="71"/>
    <x v="71"/>
    <n v="149"/>
    <n v="0.22041666666666668"/>
    <n v="32.842083333333335"/>
  </r>
  <r>
    <x v="72"/>
    <x v="72"/>
    <n v="18"/>
    <n v="0.22041666666666668"/>
    <n v="3.9675000000000002"/>
  </r>
  <r>
    <x v="73"/>
    <x v="73"/>
    <n v="24"/>
    <n v="0.22041666666666668"/>
    <n v="5.29"/>
  </r>
  <r>
    <x v="74"/>
    <x v="74"/>
    <n v="98"/>
    <n v="0.24041666666666664"/>
    <n v="23.560833333333331"/>
  </r>
  <r>
    <x v="75"/>
    <x v="75"/>
    <n v="24"/>
    <n v="0.47395833333333331"/>
    <n v="11.375"/>
  </r>
  <r>
    <x v="76"/>
    <x v="76"/>
    <n v="6"/>
    <n v="0.21875"/>
    <n v="1.3125"/>
  </r>
  <r>
    <x v="77"/>
    <x v="77"/>
    <n v="24"/>
    <n v="0.21875"/>
    <n v="5.25"/>
  </r>
  <r>
    <x v="78"/>
    <x v="78"/>
    <n v="28"/>
    <n v="0.22041666666666668"/>
    <n v="6.1716666666666669"/>
  </r>
  <r>
    <x v="79"/>
    <x v="79"/>
    <n v="12"/>
    <n v="0.44083333333333335"/>
    <n v="5.29"/>
  </r>
  <r>
    <x v="80"/>
    <x v="80"/>
    <n v="6"/>
    <n v="0.79375000000000007"/>
    <n v="4.7625000000000002"/>
  </r>
  <r>
    <x v="81"/>
    <x v="81"/>
    <n v="12"/>
    <n v="0.8158333333333333"/>
    <n v="9.7899999999999991"/>
  </r>
  <r>
    <x v="82"/>
    <x v="82"/>
    <n v="8"/>
    <n v="0.2"/>
    <n v="1.6"/>
  </r>
  <r>
    <x v="83"/>
    <x v="83"/>
    <n v="13"/>
    <n v="0.875"/>
    <n v="11.375"/>
  </r>
  <r>
    <x v="84"/>
    <x v="84"/>
    <n v="20"/>
    <n v="0.82750000000000001"/>
    <n v="16.55"/>
  </r>
  <r>
    <x v="85"/>
    <x v="85"/>
    <n v="1"/>
    <n v="0.82750000000000001"/>
    <n v="0.82750000000000001"/>
  </r>
  <r>
    <x v="86"/>
    <x v="86"/>
    <n v="3"/>
    <n v="0.82750000000000001"/>
    <n v="2.4824999999999999"/>
  </r>
  <r>
    <x v="87"/>
    <x v="87"/>
    <n v="1"/>
    <n v="0.88166666666666671"/>
    <n v="0.88166666666666671"/>
  </r>
  <r>
    <x v="88"/>
    <x v="88"/>
    <n v="1"/>
    <n v="0.15"/>
    <n v="0.15"/>
  </r>
  <r>
    <x v="89"/>
    <x v="89"/>
    <n v="4"/>
    <n v="4.1666666666666664E-2"/>
    <n v="0.16666666666666666"/>
  </r>
  <r>
    <x v="90"/>
    <x v="90"/>
    <n v="1"/>
    <n v="0.26"/>
    <n v="0.26"/>
  </r>
  <r>
    <x v="91"/>
    <x v="91"/>
    <n v="2"/>
    <n v="0.23364583333333333"/>
    <n v="0.46729166666666666"/>
  </r>
  <r>
    <x v="92"/>
    <x v="92"/>
    <n v="7"/>
    <n v="0.70833333333333337"/>
    <n v="4.9583333333333339"/>
  </r>
  <r>
    <x v="93"/>
    <x v="93"/>
    <n v="1"/>
    <n v="0.34375"/>
    <n v="0.34375"/>
  </r>
  <r>
    <x v="94"/>
    <x v="94"/>
    <n v="30"/>
    <n v="3.1091666666666669"/>
    <n v="93.275000000000006"/>
  </r>
  <r>
    <x v="95"/>
    <x v="95"/>
    <n v="12"/>
    <n v="0.25"/>
    <n v="3"/>
  </r>
  <r>
    <x v="96"/>
    <x v="96"/>
    <n v="5"/>
    <n v="0.2"/>
    <n v="1"/>
  </r>
  <r>
    <x v="97"/>
    <x v="97"/>
    <n v="2"/>
    <n v="0.10416666666666667"/>
    <n v="0.20833333333333334"/>
  </r>
  <r>
    <x v="98"/>
    <x v="98"/>
    <n v="2"/>
    <n v="2.65"/>
    <n v="5.3"/>
  </r>
  <r>
    <x v="99"/>
    <x v="99"/>
    <n v="2"/>
    <n v="2.65"/>
    <n v="5.3"/>
  </r>
  <r>
    <x v="100"/>
    <x v="100"/>
    <n v="2"/>
    <n v="2.1166666666666667"/>
    <n v="4.2333333333333334"/>
  </r>
  <r>
    <x v="101"/>
    <x v="101"/>
    <n v="10"/>
    <n v="2.1166666666666667"/>
    <n v="21.166666666666668"/>
  </r>
  <r>
    <x v="102"/>
    <x v="102"/>
    <n v="4"/>
    <n v="2.1166666666666667"/>
    <n v="8.4666666666666668"/>
  </r>
  <r>
    <x v="103"/>
    <x v="103"/>
    <n v="1"/>
    <n v="3.0416666666666665"/>
    <n v="3.0416666666666665"/>
  </r>
  <r>
    <x v="104"/>
    <x v="104"/>
    <n v="6"/>
    <n v="0.24270833333333333"/>
    <n v="1.45625"/>
  </r>
  <r>
    <x v="105"/>
    <x v="105"/>
    <n v="6"/>
    <n v="0.24270833333333333"/>
    <n v="1.45625"/>
  </r>
  <r>
    <x v="106"/>
    <x v="106"/>
    <n v="12"/>
    <n v="0.24270833333333333"/>
    <n v="2.9125000000000001"/>
  </r>
  <r>
    <x v="107"/>
    <x v="107"/>
    <n v="18"/>
    <n v="0.24270833333333333"/>
    <n v="4.3687500000000004"/>
  </r>
  <r>
    <x v="108"/>
    <x v="108"/>
    <n v="4"/>
    <n v="2.1166666666666667"/>
    <n v="8.4666666666666668"/>
  </r>
  <r>
    <x v="109"/>
    <x v="109"/>
    <n v="5"/>
    <n v="0.5"/>
    <n v="2.5"/>
  </r>
  <r>
    <x v="110"/>
    <x v="110"/>
    <n v="12"/>
    <n v="0.33041666666666664"/>
    <n v="3.9649999999999999"/>
  </r>
  <r>
    <x v="111"/>
    <x v="111"/>
    <n v="1"/>
    <n v="2.1166666666666667"/>
    <n v="2.1166666666666667"/>
  </r>
  <r>
    <x v="112"/>
    <x v="112"/>
    <n v="16"/>
    <n v="0.11"/>
    <n v="1.76"/>
  </r>
  <r>
    <x v="113"/>
    <x v="113"/>
    <n v="1"/>
    <n v="0.01"/>
    <n v="0.01"/>
  </r>
  <r>
    <x v="114"/>
    <x v="114"/>
    <n v="3"/>
    <n v="0.35625000000000001"/>
    <n v="1.0687500000000001"/>
  </r>
  <r>
    <x v="115"/>
    <x v="115"/>
    <n v="6"/>
    <n v="1.1041666666666667"/>
    <n v="6.625"/>
  </r>
  <r>
    <x v="116"/>
    <x v="116"/>
    <n v="26"/>
    <n v="1.1041666666666667"/>
    <n v="28.708333333333336"/>
  </r>
  <r>
    <x v="117"/>
    <x v="117"/>
    <n v="16"/>
    <n v="1.1041666666666667"/>
    <n v="17.666666666666668"/>
  </r>
  <r>
    <x v="118"/>
    <x v="118"/>
    <n v="18"/>
    <n v="1.1041666666666667"/>
    <n v="19.875"/>
  </r>
  <r>
    <x v="119"/>
    <x v="119"/>
    <n v="22"/>
    <n v="1.1041666666666667"/>
    <n v="24.291666666666668"/>
  </r>
  <r>
    <x v="120"/>
    <x v="120"/>
    <n v="2"/>
    <n v="0.6"/>
    <n v="1.2"/>
  </r>
  <r>
    <x v="121"/>
    <x v="121"/>
    <n v="1"/>
    <n v="0.6"/>
    <n v="0.6"/>
  </r>
  <r>
    <x v="122"/>
    <x v="122"/>
    <n v="2"/>
    <n v="0.6"/>
    <n v="1.2"/>
  </r>
  <r>
    <x v="123"/>
    <x v="123"/>
    <n v="1"/>
    <n v="0.6"/>
    <n v="0.6"/>
  </r>
  <r>
    <x v="124"/>
    <x v="124"/>
    <n v="1"/>
    <n v="0.6"/>
    <n v="0.6"/>
  </r>
  <r>
    <x v="125"/>
    <x v="125"/>
    <n v="1"/>
    <n v="0.9277777777777777"/>
    <n v="0.9277777777777777"/>
  </r>
  <r>
    <x v="126"/>
    <x v="126"/>
    <n v="1"/>
    <n v="0.9277777777777777"/>
    <n v="0.9277777777777777"/>
  </r>
  <r>
    <x v="127"/>
    <x v="127"/>
    <n v="1"/>
    <n v="0.9277777777777777"/>
    <n v="0.9277777777777777"/>
  </r>
  <r>
    <x v="128"/>
    <x v="128"/>
    <n v="1"/>
    <n v="0.9277777777777777"/>
    <n v="0.9277777777777777"/>
  </r>
  <r>
    <x v="129"/>
    <x v="129"/>
    <n v="1"/>
    <n v="0.42399999999999999"/>
    <n v="0.42399999999999999"/>
  </r>
  <r>
    <x v="130"/>
    <x v="130"/>
    <n v="1"/>
    <n v="0.66166666666666674"/>
    <n v="0.66166666666666674"/>
  </r>
  <r>
    <x v="131"/>
    <x v="131"/>
    <n v="3"/>
    <n v="0.71375"/>
    <n v="2.1412499999999999"/>
  </r>
  <r>
    <x v="132"/>
    <x v="132"/>
    <n v="2"/>
    <n v="0.45"/>
    <n v="0.9"/>
  </r>
  <r>
    <x v="133"/>
    <x v="133"/>
    <n v="1"/>
    <n v="0.45"/>
    <n v="0.45"/>
  </r>
  <r>
    <x v="134"/>
    <x v="134"/>
    <n v="1"/>
    <n v="0.53"/>
    <n v="0.53"/>
  </r>
  <r>
    <x v="135"/>
    <x v="135"/>
    <n v="50"/>
    <n v="0.88"/>
    <n v="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n v="25"/>
    <n v="0.88200000000000001"/>
    <n v="22.05"/>
  </r>
  <r>
    <x v="1"/>
    <x v="1"/>
    <n v="24"/>
    <n v="0.29166666666666669"/>
    <n v="7"/>
  </r>
  <r>
    <x v="2"/>
    <x v="2"/>
    <n v="5"/>
    <n v="1.4166666666666667"/>
    <n v="7.0833333333333339"/>
  </r>
  <r>
    <x v="3"/>
    <x v="3"/>
    <n v="50"/>
    <n v="0.03"/>
    <n v="1.5"/>
  </r>
  <r>
    <x v="4"/>
    <x v="4"/>
    <n v="14"/>
    <n v="0.8"/>
    <n v="11.200000000000001"/>
  </r>
  <r>
    <x v="5"/>
    <x v="5"/>
    <n v="10"/>
    <n v="0.5"/>
    <n v="5"/>
  </r>
  <r>
    <x v="6"/>
    <x v="6"/>
    <n v="12"/>
    <n v="1.7"/>
    <n v="20.399999999999999"/>
  </r>
  <r>
    <x v="7"/>
    <x v="7"/>
    <n v="8"/>
    <n v="2.48"/>
    <n v="19.84"/>
  </r>
  <r>
    <x v="8"/>
    <x v="8"/>
    <n v="4"/>
    <n v="0.82750000000000001"/>
    <n v="3.31"/>
  </r>
  <r>
    <x v="9"/>
    <x v="9"/>
    <n v="2"/>
    <n v="2.65"/>
    <n v="5.3"/>
  </r>
  <r>
    <x v="10"/>
    <x v="10"/>
    <n v="2"/>
    <n v="2.65"/>
    <n v="5.3"/>
  </r>
  <r>
    <x v="11"/>
    <x v="11"/>
    <n v="2"/>
    <n v="2.65"/>
    <n v="5.3"/>
  </r>
  <r>
    <x v="12"/>
    <x v="12"/>
    <n v="12"/>
    <n v="3.3049999999999997"/>
    <n v="39.659999999999997"/>
  </r>
  <r>
    <x v="13"/>
    <x v="13"/>
    <n v="3"/>
    <n v="0.23805555555555558"/>
    <n v="0.71416666666666673"/>
  </r>
  <r>
    <x v="14"/>
    <x v="14"/>
    <n v="36"/>
    <n v="0.75"/>
    <n v="27"/>
  </r>
  <r>
    <x v="15"/>
    <x v="15"/>
    <n v="62"/>
    <n v="0.11944444444444444"/>
    <n v="7.405555555555555"/>
  </r>
  <r>
    <x v="16"/>
    <x v="16"/>
    <n v="6"/>
    <n v="6.6666666666666666E-2"/>
    <n v="0.4"/>
  </r>
  <r>
    <x v="17"/>
    <x v="17"/>
    <n v="5"/>
    <n v="0.11041666666666666"/>
    <n v="0.55208333333333326"/>
  </r>
  <r>
    <x v="18"/>
    <x v="18"/>
    <n v="15"/>
    <n v="0.11041666666666666"/>
    <n v="1.65625"/>
  </r>
  <r>
    <x v="19"/>
    <x v="19"/>
    <n v="18"/>
    <n v="0.11041666666666666"/>
    <n v="1.9874999999999998"/>
  </r>
  <r>
    <x v="20"/>
    <x v="20"/>
    <n v="1"/>
    <n v="0.19583333333333333"/>
    <n v="0.19583333333333333"/>
  </r>
  <r>
    <x v="21"/>
    <x v="21"/>
    <n v="18"/>
    <n v="0.12833333333333333"/>
    <n v="2.31"/>
  </r>
  <r>
    <x v="22"/>
    <x v="22"/>
    <n v="3"/>
    <n v="0.21666666666666667"/>
    <n v="0.65"/>
  </r>
  <r>
    <x v="23"/>
    <x v="23"/>
    <n v="9"/>
    <n v="1.76"/>
    <n v="15.84"/>
  </r>
  <r>
    <x v="24"/>
    <x v="24"/>
    <n v="38"/>
    <n v="0.77200000000000002"/>
    <n v="29.336000000000002"/>
  </r>
  <r>
    <x v="25"/>
    <x v="25"/>
    <n v="12"/>
    <n v="2"/>
    <n v="24"/>
  </r>
  <r>
    <x v="26"/>
    <x v="26"/>
    <n v="12"/>
    <n v="1"/>
    <n v="12"/>
  </r>
  <r>
    <x v="27"/>
    <x v="27"/>
    <n v="4"/>
    <n v="1.6555555555555557"/>
    <n v="6.6222222222222227"/>
  </r>
  <r>
    <x v="28"/>
    <x v="28"/>
    <n v="12"/>
    <n v="0.8833333333333333"/>
    <n v="10.6"/>
  </r>
  <r>
    <x v="29"/>
    <x v="29"/>
    <n v="161"/>
    <n v="0.79999999999999993"/>
    <n v="128.79999999999998"/>
  </r>
  <r>
    <x v="30"/>
    <x v="30"/>
    <n v="39"/>
    <n v="2.65"/>
    <n v="103.35"/>
  </r>
  <r>
    <x v="31"/>
    <x v="31"/>
    <n v="6"/>
    <n v="6.6666666666666666E-2"/>
    <n v="0.4"/>
  </r>
  <r>
    <x v="32"/>
    <x v="32"/>
    <n v="1"/>
    <n v="0.19166666666666665"/>
    <n v="0.19166666666666665"/>
  </r>
  <r>
    <x v="33"/>
    <x v="33"/>
    <n v="1"/>
    <n v="0.21416666666666664"/>
    <n v="0.21416666666666664"/>
  </r>
  <r>
    <x v="34"/>
    <x v="34"/>
    <n v="1"/>
    <n v="0.19416666666666668"/>
    <n v="0.19416666666666668"/>
  </r>
  <r>
    <x v="35"/>
    <x v="35"/>
    <n v="6"/>
    <n v="0.61875000000000002"/>
    <n v="3.7125000000000004"/>
  </r>
  <r>
    <x v="36"/>
    <x v="36"/>
    <n v="113"/>
    <n v="1.4624999999999999"/>
    <n v="165.26249999999999"/>
  </r>
  <r>
    <x v="37"/>
    <x v="37"/>
    <n v="8"/>
    <n v="0.1275"/>
    <n v="1.02"/>
  </r>
  <r>
    <x v="38"/>
    <x v="38"/>
    <n v="12"/>
    <n v="9.9124999999999991E-2"/>
    <n v="1.1894999999999998"/>
  </r>
  <r>
    <x v="39"/>
    <x v="39"/>
    <n v="2"/>
    <n v="0.19166666666666665"/>
    <n v="0.3833333333333333"/>
  </r>
  <r>
    <x v="40"/>
    <x v="40"/>
    <n v="6"/>
    <n v="0.61875000000000002"/>
    <n v="3.7125000000000004"/>
  </r>
  <r>
    <x v="41"/>
    <x v="41"/>
    <n v="11"/>
    <n v="0.55541666666666667"/>
    <n v="6.1095833333333331"/>
  </r>
  <r>
    <x v="42"/>
    <x v="42"/>
    <n v="3"/>
    <n v="0.61875000000000002"/>
    <n v="1.8562500000000002"/>
  </r>
  <r>
    <x v="43"/>
    <x v="43"/>
    <n v="24"/>
    <n v="0.61875000000000002"/>
    <n v="14.850000000000001"/>
  </r>
  <r>
    <x v="44"/>
    <x v="44"/>
    <n v="13"/>
    <n v="0.19833333333333333"/>
    <n v="2.5783333333333331"/>
  </r>
  <r>
    <x v="45"/>
    <x v="45"/>
    <n v="36"/>
    <n v="0.19833333333333333"/>
    <n v="7.14"/>
  </r>
  <r>
    <x v="46"/>
    <x v="46"/>
    <n v="288"/>
    <n v="0.19833333333333333"/>
    <n v="57.12"/>
  </r>
  <r>
    <x v="47"/>
    <x v="47"/>
    <n v="6"/>
    <n v="6.6666666666666666E-2"/>
    <n v="0.4"/>
  </r>
  <r>
    <x v="48"/>
    <x v="48"/>
    <n v="1"/>
    <n v="100"/>
    <n v="100"/>
  </r>
  <r>
    <x v="49"/>
    <x v="49"/>
    <n v="6"/>
    <n v="0.36249999999999999"/>
    <n v="2.1749999999999998"/>
  </r>
  <r>
    <x v="50"/>
    <x v="50"/>
    <n v="13"/>
    <n v="0.22041666666666668"/>
    <n v="2.8654166666666669"/>
  </r>
  <r>
    <x v="51"/>
    <x v="51"/>
    <n v="6"/>
    <n v="0.44083333333333335"/>
    <n v="2.645"/>
  </r>
  <r>
    <x v="52"/>
    <x v="52"/>
    <n v="12"/>
    <n v="0.34"/>
    <n v="4.08"/>
  </r>
  <r>
    <x v="53"/>
    <x v="53"/>
    <n v="1"/>
    <n v="0.22041666666666668"/>
    <n v="0.22041666666666668"/>
  </r>
  <r>
    <x v="54"/>
    <x v="54"/>
    <n v="2"/>
    <n v="0.42333333333333334"/>
    <n v="0.84666666666666668"/>
  </r>
  <r>
    <x v="55"/>
    <x v="55"/>
    <n v="12"/>
    <n v="8.3333333333333329E-2"/>
    <n v="1"/>
  </r>
  <r>
    <x v="56"/>
    <x v="56"/>
    <n v="12"/>
    <n v="0.25"/>
    <n v="3"/>
  </r>
  <r>
    <x v="57"/>
    <x v="57"/>
    <n v="9"/>
    <n v="0.8833333333333333"/>
    <n v="7.9499999999999993"/>
  </r>
  <r>
    <x v="58"/>
    <x v="58"/>
    <n v="12"/>
    <n v="1.3216666666666665"/>
    <n v="15.86"/>
  </r>
  <r>
    <x v="59"/>
    <x v="59"/>
    <n v="3"/>
    <n v="0.70833333333333337"/>
    <n v="2.125"/>
  </r>
  <r>
    <x v="60"/>
    <x v="60"/>
    <n v="1"/>
    <n v="0.34375"/>
    <n v="0.34375"/>
  </r>
  <r>
    <x v="61"/>
    <x v="61"/>
    <n v="48"/>
    <n v="3.1091666666666669"/>
    <n v="149.24"/>
  </r>
  <r>
    <x v="62"/>
    <x v="62"/>
    <n v="265"/>
    <n v="0.44166666666666665"/>
    <n v="117.04166666666666"/>
  </r>
  <r>
    <x v="63"/>
    <x v="63"/>
    <n v="362"/>
    <n v="0.44166666666666665"/>
    <n v="159.88333333333333"/>
  </r>
  <r>
    <x v="64"/>
    <x v="64"/>
    <n v="6"/>
    <n v="0.82708333333333339"/>
    <n v="4.9625000000000004"/>
  </r>
  <r>
    <x v="65"/>
    <x v="65"/>
    <n v="6"/>
    <n v="2.2083333333333335"/>
    <n v="13.25"/>
  </r>
  <r>
    <x v="66"/>
    <x v="66"/>
    <n v="21"/>
    <n v="1.75"/>
    <n v="36.75"/>
  </r>
  <r>
    <x v="67"/>
    <x v="67"/>
    <n v="6"/>
    <n v="2.2083333333333335"/>
    <n v="13.25"/>
  </r>
  <r>
    <x v="68"/>
    <x v="68"/>
    <n v="10"/>
    <n v="6"/>
    <n v="60"/>
  </r>
  <r>
    <x v="69"/>
    <x v="69"/>
    <n v="110"/>
    <n v="0.33958333333333335"/>
    <n v="37.354166666666671"/>
  </r>
  <r>
    <x v="70"/>
    <x v="70"/>
    <n v="2"/>
    <n v="0.25"/>
    <n v="0.5"/>
  </r>
  <r>
    <x v="71"/>
    <x v="71"/>
    <n v="96"/>
    <n v="0.65625"/>
    <n v="63"/>
  </r>
  <r>
    <x v="72"/>
    <x v="72"/>
    <n v="48"/>
    <n v="0.34375"/>
    <n v="16.5"/>
  </r>
  <r>
    <x v="73"/>
    <x v="73"/>
    <n v="26"/>
    <n v="0.375"/>
    <n v="9.75"/>
  </r>
  <r>
    <x v="74"/>
    <x v="74"/>
    <n v="30"/>
    <n v="0.9375"/>
    <n v="28.125"/>
  </r>
  <r>
    <x v="75"/>
    <x v="75"/>
    <n v="1"/>
    <n v="2.1166666666666667"/>
    <n v="2.1166666666666667"/>
  </r>
  <r>
    <x v="76"/>
    <x v="76"/>
    <n v="6"/>
    <n v="0.24270833333333333"/>
    <n v="1.45625"/>
  </r>
  <r>
    <x v="77"/>
    <x v="77"/>
    <n v="1"/>
    <n v="2.1166666666666667"/>
    <n v="2.1166666666666667"/>
  </r>
  <r>
    <x v="78"/>
    <x v="78"/>
    <n v="2"/>
    <n v="0.5"/>
    <n v="1"/>
  </r>
  <r>
    <x v="79"/>
    <x v="79"/>
    <n v="18"/>
    <n v="0.33041666666666664"/>
    <n v="5.9474999999999998"/>
  </r>
  <r>
    <x v="80"/>
    <x v="80"/>
    <n v="6"/>
    <n v="1.1041666666666667"/>
    <n v="6.625"/>
  </r>
  <r>
    <x v="81"/>
    <x v="81"/>
    <n v="12"/>
    <n v="1.3340744858254587"/>
    <n v="16.008893829905503"/>
  </r>
  <r>
    <x v="82"/>
    <x v="82"/>
    <n v="1"/>
    <n v="1.3125"/>
    <n v="1.3125"/>
  </r>
  <r>
    <x v="83"/>
    <x v="83"/>
    <n v="1"/>
    <n v="0.6"/>
    <n v="0.6"/>
  </r>
  <r>
    <x v="84"/>
    <x v="84"/>
    <n v="5"/>
    <n v="0.6"/>
    <n v="3"/>
  </r>
  <r>
    <x v="85"/>
    <x v="85"/>
    <n v="8"/>
    <n v="0.6"/>
    <n v="4.8"/>
  </r>
  <r>
    <x v="86"/>
    <x v="86"/>
    <n v="1"/>
    <n v="0.6"/>
    <n v="0.6"/>
  </r>
  <r>
    <x v="87"/>
    <x v="87"/>
    <n v="7"/>
    <n v="0.6"/>
    <n v="4.2"/>
  </r>
  <r>
    <x v="88"/>
    <x v="88"/>
    <n v="3"/>
    <n v="0.6"/>
    <n v="1.7999999999999998"/>
  </r>
  <r>
    <x v="89"/>
    <x v="89"/>
    <n v="5"/>
    <n v="0.6"/>
    <n v="3"/>
  </r>
  <r>
    <x v="90"/>
    <x v="90"/>
    <n v="2"/>
    <n v="0.6"/>
    <n v="1.2"/>
  </r>
  <r>
    <x v="91"/>
    <x v="91"/>
    <n v="3"/>
    <n v="0.6"/>
    <n v="1.7999999999999998"/>
  </r>
  <r>
    <x v="92"/>
    <x v="92"/>
    <n v="1"/>
    <n v="0.9277777777777777"/>
    <n v="0.9277777777777777"/>
  </r>
  <r>
    <x v="93"/>
    <x v="93"/>
    <n v="1"/>
    <n v="0.9277777777777777"/>
    <n v="0.9277777777777777"/>
  </r>
  <r>
    <x v="94"/>
    <x v="94"/>
    <n v="1"/>
    <n v="0.9277777777777777"/>
    <n v="0.9277777777777777"/>
  </r>
  <r>
    <x v="95"/>
    <x v="95"/>
    <n v="3"/>
    <n v="0.71375"/>
    <n v="2.1412499999999999"/>
  </r>
  <r>
    <x v="96"/>
    <x v="96"/>
    <n v="18"/>
    <n v="1.1025"/>
    <n v="19.844999999999999"/>
  </r>
  <r>
    <x v="97"/>
    <x v="97"/>
    <n v="50"/>
    <n v="0.88"/>
    <n v="4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n v="1200"/>
    <n v="0.34375"/>
    <n v="412.5"/>
  </r>
  <r>
    <x v="1"/>
    <x v="1"/>
    <n v="240"/>
    <n v="0.65625"/>
    <n v="157.5"/>
  </r>
  <r>
    <x v="2"/>
    <x v="2"/>
    <n v="1152"/>
    <n v="0.19843750000000002"/>
    <n v="228.60000000000002"/>
  </r>
  <r>
    <x v="3"/>
    <x v="3"/>
    <n v="96"/>
    <n v="0.21166666666666667"/>
    <n v="20.32"/>
  </r>
  <r>
    <x v="4"/>
    <x v="4"/>
    <n v="864"/>
    <n v="0.11944444444444444"/>
    <n v="103.19999999999999"/>
  </r>
  <r>
    <x v="5"/>
    <x v="5"/>
    <n v="36"/>
    <n v="0.11944444444444444"/>
    <n v="4.3"/>
  </r>
  <r>
    <x v="6"/>
    <x v="6"/>
    <n v="52"/>
    <n v="0.22083333333333333"/>
    <n v="11.48333333333333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2213.6251388888886"/>
    <n v="22.136251388888887"/>
  </r>
  <r>
    <x v="1"/>
    <n v="3619.7407236111121"/>
    <n v="36.197407236111118"/>
  </r>
  <r>
    <x v="2"/>
    <n v="2753.3134377645492"/>
    <n v="27.533134377645492"/>
  </r>
  <r>
    <x v="3"/>
    <n v="2948.7015069444446"/>
    <n v="29.487015069444446"/>
  </r>
  <r>
    <x v="4"/>
    <n v="2988.0298473117778"/>
    <n v="29.880298473117776"/>
  </r>
  <r>
    <x v="5"/>
    <n v="2912.2014597041848"/>
    <n v="29.122014597041847"/>
  </r>
  <r>
    <x v="6"/>
    <n v="3663.0902430555548"/>
    <n v="36.630902430555551"/>
  </r>
  <r>
    <x v="7"/>
    <n v="5225.1016329365084"/>
    <n v="52.251016329365086"/>
  </r>
  <r>
    <x v="8"/>
    <n v="1561.8200000000002"/>
    <n v="15.618200000000002"/>
  </r>
  <r>
    <x v="9"/>
    <e v="#N/A"/>
    <e v="#N/A"/>
  </r>
  <r>
    <x v="10"/>
    <n v="937.90333333333342"/>
    <n v="9.379033333333334"/>
  </r>
  <r>
    <x v="11"/>
    <n v="1688.1716666666669"/>
    <n v="16.88171666666666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x v="0"/>
    <x v="0"/>
    <n v="44"/>
    <n v="0.88200000000000001"/>
    <n v="38.808"/>
  </r>
  <r>
    <x v="1"/>
    <x v="1"/>
    <n v="15"/>
    <n v="0.88200000000000001"/>
    <n v="13.23"/>
  </r>
  <r>
    <x v="2"/>
    <x v="2"/>
    <n v="19"/>
    <n v="0.33071428571428568"/>
    <n v="6.2835714285714284"/>
  </r>
  <r>
    <x v="3"/>
    <x v="3"/>
    <n v="1"/>
    <n v="1.1031249999999999"/>
    <n v="1.1031249999999999"/>
  </r>
  <r>
    <x v="4"/>
    <x v="4"/>
    <n v="7"/>
    <n v="0.39821428571428574"/>
    <n v="2.7875000000000001"/>
  </r>
  <r>
    <x v="5"/>
    <x v="5"/>
    <n v="2"/>
    <n v="0.79400000000000004"/>
    <n v="1.5880000000000001"/>
  </r>
  <r>
    <x v="6"/>
    <x v="6"/>
    <n v="1"/>
    <n v="0.25"/>
    <n v="0.25"/>
  </r>
  <r>
    <x v="7"/>
    <x v="7"/>
    <n v="9"/>
    <n v="1.5449999999999999"/>
    <n v="13.904999999999999"/>
  </r>
  <r>
    <x v="8"/>
    <x v="8"/>
    <n v="6"/>
    <n v="1.4166666666666667"/>
    <n v="8.5"/>
  </r>
  <r>
    <x v="9"/>
    <x v="9"/>
    <n v="1"/>
    <n v="0.3"/>
    <n v="0.3"/>
  </r>
  <r>
    <x v="10"/>
    <x v="10"/>
    <n v="1"/>
    <n v="2.48"/>
    <n v="2.48"/>
  </r>
  <r>
    <x v="11"/>
    <x v="11"/>
    <n v="1"/>
    <n v="2.65"/>
    <n v="2.65"/>
  </r>
  <r>
    <x v="12"/>
    <x v="12"/>
    <n v="12"/>
    <n v="2.65"/>
    <n v="31.799999999999997"/>
  </r>
  <r>
    <x v="13"/>
    <x v="13"/>
    <n v="12"/>
    <n v="2.65"/>
    <n v="31.799999999999997"/>
  </r>
  <r>
    <x v="14"/>
    <x v="14"/>
    <n v="1"/>
    <n v="3.3049999999999997"/>
    <n v="3.3049999999999997"/>
  </r>
  <r>
    <x v="15"/>
    <x v="15"/>
    <n v="12"/>
    <n v="3.3049999999999997"/>
    <n v="39.659999999999997"/>
  </r>
  <r>
    <x v="16"/>
    <x v="16"/>
    <n v="6"/>
    <n v="0.23805555555555558"/>
    <n v="1.4283333333333335"/>
  </r>
  <r>
    <x v="17"/>
    <x v="17"/>
    <n v="120"/>
    <n v="0.75"/>
    <n v="90"/>
  </r>
  <r>
    <x v="18"/>
    <x v="18"/>
    <n v="6"/>
    <n v="1.1100000000000001"/>
    <n v="6.66"/>
  </r>
  <r>
    <x v="19"/>
    <x v="19"/>
    <n v="85"/>
    <n v="0.11944444444444444"/>
    <n v="10.152777777777777"/>
  </r>
  <r>
    <x v="20"/>
    <x v="20"/>
    <n v="7"/>
    <n v="0.12833333333333333"/>
    <n v="0.89833333333333332"/>
  </r>
  <r>
    <x v="21"/>
    <x v="21"/>
    <n v="540"/>
    <n v="1.76"/>
    <n v="950.4"/>
  </r>
  <r>
    <x v="22"/>
    <x v="22"/>
    <n v="61"/>
    <n v="0.77200000000000002"/>
    <n v="47.091999999999999"/>
  </r>
  <r>
    <x v="23"/>
    <x v="23"/>
    <n v="2"/>
    <n v="1.6555555555555557"/>
    <n v="3.3111111111111113"/>
  </r>
  <r>
    <x v="24"/>
    <x v="24"/>
    <n v="8"/>
    <n v="0.8833333333333333"/>
    <n v="7.0666666666666664"/>
  </r>
  <r>
    <x v="25"/>
    <x v="25"/>
    <n v="7"/>
    <n v="2.65"/>
    <n v="18.55"/>
  </r>
  <r>
    <x v="26"/>
    <x v="26"/>
    <n v="19"/>
    <n v="2.65"/>
    <n v="50.35"/>
  </r>
  <r>
    <x v="27"/>
    <x v="27"/>
    <n v="18"/>
    <n v="2.65"/>
    <n v="47.699999999999996"/>
  </r>
  <r>
    <x v="28"/>
    <x v="28"/>
    <n v="3"/>
    <n v="0.9916666666666667"/>
    <n v="2.9750000000000001"/>
  </r>
  <r>
    <x v="29"/>
    <x v="29"/>
    <n v="5"/>
    <n v="0.1275"/>
    <n v="0.63749999999999996"/>
  </r>
  <r>
    <x v="30"/>
    <x v="30"/>
    <n v="12"/>
    <n v="0.1275"/>
    <n v="1.53"/>
  </r>
  <r>
    <x v="31"/>
    <x v="31"/>
    <n v="1"/>
    <n v="1.190625"/>
    <n v="1.190625"/>
  </r>
  <r>
    <x v="32"/>
    <x v="32"/>
    <n v="131"/>
    <n v="9.9124999999999991E-2"/>
    <n v="12.985374999999999"/>
  </r>
  <r>
    <x v="33"/>
    <x v="33"/>
    <n v="8"/>
    <n v="0.55541666666666667"/>
    <n v="4.4433333333333334"/>
  </r>
  <r>
    <x v="34"/>
    <x v="34"/>
    <n v="18"/>
    <n v="0.5541666666666667"/>
    <n v="9.9750000000000014"/>
  </r>
  <r>
    <x v="35"/>
    <x v="35"/>
    <n v="104"/>
    <n v="0.19833333333333333"/>
    <n v="20.626666666666665"/>
  </r>
  <r>
    <x v="36"/>
    <x v="36"/>
    <n v="179"/>
    <n v="0.19843750000000002"/>
    <n v="35.520312500000003"/>
  </r>
  <r>
    <x v="37"/>
    <x v="37"/>
    <n v="12"/>
    <n v="0.19833333333333333"/>
    <n v="2.38"/>
  </r>
  <r>
    <x v="38"/>
    <x v="38"/>
    <n v="1128"/>
    <n v="0.19833333333333333"/>
    <n v="223.72"/>
  </r>
  <r>
    <x v="39"/>
    <x v="39"/>
    <n v="1"/>
    <n v="2.6875E-2"/>
    <n v="2.6875E-2"/>
  </r>
  <r>
    <x v="40"/>
    <x v="40"/>
    <n v="2"/>
    <n v="0.9"/>
    <n v="1.8"/>
  </r>
  <r>
    <x v="41"/>
    <x v="41"/>
    <n v="7"/>
    <n v="0.9"/>
    <n v="6.3"/>
  </r>
  <r>
    <x v="42"/>
    <x v="42"/>
    <n v="8"/>
    <n v="0.9"/>
    <n v="7.2"/>
  </r>
  <r>
    <x v="43"/>
    <x v="43"/>
    <n v="1"/>
    <n v="0.9"/>
    <n v="0.9"/>
  </r>
  <r>
    <x v="44"/>
    <x v="44"/>
    <n v="2"/>
    <n v="0.9"/>
    <n v="1.8"/>
  </r>
  <r>
    <x v="45"/>
    <x v="45"/>
    <n v="2"/>
    <n v="0.9"/>
    <n v="1.8"/>
  </r>
  <r>
    <x v="46"/>
    <x v="46"/>
    <n v="4"/>
    <n v="0.9"/>
    <n v="3.6"/>
  </r>
  <r>
    <x v="47"/>
    <x v="47"/>
    <n v="2"/>
    <n v="0.9"/>
    <n v="1.8"/>
  </r>
  <r>
    <x v="48"/>
    <x v="48"/>
    <n v="8"/>
    <n v="0.9"/>
    <n v="7.2"/>
  </r>
  <r>
    <x v="49"/>
    <x v="49"/>
    <n v="1"/>
    <n v="0.9"/>
    <n v="0.9"/>
  </r>
  <r>
    <x v="50"/>
    <x v="50"/>
    <n v="1"/>
    <n v="100"/>
    <n v="100"/>
  </r>
  <r>
    <x v="51"/>
    <x v="51"/>
    <n v="10"/>
    <n v="0.92524999999999991"/>
    <n v="9.2524999999999995"/>
  </r>
  <r>
    <x v="52"/>
    <x v="52"/>
    <n v="10"/>
    <n v="0.92524999999999991"/>
    <n v="9.2524999999999995"/>
  </r>
  <r>
    <x v="53"/>
    <x v="53"/>
    <n v="10"/>
    <n v="0.52916666666666667"/>
    <n v="5.291666666666667"/>
  </r>
  <r>
    <x v="54"/>
    <x v="54"/>
    <n v="4"/>
    <n v="0.52916666666666667"/>
    <n v="2.1166666666666667"/>
  </r>
  <r>
    <x v="55"/>
    <x v="55"/>
    <n v="4"/>
    <n v="0.47599999999999998"/>
    <n v="1.9039999999999999"/>
  </r>
  <r>
    <x v="56"/>
    <x v="56"/>
    <n v="10"/>
    <n v="0.1648"/>
    <n v="1.6480000000000001"/>
  </r>
  <r>
    <x v="57"/>
    <x v="57"/>
    <n v="6"/>
    <n v="0.36249999999999999"/>
    <n v="2.1749999999999998"/>
  </r>
  <r>
    <x v="58"/>
    <x v="58"/>
    <n v="13"/>
    <n v="0.36249999999999999"/>
    <n v="4.7124999999999995"/>
  </r>
  <r>
    <x v="59"/>
    <x v="59"/>
    <n v="26"/>
    <n v="0.22041666666666668"/>
    <n v="5.7308333333333339"/>
  </r>
  <r>
    <x v="60"/>
    <x v="60"/>
    <n v="6"/>
    <n v="0.44083333333333335"/>
    <n v="2.645"/>
  </r>
  <r>
    <x v="61"/>
    <x v="61"/>
    <n v="38"/>
    <n v="0.83750000000000002"/>
    <n v="31.824999999999999"/>
  </r>
  <r>
    <x v="62"/>
    <x v="62"/>
    <n v="6"/>
    <n v="0.22041666666666668"/>
    <n v="1.3225"/>
  </r>
  <r>
    <x v="63"/>
    <x v="63"/>
    <n v="180"/>
    <n v="0.22041666666666668"/>
    <n v="39.675000000000004"/>
  </r>
  <r>
    <x v="64"/>
    <x v="64"/>
    <n v="9"/>
    <n v="0.22041666666666668"/>
    <n v="1.9837500000000001"/>
  </r>
  <r>
    <x v="65"/>
    <x v="65"/>
    <n v="2"/>
    <n v="1.1875"/>
    <n v="2.375"/>
  </r>
  <r>
    <x v="66"/>
    <x v="66"/>
    <n v="9"/>
    <n v="0.22041666666666668"/>
    <n v="1.9837500000000001"/>
  </r>
  <r>
    <x v="67"/>
    <x v="67"/>
    <n v="15"/>
    <n v="0.79375000000000007"/>
    <n v="11.906250000000002"/>
  </r>
  <r>
    <x v="68"/>
    <x v="68"/>
    <n v="1"/>
    <n v="1.6600000000000001"/>
    <n v="1.6600000000000001"/>
  </r>
  <r>
    <x v="69"/>
    <x v="69"/>
    <n v="4"/>
    <n v="8.3333333333333329E-2"/>
    <n v="0.33333333333333331"/>
  </r>
  <r>
    <x v="70"/>
    <x v="70"/>
    <n v="6"/>
    <n v="0.25"/>
    <n v="1.5"/>
  </r>
  <r>
    <x v="71"/>
    <x v="71"/>
    <n v="24"/>
    <n v="0.8833333333333333"/>
    <n v="21.2"/>
  </r>
  <r>
    <x v="72"/>
    <x v="72"/>
    <n v="4"/>
    <n v="0.82750000000000001"/>
    <n v="3.31"/>
  </r>
  <r>
    <x v="73"/>
    <x v="73"/>
    <n v="4"/>
    <n v="0.82750000000000001"/>
    <n v="3.31"/>
  </r>
  <r>
    <x v="74"/>
    <x v="74"/>
    <n v="12"/>
    <n v="1.3216666666666665"/>
    <n v="15.86"/>
  </r>
  <r>
    <x v="75"/>
    <x v="75"/>
    <n v="1"/>
    <n v="0.1"/>
    <n v="0.1"/>
  </r>
  <r>
    <x v="76"/>
    <x v="76"/>
    <n v="2"/>
    <n v="0.8833333333333333"/>
    <n v="1.7666666666666666"/>
  </r>
  <r>
    <x v="77"/>
    <x v="77"/>
    <n v="10"/>
    <n v="0.70833333333333337"/>
    <n v="7.0833333333333339"/>
  </r>
  <r>
    <x v="78"/>
    <x v="78"/>
    <n v="6"/>
    <n v="1.1008333333333333"/>
    <n v="6.6050000000000004"/>
  </r>
  <r>
    <x v="79"/>
    <x v="79"/>
    <n v="6"/>
    <n v="1.1016666666666668"/>
    <n v="6.6100000000000012"/>
  </r>
  <r>
    <x v="80"/>
    <x v="80"/>
    <n v="6"/>
    <n v="1.1016666666666668"/>
    <n v="6.6100000000000012"/>
  </r>
  <r>
    <x v="81"/>
    <x v="81"/>
    <n v="24"/>
    <n v="3.1091666666666669"/>
    <n v="74.62"/>
  </r>
  <r>
    <x v="82"/>
    <x v="82"/>
    <n v="253"/>
    <n v="0.44166666666666665"/>
    <n v="111.74166666666666"/>
  </r>
  <r>
    <x v="83"/>
    <x v="83"/>
    <n v="219"/>
    <n v="0.44166666666666665"/>
    <n v="96.724999999999994"/>
  </r>
  <r>
    <x v="84"/>
    <x v="84"/>
    <n v="30"/>
    <n v="0.11493055555555556"/>
    <n v="3.447916666666667"/>
  </r>
  <r>
    <x v="85"/>
    <x v="85"/>
    <n v="132"/>
    <n v="0.5"/>
    <n v="66"/>
  </r>
  <r>
    <x v="86"/>
    <x v="86"/>
    <n v="28"/>
    <n v="0.875"/>
    <n v="24.5"/>
  </r>
  <r>
    <x v="87"/>
    <x v="87"/>
    <n v="12"/>
    <n v="0.5"/>
    <n v="6"/>
  </r>
  <r>
    <x v="88"/>
    <x v="88"/>
    <n v="6"/>
    <n v="0.82708333333333339"/>
    <n v="4.9625000000000004"/>
  </r>
  <r>
    <x v="89"/>
    <x v="89"/>
    <n v="8"/>
    <n v="0.7729166666666667"/>
    <n v="6.1833333333333336"/>
  </r>
  <r>
    <x v="90"/>
    <x v="90"/>
    <n v="246"/>
    <n v="0.72916666666666663"/>
    <n v="179.375"/>
  </r>
  <r>
    <x v="91"/>
    <x v="91"/>
    <n v="41"/>
    <n v="1.75"/>
    <n v="71.75"/>
  </r>
  <r>
    <x v="92"/>
    <x v="92"/>
    <n v="11"/>
    <n v="0.7729166666666667"/>
    <n v="8.5020833333333332"/>
  </r>
  <r>
    <x v="93"/>
    <x v="93"/>
    <n v="20"/>
    <n v="0.72916666666666663"/>
    <n v="14.583333333333332"/>
  </r>
  <r>
    <x v="94"/>
    <x v="94"/>
    <n v="32"/>
    <n v="0.72916666666666663"/>
    <n v="23.333333333333332"/>
  </r>
  <r>
    <x v="95"/>
    <x v="95"/>
    <n v="6"/>
    <n v="0.5"/>
    <n v="3"/>
  </r>
  <r>
    <x v="96"/>
    <x v="96"/>
    <n v="6"/>
    <n v="0.96875"/>
    <n v="5.8125"/>
  </r>
  <r>
    <x v="97"/>
    <x v="97"/>
    <n v="1159"/>
    <n v="0.33958333333333335"/>
    <n v="393.57708333333335"/>
  </r>
  <r>
    <x v="98"/>
    <x v="98"/>
    <n v="11"/>
    <n v="0.7729166666666667"/>
    <n v="8.5020833333333332"/>
  </r>
  <r>
    <x v="99"/>
    <x v="99"/>
    <n v="27"/>
    <n v="0.25"/>
    <n v="6.75"/>
  </r>
  <r>
    <x v="100"/>
    <x v="100"/>
    <n v="9"/>
    <n v="1.8125"/>
    <n v="16.3125"/>
  </r>
  <r>
    <x v="101"/>
    <x v="101"/>
    <n v="48"/>
    <n v="0.34375"/>
    <n v="16.5"/>
  </r>
  <r>
    <x v="102"/>
    <x v="102"/>
    <n v="100"/>
    <n v="0.65625"/>
    <n v="65.625"/>
  </r>
  <r>
    <x v="103"/>
    <x v="103"/>
    <n v="352"/>
    <n v="0.34375"/>
    <n v="121"/>
  </r>
  <r>
    <x v="104"/>
    <x v="104"/>
    <n v="20"/>
    <n v="0.72916666666666663"/>
    <n v="14.583333333333332"/>
  </r>
  <r>
    <x v="105"/>
    <x v="105"/>
    <n v="18"/>
    <n v="0.9375"/>
    <n v="16.875"/>
  </r>
  <r>
    <x v="106"/>
    <x v="106"/>
    <n v="12"/>
    <n v="0.2"/>
    <n v="2.4000000000000004"/>
  </r>
  <r>
    <x v="107"/>
    <x v="107"/>
    <n v="2"/>
    <n v="8.8888888888888892E-2"/>
    <n v="0.17777777777777778"/>
  </r>
  <r>
    <x v="108"/>
    <x v="108"/>
    <n v="2"/>
    <n v="0.10416666666666667"/>
    <n v="0.20833333333333334"/>
  </r>
  <r>
    <x v="109"/>
    <x v="109"/>
    <n v="1"/>
    <n v="0.10416666666666667"/>
    <n v="0.10416666666666667"/>
  </r>
  <r>
    <x v="110"/>
    <x v="110"/>
    <n v="1"/>
    <n v="2.1166666666666667"/>
    <n v="2.1166666666666667"/>
  </r>
  <r>
    <x v="111"/>
    <x v="111"/>
    <n v="10"/>
    <n v="2.1166666666666667"/>
    <n v="21.166666666666668"/>
  </r>
  <r>
    <x v="112"/>
    <x v="112"/>
    <n v="1"/>
    <n v="1.5"/>
    <n v="1.5"/>
  </r>
  <r>
    <x v="113"/>
    <x v="113"/>
    <n v="3"/>
    <n v="0.24270833333333333"/>
    <n v="0.72812500000000002"/>
  </r>
  <r>
    <x v="114"/>
    <x v="114"/>
    <n v="3"/>
    <n v="0.24270833333333333"/>
    <n v="0.72812500000000002"/>
  </r>
  <r>
    <x v="115"/>
    <x v="115"/>
    <n v="3"/>
    <n v="0.24270833333333333"/>
    <n v="0.72812500000000002"/>
  </r>
  <r>
    <x v="116"/>
    <x v="116"/>
    <n v="3"/>
    <n v="0.24270833333333333"/>
    <n v="0.72812500000000002"/>
  </r>
  <r>
    <x v="117"/>
    <x v="117"/>
    <n v="20"/>
    <n v="0.88249999999999995"/>
    <n v="17.649999999999999"/>
  </r>
  <r>
    <x v="118"/>
    <x v="118"/>
    <n v="1"/>
    <n v="2.1166666666666667"/>
    <n v="2.1166666666666667"/>
  </r>
  <r>
    <x v="119"/>
    <x v="119"/>
    <n v="46"/>
    <n v="0.11"/>
    <n v="5.0599999999999996"/>
  </r>
  <r>
    <x v="120"/>
    <x v="120"/>
    <n v="1"/>
    <n v="0.06"/>
    <n v="0.06"/>
  </r>
  <r>
    <x v="121"/>
    <x v="121"/>
    <n v="1"/>
    <n v="1.1041666666666667"/>
    <n v="1.1041666666666667"/>
  </r>
  <r>
    <x v="122"/>
    <x v="122"/>
    <n v="4"/>
    <n v="1.1041666666666667"/>
    <n v="4.416666666666667"/>
  </r>
  <r>
    <x v="123"/>
    <x v="123"/>
    <n v="2"/>
    <n v="1.1041666666666667"/>
    <n v="2.2083333333333335"/>
  </r>
  <r>
    <x v="124"/>
    <x v="124"/>
    <n v="2"/>
    <n v="1.1041666666666667"/>
    <n v="2.2083333333333335"/>
  </r>
  <r>
    <x v="125"/>
    <x v="125"/>
    <n v="4"/>
    <n v="1.1041666666666667"/>
    <n v="4.416666666666667"/>
  </r>
  <r>
    <x v="126"/>
    <x v="126"/>
    <n v="2"/>
    <n v="0.37040000000000001"/>
    <n v="0.74080000000000001"/>
  </r>
  <r>
    <x v="127"/>
    <x v="127"/>
    <n v="2"/>
    <n v="0.6"/>
    <n v="1.2"/>
  </r>
  <r>
    <x v="128"/>
    <x v="128"/>
    <n v="2"/>
    <n v="0.6"/>
    <n v="1.2"/>
  </r>
  <r>
    <x v="129"/>
    <x v="129"/>
    <n v="1"/>
    <n v="0.6"/>
    <n v="0.6"/>
  </r>
  <r>
    <x v="130"/>
    <x v="130"/>
    <n v="2"/>
    <n v="0.6"/>
    <n v="1.2"/>
  </r>
  <r>
    <x v="131"/>
    <x v="131"/>
    <n v="1"/>
    <n v="0.9277777777777777"/>
    <n v="0.9277777777777777"/>
  </r>
  <r>
    <x v="132"/>
    <x v="132"/>
    <n v="30"/>
    <n v="1.1008333333333333"/>
    <n v="33.024999999999999"/>
  </r>
  <r>
    <x v="133"/>
    <x v="133"/>
    <n v="5"/>
    <n v="0.71375"/>
    <n v="3.5687500000000001"/>
  </r>
  <r>
    <x v="134"/>
    <x v="134"/>
    <n v="16"/>
    <n v="0.62"/>
    <n v="9.92"/>
  </r>
  <r>
    <x v="135"/>
    <x v="135"/>
    <n v="2"/>
    <n v="0.48"/>
    <n v="0.96"/>
  </r>
  <r>
    <x v="136"/>
    <x v="136"/>
    <n v="2"/>
    <n v="1.5714285714285715E-2"/>
    <n v="3.1428571428571431E-2"/>
  </r>
  <r>
    <x v="137"/>
    <x v="137"/>
    <n v="24"/>
    <n v="0.88166666666666671"/>
    <n v="21.16"/>
  </r>
  <r>
    <x v="138"/>
    <x v="138"/>
    <n v="25"/>
    <n v="0.88"/>
    <n v="2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n v="18"/>
    <n v="0.88200000000000001"/>
    <n v="15.875999999999999"/>
  </r>
  <r>
    <x v="1"/>
    <x v="1"/>
    <n v="3"/>
    <n v="0.88200000000000001"/>
    <n v="2.6459999999999999"/>
  </r>
  <r>
    <x v="2"/>
    <x v="2"/>
    <n v="12"/>
    <n v="0.88200000000000001"/>
    <n v="10.584"/>
  </r>
  <r>
    <x v="3"/>
    <x v="3"/>
    <n v="6"/>
    <n v="0.88200000000000001"/>
    <n v="5.2919999999999998"/>
  </r>
  <r>
    <x v="4"/>
    <x v="4"/>
    <n v="3"/>
    <n v="0.33071428571428568"/>
    <n v="0.99214285714285699"/>
  </r>
  <r>
    <x v="5"/>
    <x v="5"/>
    <n v="7"/>
    <n v="0.25351851851851853"/>
    <n v="1.7746296296296298"/>
  </r>
  <r>
    <x v="6"/>
    <x v="6"/>
    <n v="2"/>
    <n v="1.5449999999999999"/>
    <n v="3.09"/>
  </r>
  <r>
    <x v="7"/>
    <x v="7"/>
    <n v="15"/>
    <n v="0.8"/>
    <n v="12"/>
  </r>
  <r>
    <x v="8"/>
    <x v="8"/>
    <n v="1"/>
    <n v="0.3"/>
    <n v="0.3"/>
  </r>
  <r>
    <x v="9"/>
    <x v="9"/>
    <n v="6"/>
    <n v="2.65"/>
    <n v="15.899999999999999"/>
  </r>
  <r>
    <x v="10"/>
    <x v="10"/>
    <n v="6"/>
    <n v="2.65"/>
    <n v="15.899999999999999"/>
  </r>
  <r>
    <x v="11"/>
    <x v="11"/>
    <n v="6"/>
    <n v="3.2916666666666665"/>
    <n v="19.75"/>
  </r>
  <r>
    <x v="12"/>
    <x v="12"/>
    <n v="3"/>
    <n v="0.23805555555555558"/>
    <n v="0.71416666666666673"/>
  </r>
  <r>
    <x v="13"/>
    <x v="13"/>
    <n v="132"/>
    <n v="0.75"/>
    <n v="99"/>
  </r>
  <r>
    <x v="14"/>
    <x v="14"/>
    <n v="6"/>
    <n v="1.1100000000000001"/>
    <n v="6.66"/>
  </r>
  <r>
    <x v="15"/>
    <x v="15"/>
    <n v="12"/>
    <n v="0.11944444444444444"/>
    <n v="1.4333333333333331"/>
  </r>
  <r>
    <x v="16"/>
    <x v="16"/>
    <n v="1"/>
    <n v="0.11041666666666666"/>
    <n v="0.11041666666666666"/>
  </r>
  <r>
    <x v="17"/>
    <x v="17"/>
    <n v="1"/>
    <n v="0.11041666666666666"/>
    <n v="0.11041666666666666"/>
  </r>
  <r>
    <x v="18"/>
    <x v="18"/>
    <n v="3"/>
    <n v="0.12833333333333333"/>
    <n v="0.38500000000000001"/>
  </r>
  <r>
    <x v="19"/>
    <x v="19"/>
    <n v="72"/>
    <n v="1.76"/>
    <n v="126.72"/>
  </r>
  <r>
    <x v="20"/>
    <x v="20"/>
    <n v="24"/>
    <n v="0.77200000000000002"/>
    <n v="18.527999999999999"/>
  </r>
  <r>
    <x v="21"/>
    <x v="21"/>
    <n v="2"/>
    <n v="0.8833333333333333"/>
    <n v="1.7666666666666666"/>
  </r>
  <r>
    <x v="22"/>
    <x v="22"/>
    <n v="6"/>
    <n v="2.65"/>
    <n v="15.899999999999999"/>
  </r>
  <r>
    <x v="23"/>
    <x v="23"/>
    <n v="2"/>
    <n v="0.24263888888888888"/>
    <n v="0.48527777777777775"/>
  </r>
  <r>
    <x v="24"/>
    <x v="24"/>
    <n v="6"/>
    <n v="0.1125"/>
    <n v="0.67500000000000004"/>
  </r>
  <r>
    <x v="25"/>
    <x v="25"/>
    <n v="1"/>
    <n v="0.10166666666666667"/>
    <n v="0.10166666666666667"/>
  </r>
  <r>
    <x v="26"/>
    <x v="26"/>
    <n v="1"/>
    <n v="0.1275"/>
    <n v="0.1275"/>
  </r>
  <r>
    <x v="27"/>
    <x v="27"/>
    <n v="72"/>
    <n v="9.9124999999999991E-2"/>
    <n v="7.1369999999999996"/>
  </r>
  <r>
    <x v="28"/>
    <x v="28"/>
    <n v="3"/>
    <n v="0.55541666666666667"/>
    <n v="1.66625"/>
  </r>
  <r>
    <x v="29"/>
    <x v="29"/>
    <n v="12"/>
    <n v="0.5541666666666667"/>
    <n v="6.65"/>
  </r>
  <r>
    <x v="30"/>
    <x v="30"/>
    <n v="12"/>
    <n v="0.25"/>
    <n v="3"/>
  </r>
  <r>
    <x v="31"/>
    <x v="31"/>
    <n v="6"/>
    <n v="0.19833333333333333"/>
    <n v="1.19"/>
  </r>
  <r>
    <x v="32"/>
    <x v="32"/>
    <n v="21"/>
    <n v="0.19843750000000002"/>
    <n v="4.1671875000000007"/>
  </r>
  <r>
    <x v="33"/>
    <x v="33"/>
    <n v="216"/>
    <n v="0.19833333333333333"/>
    <n v="42.84"/>
  </r>
  <r>
    <x v="34"/>
    <x v="34"/>
    <n v="1"/>
    <n v="0.75"/>
    <n v="0.75"/>
  </r>
  <r>
    <x v="35"/>
    <x v="35"/>
    <n v="16"/>
    <n v="0.9"/>
    <n v="14.4"/>
  </r>
  <r>
    <x v="36"/>
    <x v="36"/>
    <n v="1"/>
    <n v="0.9"/>
    <n v="0.9"/>
  </r>
  <r>
    <x v="37"/>
    <x v="37"/>
    <n v="16"/>
    <n v="0.9"/>
    <n v="14.4"/>
  </r>
  <r>
    <x v="38"/>
    <x v="38"/>
    <n v="18"/>
    <n v="0.9"/>
    <n v="16.2"/>
  </r>
  <r>
    <x v="39"/>
    <x v="39"/>
    <n v="3"/>
    <n v="0.9"/>
    <n v="2.7"/>
  </r>
  <r>
    <x v="40"/>
    <x v="40"/>
    <n v="30"/>
    <n v="0.9"/>
    <n v="27"/>
  </r>
  <r>
    <x v="41"/>
    <x v="41"/>
    <n v="2"/>
    <n v="0.9"/>
    <n v="1.8"/>
  </r>
  <r>
    <x v="42"/>
    <x v="42"/>
    <n v="16"/>
    <n v="0.9"/>
    <n v="14.4"/>
  </r>
  <r>
    <x v="43"/>
    <x v="43"/>
    <n v="2"/>
    <n v="0.9"/>
    <n v="1.8"/>
  </r>
  <r>
    <x v="44"/>
    <x v="44"/>
    <n v="18"/>
    <n v="0.12125000000000001"/>
    <n v="2.1825000000000001"/>
  </r>
  <r>
    <x v="45"/>
    <x v="45"/>
    <n v="6"/>
    <n v="0.12125000000000001"/>
    <n v="0.72750000000000004"/>
  </r>
  <r>
    <x v="46"/>
    <x v="46"/>
    <n v="3"/>
    <n v="0.92524999999999991"/>
    <n v="2.7757499999999995"/>
  </r>
  <r>
    <x v="47"/>
    <x v="47"/>
    <n v="3"/>
    <n v="0.92524999999999991"/>
    <n v="2.7757499999999995"/>
  </r>
  <r>
    <x v="48"/>
    <x v="48"/>
    <n v="8"/>
    <n v="0.52916666666666667"/>
    <n v="4.2333333333333334"/>
  </r>
  <r>
    <x v="49"/>
    <x v="49"/>
    <n v="4"/>
    <n v="0.52916666666666667"/>
    <n v="2.1166666666666667"/>
  </r>
  <r>
    <x v="50"/>
    <x v="50"/>
    <n v="1"/>
    <n v="1.3125"/>
    <n v="1.3125"/>
  </r>
  <r>
    <x v="51"/>
    <x v="51"/>
    <n v="4"/>
    <n v="0.47599999999999998"/>
    <n v="1.9039999999999999"/>
  </r>
  <r>
    <x v="52"/>
    <x v="52"/>
    <n v="3"/>
    <n v="0.47599999999999998"/>
    <n v="1.4279999999999999"/>
  </r>
  <r>
    <x v="53"/>
    <x v="53"/>
    <n v="9"/>
    <n v="0.77159999999999995"/>
    <n v="6.9443999999999999"/>
  </r>
  <r>
    <x v="54"/>
    <x v="54"/>
    <n v="12"/>
    <n v="0.36249999999999999"/>
    <n v="4.3499999999999996"/>
  </r>
  <r>
    <x v="55"/>
    <x v="55"/>
    <n v="13"/>
    <n v="0.36249999999999999"/>
    <n v="4.7124999999999995"/>
  </r>
  <r>
    <x v="56"/>
    <x v="56"/>
    <n v="19"/>
    <n v="0.22041666666666668"/>
    <n v="4.1879166666666672"/>
  </r>
  <r>
    <x v="57"/>
    <x v="57"/>
    <n v="18"/>
    <n v="0.44083333333333335"/>
    <n v="7.9350000000000005"/>
  </r>
  <r>
    <x v="58"/>
    <x v="58"/>
    <n v="3"/>
    <n v="0.83750000000000002"/>
    <n v="2.5125000000000002"/>
  </r>
  <r>
    <x v="59"/>
    <x v="59"/>
    <n v="6"/>
    <n v="0.22041666666666668"/>
    <n v="1.3225"/>
  </r>
  <r>
    <x v="60"/>
    <x v="60"/>
    <n v="2"/>
    <n v="0.44062499999999999"/>
    <n v="0.88124999999999998"/>
  </r>
  <r>
    <x v="61"/>
    <x v="61"/>
    <n v="13"/>
    <n v="0.11020833333333334"/>
    <n v="1.4327083333333335"/>
  </r>
  <r>
    <x v="62"/>
    <x v="62"/>
    <n v="38"/>
    <n v="0.22041666666666668"/>
    <n v="8.3758333333333344"/>
  </r>
  <r>
    <x v="63"/>
    <x v="63"/>
    <n v="6"/>
    <n v="0.21875"/>
    <n v="1.3125"/>
  </r>
  <r>
    <x v="64"/>
    <x v="64"/>
    <n v="30"/>
    <n v="0.22041666666666668"/>
    <n v="6.6125000000000007"/>
  </r>
  <r>
    <x v="65"/>
    <x v="65"/>
    <n v="6"/>
    <n v="0.44083333333333335"/>
    <n v="2.645"/>
  </r>
  <r>
    <x v="66"/>
    <x v="66"/>
    <n v="2"/>
    <n v="8.3550000000000004"/>
    <n v="16.71"/>
  </r>
  <r>
    <x v="67"/>
    <x v="67"/>
    <n v="1"/>
    <n v="0.42333333333333334"/>
    <n v="0.42333333333333334"/>
  </r>
  <r>
    <x v="68"/>
    <x v="68"/>
    <n v="78"/>
    <n v="0.25"/>
    <n v="19.5"/>
  </r>
  <r>
    <x v="69"/>
    <x v="69"/>
    <n v="7"/>
    <n v="0.8833333333333333"/>
    <n v="6.1833333333333336"/>
  </r>
  <r>
    <x v="70"/>
    <x v="70"/>
    <n v="20"/>
    <n v="0.5"/>
    <n v="10"/>
  </r>
  <r>
    <x v="71"/>
    <x v="71"/>
    <n v="11"/>
    <n v="0.70833333333333337"/>
    <n v="7.791666666666667"/>
  </r>
  <r>
    <x v="72"/>
    <x v="72"/>
    <n v="3"/>
    <n v="1.1008333333333333"/>
    <n v="3.3025000000000002"/>
  </r>
  <r>
    <x v="73"/>
    <x v="73"/>
    <n v="12"/>
    <n v="3.1091666666666669"/>
    <n v="37.31"/>
  </r>
  <r>
    <x v="74"/>
    <x v="74"/>
    <n v="1416"/>
    <n v="0.44166666666666665"/>
    <n v="625.4"/>
  </r>
  <r>
    <x v="75"/>
    <x v="75"/>
    <n v="1524"/>
    <n v="0.44166666666666665"/>
    <n v="673.1"/>
  </r>
  <r>
    <x v="76"/>
    <x v="76"/>
    <n v="37"/>
    <n v="0.11493055555555556"/>
    <n v="4.2524305555555557"/>
  </r>
  <r>
    <x v="77"/>
    <x v="77"/>
    <n v="30"/>
    <n v="0.55208333333333337"/>
    <n v="16.5625"/>
  </r>
  <r>
    <x v="78"/>
    <x v="78"/>
    <n v="30"/>
    <n v="0.55208333333333337"/>
    <n v="16.5625"/>
  </r>
  <r>
    <x v="79"/>
    <x v="79"/>
    <n v="6"/>
    <n v="0.44166666666666665"/>
    <n v="2.65"/>
  </r>
  <r>
    <x v="80"/>
    <x v="80"/>
    <n v="6"/>
    <n v="0.44166666666666665"/>
    <n v="2.65"/>
  </r>
  <r>
    <x v="81"/>
    <x v="81"/>
    <n v="39"/>
    <n v="0.5"/>
    <n v="19.5"/>
  </r>
  <r>
    <x v="82"/>
    <x v="82"/>
    <n v="12"/>
    <n v="0.875"/>
    <n v="10.5"/>
  </r>
  <r>
    <x v="83"/>
    <x v="83"/>
    <n v="6"/>
    <n v="2.2083333333333335"/>
    <n v="13.25"/>
  </r>
  <r>
    <x v="84"/>
    <x v="84"/>
    <n v="108"/>
    <n v="0.72916666666666663"/>
    <n v="78.75"/>
  </r>
  <r>
    <x v="85"/>
    <x v="85"/>
    <n v="6"/>
    <n v="1.75"/>
    <n v="10.5"/>
  </r>
  <r>
    <x v="86"/>
    <x v="86"/>
    <n v="24"/>
    <n v="0.44166666666666665"/>
    <n v="10.6"/>
  </r>
  <r>
    <x v="87"/>
    <x v="87"/>
    <n v="36"/>
    <n v="0.72916666666666663"/>
    <n v="26.25"/>
  </r>
  <r>
    <x v="88"/>
    <x v="88"/>
    <n v="36"/>
    <n v="0.72916666666666663"/>
    <n v="26.25"/>
  </r>
  <r>
    <x v="89"/>
    <x v="89"/>
    <n v="6"/>
    <n v="5.5"/>
    <n v="33"/>
  </r>
  <r>
    <x v="90"/>
    <x v="90"/>
    <n v="1"/>
    <n v="0.96875"/>
    <n v="0.96875"/>
  </r>
  <r>
    <x v="91"/>
    <x v="91"/>
    <n v="472"/>
    <n v="0.33958333333333335"/>
    <n v="160.28333333333333"/>
  </r>
  <r>
    <x v="92"/>
    <x v="92"/>
    <n v="23"/>
    <n v="0.25"/>
    <n v="5.75"/>
  </r>
  <r>
    <x v="93"/>
    <x v="93"/>
    <n v="18"/>
    <n v="1.8125"/>
    <n v="32.625"/>
  </r>
  <r>
    <x v="94"/>
    <x v="94"/>
    <n v="81"/>
    <n v="0.65625"/>
    <n v="53.15625"/>
  </r>
  <r>
    <x v="95"/>
    <x v="95"/>
    <n v="182"/>
    <n v="0.34375"/>
    <n v="62.5625"/>
  </r>
  <r>
    <x v="96"/>
    <x v="96"/>
    <n v="13"/>
    <n v="0.375"/>
    <n v="4.875"/>
  </r>
  <r>
    <x v="97"/>
    <x v="97"/>
    <n v="12"/>
    <n v="0.72916666666666663"/>
    <n v="8.75"/>
  </r>
  <r>
    <x v="98"/>
    <x v="98"/>
    <n v="36"/>
    <n v="0.72916666666666663"/>
    <n v="26.25"/>
  </r>
  <r>
    <x v="99"/>
    <x v="99"/>
    <n v="14"/>
    <n v="0.9375"/>
    <n v="13.125"/>
  </r>
  <r>
    <x v="100"/>
    <x v="100"/>
    <n v="3"/>
    <n v="0.16"/>
    <n v="0.48"/>
  </r>
  <r>
    <x v="101"/>
    <x v="101"/>
    <n v="1"/>
    <n v="2.1166666666666667"/>
    <n v="2.1166666666666667"/>
  </r>
  <r>
    <x v="102"/>
    <x v="102"/>
    <n v="9"/>
    <n v="2.1166666666666667"/>
    <n v="19.05"/>
  </r>
  <r>
    <x v="103"/>
    <x v="103"/>
    <n v="2"/>
    <n v="2.1166666666666667"/>
    <n v="4.2333333333333334"/>
  </r>
  <r>
    <x v="104"/>
    <x v="104"/>
    <n v="3"/>
    <n v="2.1166666666666667"/>
    <n v="6.35"/>
  </r>
  <r>
    <x v="105"/>
    <x v="105"/>
    <n v="3"/>
    <n v="0.33041666666666664"/>
    <n v="0.99124999999999996"/>
  </r>
  <r>
    <x v="106"/>
    <x v="106"/>
    <n v="6"/>
    <n v="0.11"/>
    <n v="0.66"/>
  </r>
  <r>
    <x v="107"/>
    <x v="107"/>
    <n v="24"/>
    <n v="0.47499999999999998"/>
    <n v="11.399999999999999"/>
  </r>
  <r>
    <x v="108"/>
    <x v="108"/>
    <n v="2"/>
    <n v="1.1041666666666667"/>
    <n v="2.2083333333333335"/>
  </r>
  <r>
    <x v="109"/>
    <x v="109"/>
    <n v="6"/>
    <n v="1.1041666666666667"/>
    <n v="6.625"/>
  </r>
  <r>
    <x v="110"/>
    <x v="110"/>
    <n v="8"/>
    <n v="1.1041666666666667"/>
    <n v="8.8333333333333339"/>
  </r>
  <r>
    <x v="111"/>
    <x v="111"/>
    <n v="8"/>
    <n v="1.1041666666666667"/>
    <n v="8.8333333333333339"/>
  </r>
  <r>
    <x v="112"/>
    <x v="112"/>
    <n v="6"/>
    <n v="1.1041666666666667"/>
    <n v="6.625"/>
  </r>
  <r>
    <x v="113"/>
    <x v="113"/>
    <n v="2"/>
    <n v="0.37040000000000001"/>
    <n v="0.74080000000000001"/>
  </r>
  <r>
    <x v="114"/>
    <x v="114"/>
    <n v="2"/>
    <n v="0.6"/>
    <n v="1.2"/>
  </r>
  <r>
    <x v="115"/>
    <x v="115"/>
    <n v="1"/>
    <n v="0.6"/>
    <n v="0.6"/>
  </r>
  <r>
    <x v="116"/>
    <x v="116"/>
    <n v="1"/>
    <n v="0.6"/>
    <n v="0.6"/>
  </r>
  <r>
    <x v="117"/>
    <x v="117"/>
    <n v="1"/>
    <n v="0.6"/>
    <n v="0.6"/>
  </r>
  <r>
    <x v="118"/>
    <x v="118"/>
    <n v="1"/>
    <n v="0.6"/>
    <n v="0.6"/>
  </r>
  <r>
    <x v="119"/>
    <x v="119"/>
    <n v="1"/>
    <n v="0.9277777777777777"/>
    <n v="0.9277777777777777"/>
  </r>
  <r>
    <x v="120"/>
    <x v="120"/>
    <n v="6"/>
    <n v="0.356875"/>
    <n v="2.1412499999999999"/>
  </r>
  <r>
    <x v="121"/>
    <x v="121"/>
    <n v="12"/>
    <n v="1.1008333333333333"/>
    <n v="13.21"/>
  </r>
  <r>
    <x v="122"/>
    <x v="122"/>
    <n v="2"/>
    <n v="0.62"/>
    <n v="1.24"/>
  </r>
  <r>
    <x v="123"/>
    <x v="123"/>
    <n v="5"/>
    <n v="0.64"/>
    <n v="3.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">
  <r>
    <x v="0"/>
    <x v="0"/>
    <n v="30"/>
    <n v="0.88200000000000001"/>
    <n v="26.46"/>
  </r>
  <r>
    <x v="1"/>
    <x v="1"/>
    <n v="1"/>
    <n v="0.79400000000000004"/>
    <n v="0.79400000000000004"/>
  </r>
  <r>
    <x v="2"/>
    <x v="2"/>
    <n v="1"/>
    <n v="0.79400000000000004"/>
    <n v="0.79400000000000004"/>
  </r>
  <r>
    <x v="3"/>
    <x v="3"/>
    <n v="5"/>
    <n v="1.5449999999999999"/>
    <n v="7.7249999999999996"/>
  </r>
  <r>
    <x v="4"/>
    <x v="4"/>
    <n v="1"/>
    <n v="0.3"/>
    <n v="0.3"/>
  </r>
  <r>
    <x v="5"/>
    <x v="5"/>
    <n v="1"/>
    <n v="2.65"/>
    <n v="2.65"/>
  </r>
  <r>
    <x v="6"/>
    <x v="6"/>
    <n v="3"/>
    <n v="3.2916666666666665"/>
    <n v="9.875"/>
  </r>
  <r>
    <x v="7"/>
    <x v="7"/>
    <n v="3"/>
    <n v="3.3049999999999997"/>
    <n v="9.9149999999999991"/>
  </r>
  <r>
    <x v="8"/>
    <x v="8"/>
    <n v="2"/>
    <n v="3.3049999999999997"/>
    <n v="6.6099999999999994"/>
  </r>
  <r>
    <x v="9"/>
    <x v="9"/>
    <n v="1"/>
    <n v="0.23805555555555558"/>
    <n v="0.23805555555555558"/>
  </r>
  <r>
    <x v="10"/>
    <x v="10"/>
    <n v="36"/>
    <n v="0.75"/>
    <n v="27"/>
  </r>
  <r>
    <x v="11"/>
    <x v="11"/>
    <n v="14"/>
    <n v="0.22083333333333333"/>
    <n v="3.0916666666666668"/>
  </r>
  <r>
    <x v="12"/>
    <x v="12"/>
    <n v="15"/>
    <n v="0.11944444444444444"/>
    <n v="1.7916666666666665"/>
  </r>
  <r>
    <x v="13"/>
    <x v="13"/>
    <n v="1"/>
    <n v="0.19583333333333333"/>
    <n v="0.19583333333333333"/>
  </r>
  <r>
    <x v="14"/>
    <x v="14"/>
    <n v="245"/>
    <n v="1.76"/>
    <n v="431.2"/>
  </r>
  <r>
    <x v="15"/>
    <x v="15"/>
    <n v="7"/>
    <n v="50"/>
    <n v="350"/>
  </r>
  <r>
    <x v="16"/>
    <x v="16"/>
    <n v="40"/>
    <n v="0.88000000000000012"/>
    <n v="35.200000000000003"/>
  </r>
  <r>
    <x v="17"/>
    <x v="17"/>
    <n v="100"/>
    <n v="0.77200000000000002"/>
    <n v="77.2"/>
  </r>
  <r>
    <x v="18"/>
    <x v="18"/>
    <n v="758"/>
    <n v="0.77200000000000002"/>
    <n v="585.17600000000004"/>
  </r>
  <r>
    <x v="19"/>
    <x v="19"/>
    <n v="3"/>
    <n v="2"/>
    <n v="6"/>
  </r>
  <r>
    <x v="20"/>
    <x v="20"/>
    <n v="2"/>
    <n v="0.88166666666666671"/>
    <n v="1.7633333333333334"/>
  </r>
  <r>
    <x v="21"/>
    <x v="21"/>
    <n v="15"/>
    <n v="0.8833333333333333"/>
    <n v="13.25"/>
  </r>
  <r>
    <x v="22"/>
    <x v="22"/>
    <n v="1"/>
    <n v="0.8833333333333333"/>
    <n v="0.8833333333333333"/>
  </r>
  <r>
    <x v="23"/>
    <x v="23"/>
    <n v="1"/>
    <n v="2.65"/>
    <n v="2.65"/>
  </r>
  <r>
    <x v="24"/>
    <x v="24"/>
    <n v="8"/>
    <n v="2.65"/>
    <n v="21.2"/>
  </r>
  <r>
    <x v="25"/>
    <x v="25"/>
    <n v="3"/>
    <n v="2.65"/>
    <n v="7.9499999999999993"/>
  </r>
  <r>
    <x v="26"/>
    <x v="26"/>
    <n v="6"/>
    <n v="2.65"/>
    <n v="15.899999999999999"/>
  </r>
  <r>
    <x v="27"/>
    <x v="27"/>
    <n v="6"/>
    <n v="0.82674999999999998"/>
    <n v="4.9604999999999997"/>
  </r>
  <r>
    <x v="28"/>
    <x v="28"/>
    <n v="6"/>
    <n v="0.40750000000000003"/>
    <n v="2.4450000000000003"/>
  </r>
  <r>
    <x v="29"/>
    <x v="29"/>
    <n v="19"/>
    <n v="9.9124999999999991E-2"/>
    <n v="1.8833749999999998"/>
  </r>
  <r>
    <x v="30"/>
    <x v="30"/>
    <n v="3"/>
    <n v="0.55541666666666667"/>
    <n v="1.66625"/>
  </r>
  <r>
    <x v="31"/>
    <x v="31"/>
    <n v="9"/>
    <n v="0.5541666666666667"/>
    <n v="4.9875000000000007"/>
  </r>
  <r>
    <x v="32"/>
    <x v="32"/>
    <n v="26"/>
    <n v="0.19833333333333333"/>
    <n v="5.1566666666666663"/>
  </r>
  <r>
    <x v="33"/>
    <x v="33"/>
    <n v="19"/>
    <n v="0.19843750000000002"/>
    <n v="3.7703125000000002"/>
  </r>
  <r>
    <x v="34"/>
    <x v="34"/>
    <n v="36"/>
    <n v="0.19833333333333333"/>
    <n v="7.14"/>
  </r>
  <r>
    <x v="35"/>
    <x v="35"/>
    <n v="456"/>
    <n v="0.19833333333333333"/>
    <n v="90.44"/>
  </r>
  <r>
    <x v="36"/>
    <x v="36"/>
    <n v="4"/>
    <n v="0.9"/>
    <n v="3.6"/>
  </r>
  <r>
    <x v="37"/>
    <x v="37"/>
    <n v="1"/>
    <n v="0.88437500000000002"/>
    <n v="0.88437500000000002"/>
  </r>
  <r>
    <x v="38"/>
    <x v="38"/>
    <n v="10"/>
    <n v="0.9"/>
    <n v="9"/>
  </r>
  <r>
    <x v="39"/>
    <x v="39"/>
    <n v="7"/>
    <n v="0.9"/>
    <n v="6.3"/>
  </r>
  <r>
    <x v="40"/>
    <x v="40"/>
    <n v="4"/>
    <n v="0.9"/>
    <n v="3.6"/>
  </r>
  <r>
    <x v="41"/>
    <x v="41"/>
    <n v="1"/>
    <n v="0.9"/>
    <n v="0.9"/>
  </r>
  <r>
    <x v="42"/>
    <x v="42"/>
    <n v="7"/>
    <n v="0.9"/>
    <n v="6.3"/>
  </r>
  <r>
    <x v="43"/>
    <x v="43"/>
    <n v="5"/>
    <n v="0.9"/>
    <n v="4.5"/>
  </r>
  <r>
    <x v="44"/>
    <x v="44"/>
    <n v="10"/>
    <n v="0.9"/>
    <n v="9"/>
  </r>
  <r>
    <x v="45"/>
    <x v="45"/>
    <n v="2"/>
    <n v="0.9"/>
    <n v="1.8"/>
  </r>
  <r>
    <x v="46"/>
    <x v="46"/>
    <n v="10"/>
    <n v="0.9"/>
    <n v="9"/>
  </r>
  <r>
    <x v="47"/>
    <x v="47"/>
    <n v="5"/>
    <n v="0.9"/>
    <n v="4.5"/>
  </r>
  <r>
    <x v="48"/>
    <x v="48"/>
    <n v="2"/>
    <n v="1.1016666666666668"/>
    <n v="2.2033333333333336"/>
  </r>
  <r>
    <x v="49"/>
    <x v="49"/>
    <n v="1"/>
    <n v="100"/>
    <n v="100"/>
  </r>
  <r>
    <x v="50"/>
    <x v="50"/>
    <n v="10"/>
    <n v="0.92524999999999991"/>
    <n v="9.2524999999999995"/>
  </r>
  <r>
    <x v="51"/>
    <x v="51"/>
    <n v="11"/>
    <n v="0.52916666666666667"/>
    <n v="5.8208333333333337"/>
  </r>
  <r>
    <x v="52"/>
    <x v="52"/>
    <n v="4"/>
    <n v="0.52916666666666667"/>
    <n v="2.1166666666666667"/>
  </r>
  <r>
    <x v="53"/>
    <x v="53"/>
    <n v="2"/>
    <n v="0.52916666666666667"/>
    <n v="1.0583333333333333"/>
  </r>
  <r>
    <x v="54"/>
    <x v="54"/>
    <n v="2"/>
    <n v="1.3125"/>
    <n v="2.625"/>
  </r>
  <r>
    <x v="55"/>
    <x v="55"/>
    <n v="2"/>
    <n v="0.47599999999999998"/>
    <n v="0.95199999999999996"/>
  </r>
  <r>
    <x v="56"/>
    <x v="56"/>
    <n v="5"/>
    <n v="0.47599999999999998"/>
    <n v="2.38"/>
  </r>
  <r>
    <x v="57"/>
    <x v="57"/>
    <n v="4"/>
    <n v="0.58333333333333337"/>
    <n v="2.3333333333333335"/>
  </r>
  <r>
    <x v="58"/>
    <x v="58"/>
    <n v="9"/>
    <n v="0.36249999999999999"/>
    <n v="3.2624999999999997"/>
  </r>
  <r>
    <x v="59"/>
    <x v="59"/>
    <n v="9"/>
    <n v="0.36249999999999999"/>
    <n v="3.2624999999999997"/>
  </r>
  <r>
    <x v="60"/>
    <x v="60"/>
    <n v="6"/>
    <n v="0.23"/>
    <n v="1.3800000000000001"/>
  </r>
  <r>
    <x v="61"/>
    <x v="61"/>
    <n v="65"/>
    <n v="0.22041666666666668"/>
    <n v="14.327083333333334"/>
  </r>
  <r>
    <x v="62"/>
    <x v="62"/>
    <n v="24"/>
    <n v="0.22041666666666668"/>
    <n v="5.29"/>
  </r>
  <r>
    <x v="63"/>
    <x v="63"/>
    <n v="12"/>
    <n v="0.83750000000000002"/>
    <n v="10.050000000000001"/>
  </r>
  <r>
    <x v="64"/>
    <x v="64"/>
    <n v="12"/>
    <n v="0.11020833333333334"/>
    <n v="1.3225"/>
  </r>
  <r>
    <x v="65"/>
    <x v="65"/>
    <n v="25"/>
    <n v="0.22041666666666668"/>
    <n v="5.510416666666667"/>
  </r>
  <r>
    <x v="66"/>
    <x v="66"/>
    <n v="6"/>
    <n v="0.22041666666666668"/>
    <n v="1.3225"/>
  </r>
  <r>
    <x v="67"/>
    <x v="67"/>
    <n v="6"/>
    <n v="1"/>
    <n v="6"/>
  </r>
  <r>
    <x v="68"/>
    <x v="68"/>
    <n v="3"/>
    <n v="0.21875"/>
    <n v="0.65625"/>
  </r>
  <r>
    <x v="69"/>
    <x v="69"/>
    <n v="18"/>
    <n v="0.34"/>
    <n v="6.12"/>
  </r>
  <r>
    <x v="70"/>
    <x v="70"/>
    <n v="16"/>
    <n v="0.22041666666666668"/>
    <n v="3.5266666666666668"/>
  </r>
  <r>
    <x v="71"/>
    <x v="71"/>
    <n v="3"/>
    <n v="0.44083333333333335"/>
    <n v="1.3225"/>
  </r>
  <r>
    <x v="72"/>
    <x v="72"/>
    <n v="30"/>
    <n v="0.79375000000000007"/>
    <n v="23.812500000000004"/>
  </r>
  <r>
    <x v="73"/>
    <x v="73"/>
    <n v="12"/>
    <n v="1.6600000000000001"/>
    <n v="19.920000000000002"/>
  </r>
  <r>
    <x v="74"/>
    <x v="74"/>
    <n v="6"/>
    <n v="0.2"/>
    <n v="1.2000000000000002"/>
  </r>
  <r>
    <x v="75"/>
    <x v="75"/>
    <n v="12"/>
    <n v="0.875"/>
    <n v="10.5"/>
  </r>
  <r>
    <x v="76"/>
    <x v="76"/>
    <n v="2"/>
    <n v="0.42333333333333334"/>
    <n v="0.84666666666666668"/>
  </r>
  <r>
    <x v="77"/>
    <x v="77"/>
    <n v="12"/>
    <n v="8.3333333333333329E-2"/>
    <n v="1"/>
  </r>
  <r>
    <x v="78"/>
    <x v="78"/>
    <n v="24"/>
    <n v="0.25"/>
    <n v="6"/>
  </r>
  <r>
    <x v="79"/>
    <x v="79"/>
    <n v="9"/>
    <n v="0.8833333333333333"/>
    <n v="7.9499999999999993"/>
  </r>
  <r>
    <x v="80"/>
    <x v="80"/>
    <n v="6"/>
    <n v="0.82750000000000001"/>
    <n v="4.9649999999999999"/>
  </r>
  <r>
    <x v="81"/>
    <x v="81"/>
    <n v="2"/>
    <n v="0.82750000000000001"/>
    <n v="1.655"/>
  </r>
  <r>
    <x v="82"/>
    <x v="82"/>
    <n v="4"/>
    <n v="0.82750000000000001"/>
    <n v="3.31"/>
  </r>
  <r>
    <x v="83"/>
    <x v="83"/>
    <n v="2"/>
    <n v="4.1666666666666664E-2"/>
    <n v="8.3333333333333329E-2"/>
  </r>
  <r>
    <x v="84"/>
    <x v="84"/>
    <n v="1"/>
    <n v="0.26"/>
    <n v="0.26"/>
  </r>
  <r>
    <x v="85"/>
    <x v="85"/>
    <n v="3"/>
    <n v="0.70833333333333337"/>
    <n v="2.125"/>
  </r>
  <r>
    <x v="86"/>
    <x v="86"/>
    <n v="36"/>
    <n v="3.1091666666666669"/>
    <n v="111.93"/>
  </r>
  <r>
    <x v="87"/>
    <x v="87"/>
    <n v="191"/>
    <n v="0.44166666666666665"/>
    <n v="84.358333333333334"/>
  </r>
  <r>
    <x v="88"/>
    <x v="88"/>
    <n v="108"/>
    <n v="0.44166666666666665"/>
    <n v="47.699999999999996"/>
  </r>
  <r>
    <x v="89"/>
    <x v="89"/>
    <n v="132"/>
    <n v="0.11493055555555556"/>
    <n v="15.170833333333334"/>
  </r>
  <r>
    <x v="90"/>
    <x v="90"/>
    <n v="36"/>
    <n v="0.55208333333333337"/>
    <n v="19.875"/>
  </r>
  <r>
    <x v="91"/>
    <x v="91"/>
    <n v="36"/>
    <n v="0.55208333333333337"/>
    <n v="19.875"/>
  </r>
  <r>
    <x v="92"/>
    <x v="92"/>
    <n v="192"/>
    <n v="0.5"/>
    <n v="96"/>
  </r>
  <r>
    <x v="93"/>
    <x v="93"/>
    <n v="6"/>
    <n v="0.875"/>
    <n v="5.25"/>
  </r>
  <r>
    <x v="94"/>
    <x v="94"/>
    <n v="3"/>
    <n v="0.82708333333333339"/>
    <n v="2.4812500000000002"/>
  </r>
  <r>
    <x v="95"/>
    <x v="95"/>
    <n v="96"/>
    <n v="0.72916666666666663"/>
    <n v="70"/>
  </r>
  <r>
    <x v="96"/>
    <x v="96"/>
    <n v="24"/>
    <n v="1.75"/>
    <n v="42"/>
  </r>
  <r>
    <x v="97"/>
    <x v="97"/>
    <n v="24"/>
    <n v="0.44166666666666665"/>
    <n v="10.6"/>
  </r>
  <r>
    <x v="98"/>
    <x v="98"/>
    <n v="12"/>
    <n v="0.72916666666666663"/>
    <n v="8.75"/>
  </r>
  <r>
    <x v="99"/>
    <x v="99"/>
    <n v="12"/>
    <n v="0.72916666666666663"/>
    <n v="8.75"/>
  </r>
  <r>
    <x v="100"/>
    <x v="100"/>
    <n v="6"/>
    <n v="5.5"/>
    <n v="33"/>
  </r>
  <r>
    <x v="101"/>
    <x v="101"/>
    <n v="58"/>
    <n v="0.33958333333333335"/>
    <n v="19.695833333333333"/>
  </r>
  <r>
    <x v="102"/>
    <x v="102"/>
    <n v="79"/>
    <n v="0.25"/>
    <n v="19.75"/>
  </r>
  <r>
    <x v="103"/>
    <x v="103"/>
    <n v="12"/>
    <n v="1.75"/>
    <n v="21"/>
  </r>
  <r>
    <x v="104"/>
    <x v="104"/>
    <n v="6"/>
    <n v="0.65625"/>
    <n v="3.9375"/>
  </r>
  <r>
    <x v="105"/>
    <x v="105"/>
    <n v="144"/>
    <n v="0.34375"/>
    <n v="49.5"/>
  </r>
  <r>
    <x v="106"/>
    <x v="106"/>
    <n v="24"/>
    <n v="0.25"/>
    <n v="6"/>
  </r>
  <r>
    <x v="107"/>
    <x v="107"/>
    <n v="12"/>
    <n v="0.9375"/>
    <n v="11.25"/>
  </r>
  <r>
    <x v="108"/>
    <x v="108"/>
    <n v="1"/>
    <n v="0.10416666666666667"/>
    <n v="0.10416666666666667"/>
  </r>
  <r>
    <x v="109"/>
    <x v="109"/>
    <n v="2"/>
    <n v="2.65"/>
    <n v="5.3"/>
  </r>
  <r>
    <x v="110"/>
    <x v="110"/>
    <n v="2"/>
    <n v="2.1166666666666667"/>
    <n v="4.2333333333333334"/>
  </r>
  <r>
    <x v="111"/>
    <x v="111"/>
    <n v="1"/>
    <n v="2.1166666666666667"/>
    <n v="2.1166666666666667"/>
  </r>
  <r>
    <x v="112"/>
    <x v="112"/>
    <n v="3"/>
    <n v="2.1166666666666667"/>
    <n v="6.35"/>
  </r>
  <r>
    <x v="113"/>
    <x v="113"/>
    <n v="2"/>
    <n v="2.1166666666666667"/>
    <n v="4.2333333333333334"/>
  </r>
  <r>
    <x v="114"/>
    <x v="114"/>
    <n v="16"/>
    <n v="2.1166666666666667"/>
    <n v="33.866666666666667"/>
  </r>
  <r>
    <x v="115"/>
    <x v="115"/>
    <n v="4"/>
    <n v="0.24270833333333333"/>
    <n v="0.97083333333333333"/>
  </r>
  <r>
    <x v="116"/>
    <x v="116"/>
    <n v="4"/>
    <n v="0.24270833333333333"/>
    <n v="0.97083333333333333"/>
  </r>
  <r>
    <x v="117"/>
    <x v="117"/>
    <n v="4"/>
    <n v="0.24270833333333333"/>
    <n v="0.97083333333333333"/>
  </r>
  <r>
    <x v="118"/>
    <x v="118"/>
    <n v="6"/>
    <n v="0.88249999999999995"/>
    <n v="5.2949999999999999"/>
  </r>
  <r>
    <x v="119"/>
    <x v="119"/>
    <n v="3"/>
    <n v="2.1166666666666667"/>
    <n v="6.35"/>
  </r>
  <r>
    <x v="120"/>
    <x v="120"/>
    <n v="2"/>
    <n v="0.5"/>
    <n v="1"/>
  </r>
  <r>
    <x v="121"/>
    <x v="121"/>
    <n v="1"/>
    <n v="2.1166666666666667"/>
    <n v="2.1166666666666667"/>
  </r>
  <r>
    <x v="122"/>
    <x v="122"/>
    <n v="9"/>
    <n v="0.11"/>
    <n v="0.99"/>
  </r>
  <r>
    <x v="123"/>
    <x v="123"/>
    <n v="42"/>
    <n v="0.47499999999999998"/>
    <n v="19.95"/>
  </r>
  <r>
    <x v="124"/>
    <x v="124"/>
    <n v="1"/>
    <n v="1.1041666666666667"/>
    <n v="1.1041666666666667"/>
  </r>
  <r>
    <x v="125"/>
    <x v="125"/>
    <n v="7"/>
    <n v="1.1041666666666667"/>
    <n v="7.729166666666667"/>
  </r>
  <r>
    <x v="126"/>
    <x v="126"/>
    <n v="3"/>
    <n v="1.1041666666666667"/>
    <n v="3.3125"/>
  </r>
  <r>
    <x v="127"/>
    <x v="127"/>
    <n v="2"/>
    <n v="1.1041666666666667"/>
    <n v="2.2083333333333335"/>
  </r>
  <r>
    <x v="128"/>
    <x v="128"/>
    <n v="6"/>
    <n v="1.1041666666666667"/>
    <n v="6.625"/>
  </r>
  <r>
    <x v="129"/>
    <x v="129"/>
    <n v="1"/>
    <n v="1.3125"/>
    <n v="1.3125"/>
  </r>
  <r>
    <x v="130"/>
    <x v="130"/>
    <n v="5"/>
    <n v="0.37040000000000001"/>
    <n v="1.8520000000000001"/>
  </r>
  <r>
    <x v="131"/>
    <x v="131"/>
    <n v="1"/>
    <n v="0.6"/>
    <n v="0.6"/>
  </r>
  <r>
    <x v="132"/>
    <x v="132"/>
    <n v="2"/>
    <n v="0.6"/>
    <n v="1.2"/>
  </r>
  <r>
    <x v="133"/>
    <x v="133"/>
    <n v="2"/>
    <n v="0.6"/>
    <n v="1.2"/>
  </r>
  <r>
    <x v="134"/>
    <x v="134"/>
    <n v="1"/>
    <n v="0.6"/>
    <n v="0.6"/>
  </r>
  <r>
    <x v="135"/>
    <x v="135"/>
    <n v="2"/>
    <n v="0.6"/>
    <n v="1.2"/>
  </r>
  <r>
    <x v="136"/>
    <x v="136"/>
    <n v="5"/>
    <n v="0.9277777777777777"/>
    <n v="4.6388888888888884"/>
  </r>
  <r>
    <x v="137"/>
    <x v="137"/>
    <n v="1"/>
    <n v="0.9277777777777777"/>
    <n v="0.9277777777777777"/>
  </r>
  <r>
    <x v="138"/>
    <x v="138"/>
    <n v="1"/>
    <n v="0.9277777777777777"/>
    <n v="0.9277777777777777"/>
  </r>
  <r>
    <x v="139"/>
    <x v="139"/>
    <n v="2"/>
    <n v="0.42399999999999999"/>
    <n v="0.84799999999999998"/>
  </r>
  <r>
    <x v="140"/>
    <x v="140"/>
    <n v="1"/>
    <n v="0.9277777777777777"/>
    <n v="0.9277777777777777"/>
  </r>
  <r>
    <x v="141"/>
    <x v="141"/>
    <n v="2"/>
    <n v="0.356875"/>
    <n v="0.71375"/>
  </r>
  <r>
    <x v="142"/>
    <x v="142"/>
    <n v="6"/>
    <n v="0.71375"/>
    <n v="4.2824999999999998"/>
  </r>
  <r>
    <x v="143"/>
    <x v="143"/>
    <n v="1"/>
    <n v="0.45"/>
    <n v="0.45"/>
  </r>
  <r>
    <x v="144"/>
    <x v="144"/>
    <n v="1"/>
    <n v="0.45"/>
    <n v="0.45"/>
  </r>
  <r>
    <x v="145"/>
    <x v="145"/>
    <n v="1"/>
    <n v="0.53"/>
    <n v="0.5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x v="0"/>
    <x v="0"/>
    <n v="240"/>
    <n v="0.88200000000000001"/>
    <n v="211.68"/>
  </r>
  <r>
    <x v="1"/>
    <x v="1"/>
    <n v="6"/>
    <n v="0.88200000000000001"/>
    <n v="5.2919999999999998"/>
  </r>
  <r>
    <x v="2"/>
    <x v="2"/>
    <n v="37"/>
    <n v="0.88200000000000001"/>
    <n v="32.634"/>
  </r>
  <r>
    <x v="3"/>
    <x v="3"/>
    <n v="1"/>
    <n v="0.33071428571428568"/>
    <n v="0.33071428571428568"/>
  </r>
  <r>
    <x v="4"/>
    <x v="4"/>
    <n v="6"/>
    <n v="0.63928571428571423"/>
    <n v="3.8357142857142854"/>
  </r>
  <r>
    <x v="5"/>
    <x v="5"/>
    <n v="5"/>
    <n v="1.3666666666666665"/>
    <n v="6.8333333333333321"/>
  </r>
  <r>
    <x v="6"/>
    <x v="6"/>
    <n v="5"/>
    <n v="1.5449999999999999"/>
    <n v="7.7249999999999996"/>
  </r>
  <r>
    <x v="7"/>
    <x v="7"/>
    <n v="10"/>
    <n v="0.8"/>
    <n v="8"/>
  </r>
  <r>
    <x v="8"/>
    <x v="8"/>
    <n v="1"/>
    <n v="0.625"/>
    <n v="0.625"/>
  </r>
  <r>
    <x v="9"/>
    <x v="9"/>
    <n v="6"/>
    <n v="2.65"/>
    <n v="15.899999999999999"/>
  </r>
  <r>
    <x v="10"/>
    <x v="10"/>
    <n v="1"/>
    <n v="2.65"/>
    <n v="2.65"/>
  </r>
  <r>
    <x v="11"/>
    <x v="11"/>
    <n v="8"/>
    <n v="2.65"/>
    <n v="21.2"/>
  </r>
  <r>
    <x v="12"/>
    <x v="12"/>
    <n v="8"/>
    <n v="2.65"/>
    <n v="21.2"/>
  </r>
  <r>
    <x v="13"/>
    <x v="13"/>
    <n v="8"/>
    <n v="2.65"/>
    <n v="21.2"/>
  </r>
  <r>
    <x v="14"/>
    <x v="14"/>
    <n v="1"/>
    <n v="0.88166666666666671"/>
    <n v="0.88166666666666671"/>
  </r>
  <r>
    <x v="15"/>
    <x v="15"/>
    <n v="9"/>
    <n v="3.2916666666666665"/>
    <n v="29.625"/>
  </r>
  <r>
    <x v="16"/>
    <x v="16"/>
    <n v="9"/>
    <n v="3.3049999999999997"/>
    <n v="29.744999999999997"/>
  </r>
  <r>
    <x v="17"/>
    <x v="17"/>
    <n v="20"/>
    <n v="3.2916666666666665"/>
    <n v="65.833333333333329"/>
  </r>
  <r>
    <x v="18"/>
    <x v="18"/>
    <n v="11"/>
    <n v="0.23805555555555558"/>
    <n v="2.6186111111111114"/>
  </r>
  <r>
    <x v="19"/>
    <x v="19"/>
    <n v="120"/>
    <n v="0.75"/>
    <n v="90"/>
  </r>
  <r>
    <x v="20"/>
    <x v="20"/>
    <n v="12"/>
    <n v="1.1100000000000001"/>
    <n v="13.32"/>
  </r>
  <r>
    <x v="21"/>
    <x v="21"/>
    <n v="14"/>
    <n v="0.22083333333333333"/>
    <n v="3.0916666666666668"/>
  </r>
  <r>
    <x v="22"/>
    <x v="22"/>
    <n v="73"/>
    <n v="0.11944444444444444"/>
    <n v="8.7194444444444432"/>
  </r>
  <r>
    <x v="23"/>
    <x v="23"/>
    <n v="82"/>
    <n v="1.76"/>
    <n v="144.32"/>
  </r>
  <r>
    <x v="24"/>
    <x v="24"/>
    <n v="20"/>
    <n v="0.88000000000000012"/>
    <n v="17.600000000000001"/>
  </r>
  <r>
    <x v="25"/>
    <x v="25"/>
    <n v="57"/>
    <n v="0.77200000000000002"/>
    <n v="44.003999999999998"/>
  </r>
  <r>
    <x v="26"/>
    <x v="26"/>
    <n v="487"/>
    <n v="0.77200000000000002"/>
    <n v="375.964"/>
  </r>
  <r>
    <x v="27"/>
    <x v="27"/>
    <n v="8"/>
    <n v="2"/>
    <n v="16"/>
  </r>
  <r>
    <x v="28"/>
    <x v="28"/>
    <n v="6"/>
    <n v="1"/>
    <n v="6"/>
  </r>
  <r>
    <x v="29"/>
    <x v="29"/>
    <n v="30"/>
    <n v="0.9770833333333333"/>
    <n v="29.3125"/>
  </r>
  <r>
    <x v="30"/>
    <x v="30"/>
    <n v="34"/>
    <n v="1.6555555555555557"/>
    <n v="56.288888888888891"/>
  </r>
  <r>
    <x v="31"/>
    <x v="31"/>
    <n v="22"/>
    <n v="0.8833333333333333"/>
    <n v="19.433333333333334"/>
  </r>
  <r>
    <x v="32"/>
    <x v="32"/>
    <n v="50"/>
    <n v="9.9124999999999991E-2"/>
    <n v="4.9562499999999998"/>
  </r>
  <r>
    <x v="33"/>
    <x v="33"/>
    <n v="1"/>
    <n v="0.55541666666666667"/>
    <n v="0.55541666666666667"/>
  </r>
  <r>
    <x v="34"/>
    <x v="34"/>
    <n v="8"/>
    <n v="0.5541666666666667"/>
    <n v="4.4333333333333336"/>
  </r>
  <r>
    <x v="35"/>
    <x v="35"/>
    <n v="10"/>
    <n v="0.19843750000000002"/>
    <n v="1.9843750000000002"/>
  </r>
  <r>
    <x v="36"/>
    <x v="36"/>
    <n v="60"/>
    <n v="0.19833333333333333"/>
    <n v="11.9"/>
  </r>
  <r>
    <x v="37"/>
    <x v="37"/>
    <n v="696"/>
    <n v="0.19833333333333333"/>
    <n v="138.04"/>
  </r>
  <r>
    <x v="38"/>
    <x v="38"/>
    <n v="1"/>
    <n v="2.6875E-2"/>
    <n v="2.6875E-2"/>
  </r>
  <r>
    <x v="39"/>
    <x v="39"/>
    <n v="18"/>
    <n v="0.9"/>
    <n v="16.2"/>
  </r>
  <r>
    <x v="40"/>
    <x v="40"/>
    <n v="108"/>
    <n v="0.9"/>
    <n v="97.2"/>
  </r>
  <r>
    <x v="41"/>
    <x v="41"/>
    <n v="51"/>
    <n v="0.9"/>
    <n v="45.9"/>
  </r>
  <r>
    <x v="42"/>
    <x v="42"/>
    <n v="7"/>
    <n v="0.9"/>
    <n v="6.3"/>
  </r>
  <r>
    <x v="43"/>
    <x v="43"/>
    <n v="6"/>
    <n v="0.9"/>
    <n v="5.4"/>
  </r>
  <r>
    <x v="44"/>
    <x v="44"/>
    <n v="6"/>
    <n v="0.9"/>
    <n v="5.4"/>
  </r>
  <r>
    <x v="45"/>
    <x v="45"/>
    <n v="58"/>
    <n v="0.9"/>
    <n v="52.2"/>
  </r>
  <r>
    <x v="46"/>
    <x v="46"/>
    <n v="41"/>
    <n v="0.9"/>
    <n v="36.9"/>
  </r>
  <r>
    <x v="47"/>
    <x v="47"/>
    <n v="3"/>
    <n v="0.9"/>
    <n v="2.7"/>
  </r>
  <r>
    <x v="48"/>
    <x v="48"/>
    <n v="27"/>
    <n v="0.9"/>
    <n v="24.3"/>
  </r>
  <r>
    <x v="49"/>
    <x v="49"/>
    <n v="53"/>
    <n v="0.9"/>
    <n v="47.7"/>
  </r>
  <r>
    <x v="50"/>
    <x v="50"/>
    <n v="10"/>
    <n v="0.92524999999999991"/>
    <n v="9.2524999999999995"/>
  </r>
  <r>
    <x v="51"/>
    <x v="51"/>
    <n v="32"/>
    <n v="0.52916666666666667"/>
    <n v="16.933333333333334"/>
  </r>
  <r>
    <x v="52"/>
    <x v="52"/>
    <n v="6"/>
    <n v="0.52916666666666667"/>
    <n v="3.1749999999999998"/>
  </r>
  <r>
    <x v="53"/>
    <x v="53"/>
    <n v="2"/>
    <n v="0.52916666666666667"/>
    <n v="1.0583333333333333"/>
  </r>
  <r>
    <x v="54"/>
    <x v="54"/>
    <n v="3"/>
    <n v="0.47599999999999998"/>
    <n v="1.4279999999999999"/>
  </r>
  <r>
    <x v="55"/>
    <x v="55"/>
    <n v="12"/>
    <n v="0.77159999999999995"/>
    <n v="9.2591999999999999"/>
  </r>
  <r>
    <x v="56"/>
    <x v="56"/>
    <n v="43"/>
    <n v="0.36249999999999999"/>
    <n v="15.5875"/>
  </r>
  <r>
    <x v="57"/>
    <x v="57"/>
    <n v="18"/>
    <n v="0.36249999999999999"/>
    <n v="6.5249999999999995"/>
  </r>
  <r>
    <x v="58"/>
    <x v="58"/>
    <n v="2"/>
    <n v="0.70666666666666667"/>
    <n v="1.4133333333333333"/>
  </r>
  <r>
    <x v="59"/>
    <x v="59"/>
    <n v="2"/>
    <n v="0.70666666666666667"/>
    <n v="1.4133333333333333"/>
  </r>
  <r>
    <x v="60"/>
    <x v="60"/>
    <n v="7"/>
    <n v="0.23"/>
    <n v="1.61"/>
  </r>
  <r>
    <x v="61"/>
    <x v="61"/>
    <n v="7"/>
    <n v="0.5"/>
    <n v="3.5"/>
  </r>
  <r>
    <x v="62"/>
    <x v="62"/>
    <n v="10"/>
    <n v="0.44083333333333335"/>
    <n v="4.4083333333333332"/>
  </r>
  <r>
    <x v="63"/>
    <x v="63"/>
    <n v="1"/>
    <n v="0.57333333333333336"/>
    <n v="0.57333333333333336"/>
  </r>
  <r>
    <x v="64"/>
    <x v="64"/>
    <n v="1"/>
    <n v="0.57333333333333336"/>
    <n v="0.57333333333333336"/>
  </r>
  <r>
    <x v="65"/>
    <x v="65"/>
    <n v="1"/>
    <n v="0.57333333333333336"/>
    <n v="0.57333333333333336"/>
  </r>
  <r>
    <x v="66"/>
    <x v="66"/>
    <n v="39"/>
    <n v="0.22041666666666668"/>
    <n v="8.5962500000000013"/>
  </r>
  <r>
    <x v="67"/>
    <x v="67"/>
    <n v="6"/>
    <n v="0.44083333333333335"/>
    <n v="2.645"/>
  </r>
  <r>
    <x v="68"/>
    <x v="68"/>
    <n v="28"/>
    <n v="0.22041666666666668"/>
    <n v="6.1716666666666669"/>
  </r>
  <r>
    <x v="69"/>
    <x v="69"/>
    <n v="12"/>
    <n v="0.22041666666666668"/>
    <n v="2.645"/>
  </r>
  <r>
    <x v="70"/>
    <x v="70"/>
    <n v="24"/>
    <n v="0.22041666666666668"/>
    <n v="5.29"/>
  </r>
  <r>
    <x v="71"/>
    <x v="71"/>
    <n v="62"/>
    <n v="0.24041666666666664"/>
    <n v="14.905833333333332"/>
  </r>
  <r>
    <x v="72"/>
    <x v="72"/>
    <n v="6"/>
    <n v="0.47395833333333331"/>
    <n v="2.84375"/>
  </r>
  <r>
    <x v="73"/>
    <x v="73"/>
    <n v="6"/>
    <n v="0.95906250000000004"/>
    <n v="5.7543750000000005"/>
  </r>
  <r>
    <x v="74"/>
    <x v="74"/>
    <n v="12"/>
    <n v="0.21875"/>
    <n v="2.625"/>
  </r>
  <r>
    <x v="75"/>
    <x v="75"/>
    <n v="12"/>
    <n v="0.21875"/>
    <n v="2.625"/>
  </r>
  <r>
    <x v="76"/>
    <x v="76"/>
    <n v="49"/>
    <n v="0.22041666666666668"/>
    <n v="10.800416666666667"/>
  </r>
  <r>
    <x v="77"/>
    <x v="77"/>
    <n v="12"/>
    <n v="0.44083333333333335"/>
    <n v="5.29"/>
  </r>
  <r>
    <x v="78"/>
    <x v="78"/>
    <n v="6"/>
    <n v="0.875"/>
    <n v="5.25"/>
  </r>
  <r>
    <x v="79"/>
    <x v="79"/>
    <n v="2"/>
    <n v="0.42333333333333334"/>
    <n v="0.84666666666666668"/>
  </r>
  <r>
    <x v="80"/>
    <x v="80"/>
    <n v="32"/>
    <n v="8.3333333333333329E-2"/>
    <n v="2.6666666666666665"/>
  </r>
  <r>
    <x v="81"/>
    <x v="81"/>
    <n v="12"/>
    <n v="0.25"/>
    <n v="3"/>
  </r>
  <r>
    <x v="82"/>
    <x v="82"/>
    <n v="5"/>
    <n v="0.8833333333333333"/>
    <n v="4.4166666666666661"/>
  </r>
  <r>
    <x v="83"/>
    <x v="83"/>
    <n v="4"/>
    <n v="0.87035714285714294"/>
    <n v="3.4814285714285718"/>
  </r>
  <r>
    <x v="84"/>
    <x v="84"/>
    <n v="4"/>
    <n v="0.87035714285714294"/>
    <n v="3.4814285714285718"/>
  </r>
  <r>
    <x v="85"/>
    <x v="85"/>
    <n v="1"/>
    <n v="0.87035714285714294"/>
    <n v="0.87035714285714294"/>
  </r>
  <r>
    <x v="86"/>
    <x v="86"/>
    <n v="2"/>
    <n v="0.88178571428571428"/>
    <n v="1.7635714285714286"/>
  </r>
  <r>
    <x v="87"/>
    <x v="87"/>
    <n v="9"/>
    <n v="0.82750000000000001"/>
    <n v="7.4474999999999998"/>
  </r>
  <r>
    <x v="88"/>
    <x v="88"/>
    <n v="5"/>
    <n v="0.82750000000000001"/>
    <n v="4.1375000000000002"/>
  </r>
  <r>
    <x v="89"/>
    <x v="89"/>
    <n v="6"/>
    <n v="0.82750000000000001"/>
    <n v="4.9649999999999999"/>
  </r>
  <r>
    <x v="90"/>
    <x v="90"/>
    <n v="1"/>
    <n v="0.5"/>
    <n v="0.5"/>
  </r>
  <r>
    <x v="91"/>
    <x v="91"/>
    <n v="2"/>
    <n v="0.15"/>
    <n v="0.3"/>
  </r>
  <r>
    <x v="92"/>
    <x v="92"/>
    <n v="2"/>
    <n v="0.1"/>
    <n v="0.2"/>
  </r>
  <r>
    <x v="93"/>
    <x v="93"/>
    <n v="10"/>
    <n v="0.70833333333333337"/>
    <n v="7.0833333333333339"/>
  </r>
  <r>
    <x v="94"/>
    <x v="94"/>
    <n v="2"/>
    <n v="1.1008333333333333"/>
    <n v="2.2016666666666667"/>
  </r>
  <r>
    <x v="95"/>
    <x v="95"/>
    <n v="36"/>
    <n v="3.1091666666666669"/>
    <n v="111.93"/>
  </r>
  <r>
    <x v="96"/>
    <x v="96"/>
    <n v="176"/>
    <n v="0.44166666666666665"/>
    <n v="77.733333333333334"/>
  </r>
  <r>
    <x v="97"/>
    <x v="97"/>
    <n v="72"/>
    <n v="0.44166666666666665"/>
    <n v="31.799999999999997"/>
  </r>
  <r>
    <x v="98"/>
    <x v="98"/>
    <n v="12"/>
    <n v="0.11493055555555556"/>
    <n v="1.3791666666666669"/>
  </r>
  <r>
    <x v="99"/>
    <x v="99"/>
    <n v="24"/>
    <n v="0.55208333333333337"/>
    <n v="13.25"/>
  </r>
  <r>
    <x v="100"/>
    <x v="100"/>
    <n v="24"/>
    <n v="0.55208333333333337"/>
    <n v="13.25"/>
  </r>
  <r>
    <x v="101"/>
    <x v="101"/>
    <n v="159"/>
    <n v="0.5"/>
    <n v="79.5"/>
  </r>
  <r>
    <x v="102"/>
    <x v="102"/>
    <n v="12"/>
    <n v="0.875"/>
    <n v="10.5"/>
  </r>
  <r>
    <x v="103"/>
    <x v="103"/>
    <n v="72"/>
    <n v="0.72916666666666663"/>
    <n v="52.5"/>
  </r>
  <r>
    <x v="104"/>
    <x v="104"/>
    <n v="42"/>
    <n v="1.75"/>
    <n v="73.5"/>
  </r>
  <r>
    <x v="105"/>
    <x v="105"/>
    <n v="24"/>
    <n v="0.44166666666666665"/>
    <n v="10.6"/>
  </r>
  <r>
    <x v="106"/>
    <x v="106"/>
    <n v="24"/>
    <n v="0.44166666666666665"/>
    <n v="10.6"/>
  </r>
  <r>
    <x v="107"/>
    <x v="107"/>
    <n v="24"/>
    <n v="0.72916666666666663"/>
    <n v="17.5"/>
  </r>
  <r>
    <x v="108"/>
    <x v="108"/>
    <n v="18"/>
    <n v="0.72916666666666663"/>
    <n v="13.125"/>
  </r>
  <r>
    <x v="109"/>
    <x v="109"/>
    <n v="18"/>
    <n v="0.72916666666666663"/>
    <n v="13.125"/>
  </r>
  <r>
    <x v="110"/>
    <x v="110"/>
    <n v="12"/>
    <n v="0.96875"/>
    <n v="11.625"/>
  </r>
  <r>
    <x v="111"/>
    <x v="111"/>
    <n v="120"/>
    <n v="0.33958333333333335"/>
    <n v="40.75"/>
  </r>
  <r>
    <x v="112"/>
    <x v="112"/>
    <n v="123"/>
    <n v="0.25"/>
    <n v="30.75"/>
  </r>
  <r>
    <x v="113"/>
    <x v="113"/>
    <n v="6"/>
    <n v="0.875"/>
    <n v="5.25"/>
  </r>
  <r>
    <x v="114"/>
    <x v="114"/>
    <n v="2"/>
    <n v="1.8125"/>
    <n v="3.625"/>
  </r>
  <r>
    <x v="115"/>
    <x v="115"/>
    <n v="42"/>
    <n v="0.65625"/>
    <n v="27.5625"/>
  </r>
  <r>
    <x v="116"/>
    <x v="116"/>
    <n v="116"/>
    <n v="0.34375"/>
    <n v="39.875"/>
  </r>
  <r>
    <x v="117"/>
    <x v="117"/>
    <n v="3"/>
    <n v="0.375"/>
    <n v="1.125"/>
  </r>
  <r>
    <x v="118"/>
    <x v="118"/>
    <n v="30"/>
    <n v="0.25"/>
    <n v="7.5"/>
  </r>
  <r>
    <x v="119"/>
    <x v="119"/>
    <n v="18"/>
    <n v="0.72916666666666663"/>
    <n v="13.125"/>
  </r>
  <r>
    <x v="120"/>
    <x v="120"/>
    <n v="18"/>
    <n v="0.72916666666666663"/>
    <n v="13.125"/>
  </r>
  <r>
    <x v="121"/>
    <x v="121"/>
    <n v="12"/>
    <n v="0.9375"/>
    <n v="11.25"/>
  </r>
  <r>
    <x v="122"/>
    <x v="122"/>
    <n v="1"/>
    <n v="0.2"/>
    <n v="0.2"/>
  </r>
  <r>
    <x v="123"/>
    <x v="123"/>
    <n v="1"/>
    <n v="2.1166666666666667"/>
    <n v="2.1166666666666667"/>
  </r>
  <r>
    <x v="124"/>
    <x v="124"/>
    <n v="4"/>
    <n v="2.1166666666666667"/>
    <n v="8.4666666666666668"/>
  </r>
  <r>
    <x v="125"/>
    <x v="125"/>
    <n v="4"/>
    <n v="2.1166666666666667"/>
    <n v="8.4666666666666668"/>
  </r>
  <r>
    <x v="126"/>
    <x v="126"/>
    <n v="2"/>
    <n v="2.1166666666666667"/>
    <n v="4.2333333333333334"/>
  </r>
  <r>
    <x v="127"/>
    <x v="127"/>
    <n v="9"/>
    <n v="2.1166666666666667"/>
    <n v="19.05"/>
  </r>
  <r>
    <x v="128"/>
    <x v="128"/>
    <n v="1"/>
    <n v="3.0416666666666665"/>
    <n v="3.0416666666666665"/>
  </r>
  <r>
    <x v="129"/>
    <x v="129"/>
    <n v="1"/>
    <n v="1.5"/>
    <n v="1.5"/>
  </r>
  <r>
    <x v="130"/>
    <x v="130"/>
    <n v="2"/>
    <n v="0.24270833333333333"/>
    <n v="0.48541666666666666"/>
  </r>
  <r>
    <x v="131"/>
    <x v="131"/>
    <n v="2"/>
    <n v="0.24270833333333333"/>
    <n v="0.48541666666666666"/>
  </r>
  <r>
    <x v="132"/>
    <x v="132"/>
    <n v="2"/>
    <n v="0.24270833333333333"/>
    <n v="0.48541666666666666"/>
  </r>
  <r>
    <x v="133"/>
    <x v="133"/>
    <n v="18"/>
    <n v="0.33041666666666664"/>
    <n v="5.9474999999999998"/>
  </r>
  <r>
    <x v="134"/>
    <x v="134"/>
    <n v="1"/>
    <n v="2.1166666666666667"/>
    <n v="2.1166666666666667"/>
  </r>
  <r>
    <x v="135"/>
    <x v="135"/>
    <n v="10"/>
    <n v="0.11"/>
    <n v="1.1000000000000001"/>
  </r>
  <r>
    <x v="136"/>
    <x v="136"/>
    <n v="12"/>
    <n v="0.47499999999999998"/>
    <n v="5.6999999999999993"/>
  </r>
  <r>
    <x v="137"/>
    <x v="137"/>
    <n v="1"/>
    <n v="0.06"/>
    <n v="0.06"/>
  </r>
  <r>
    <x v="138"/>
    <x v="138"/>
    <n v="1"/>
    <n v="0.01"/>
    <n v="0.01"/>
  </r>
  <r>
    <x v="139"/>
    <x v="139"/>
    <n v="8"/>
    <n v="1.1041666666666667"/>
    <n v="8.8333333333333339"/>
  </r>
  <r>
    <x v="140"/>
    <x v="140"/>
    <n v="19"/>
    <n v="1.1041666666666667"/>
    <n v="20.979166666666668"/>
  </r>
  <r>
    <x v="141"/>
    <x v="141"/>
    <n v="43"/>
    <n v="1.1041666666666667"/>
    <n v="47.479166666666671"/>
  </r>
  <r>
    <x v="142"/>
    <x v="142"/>
    <n v="15"/>
    <n v="1.1041666666666667"/>
    <n v="16.5625"/>
  </r>
  <r>
    <x v="143"/>
    <x v="143"/>
    <n v="19"/>
    <n v="1.1041666666666667"/>
    <n v="20.979166666666668"/>
  </r>
  <r>
    <x v="144"/>
    <x v="144"/>
    <n v="6"/>
    <n v="1.3340744858254587"/>
    <n v="8.0044469149527515"/>
  </r>
  <r>
    <x v="145"/>
    <x v="145"/>
    <n v="1"/>
    <n v="1.3125"/>
    <n v="1.3125"/>
  </r>
  <r>
    <x v="146"/>
    <x v="146"/>
    <n v="2"/>
    <n v="0.6"/>
    <n v="1.2"/>
  </r>
  <r>
    <x v="147"/>
    <x v="147"/>
    <n v="1"/>
    <n v="0.6"/>
    <n v="0.6"/>
  </r>
  <r>
    <x v="148"/>
    <x v="148"/>
    <n v="4"/>
    <n v="0.6"/>
    <n v="2.4"/>
  </r>
  <r>
    <x v="149"/>
    <x v="149"/>
    <n v="1"/>
    <n v="0.6"/>
    <n v="0.6"/>
  </r>
  <r>
    <x v="150"/>
    <x v="150"/>
    <n v="1"/>
    <n v="0.6"/>
    <n v="0.6"/>
  </r>
  <r>
    <x v="151"/>
    <x v="151"/>
    <n v="2"/>
    <n v="0.42399999999999999"/>
    <n v="0.84799999999999998"/>
  </r>
  <r>
    <x v="152"/>
    <x v="152"/>
    <n v="9"/>
    <n v="0.71375"/>
    <n v="6.4237500000000001"/>
  </r>
  <r>
    <x v="153"/>
    <x v="153"/>
    <n v="43"/>
    <n v="0.88"/>
    <n v="37.84000000000000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x v="0"/>
    <x v="0"/>
    <n v="24"/>
    <n v="0.88200000000000001"/>
    <n v="21.167999999999999"/>
  </r>
  <r>
    <x v="1"/>
    <x v="1"/>
    <n v="6"/>
    <n v="0.88200000000000001"/>
    <n v="5.2919999999999998"/>
  </r>
  <r>
    <x v="2"/>
    <x v="2"/>
    <n v="2"/>
    <n v="0.33071428571428568"/>
    <n v="0.66142857142857137"/>
  </r>
  <r>
    <x v="3"/>
    <x v="3"/>
    <n v="8"/>
    <n v="0.63928571428571423"/>
    <n v="5.1142857142857139"/>
  </r>
  <r>
    <x v="4"/>
    <x v="4"/>
    <n v="6"/>
    <n v="1.5449999999999999"/>
    <n v="9.27"/>
  </r>
  <r>
    <x v="5"/>
    <x v="5"/>
    <n v="10"/>
    <n v="1.4166666666666667"/>
    <n v="14.166666666666668"/>
  </r>
  <r>
    <x v="6"/>
    <x v="6"/>
    <n v="6"/>
    <n v="2.9166666666666665"/>
    <n v="17.5"/>
  </r>
  <r>
    <x v="7"/>
    <x v="7"/>
    <n v="2"/>
    <n v="2.48"/>
    <n v="4.96"/>
  </r>
  <r>
    <x v="8"/>
    <x v="8"/>
    <n v="2"/>
    <n v="2.48"/>
    <n v="4.96"/>
  </r>
  <r>
    <x v="9"/>
    <x v="9"/>
    <n v="14"/>
    <n v="2.65"/>
    <n v="37.1"/>
  </r>
  <r>
    <x v="10"/>
    <x v="10"/>
    <n v="2"/>
    <n v="2.65"/>
    <n v="5.3"/>
  </r>
  <r>
    <x v="11"/>
    <x v="11"/>
    <n v="2"/>
    <n v="0.88166666666666671"/>
    <n v="1.7633333333333334"/>
  </r>
  <r>
    <x v="12"/>
    <x v="12"/>
    <n v="6"/>
    <n v="3.3049999999999997"/>
    <n v="19.829999999999998"/>
  </r>
  <r>
    <x v="13"/>
    <x v="13"/>
    <n v="12"/>
    <n v="3.2916666666666665"/>
    <n v="39.5"/>
  </r>
  <r>
    <x v="14"/>
    <x v="14"/>
    <n v="6"/>
    <n v="0.23805555555555558"/>
    <n v="1.4283333333333335"/>
  </r>
  <r>
    <x v="15"/>
    <x v="15"/>
    <n v="48"/>
    <n v="0.75"/>
    <n v="36"/>
  </r>
  <r>
    <x v="16"/>
    <x v="16"/>
    <n v="12"/>
    <n v="1.1100000000000001"/>
    <n v="13.32"/>
  </r>
  <r>
    <x v="17"/>
    <x v="17"/>
    <n v="12"/>
    <n v="0.11944444444444444"/>
    <n v="1.4333333333333331"/>
  </r>
  <r>
    <x v="18"/>
    <x v="18"/>
    <n v="186"/>
    <n v="1.76"/>
    <n v="327.36"/>
  </r>
  <r>
    <x v="19"/>
    <x v="19"/>
    <n v="6"/>
    <n v="0.77200000000000002"/>
    <n v="4.6319999999999997"/>
  </r>
  <r>
    <x v="20"/>
    <x v="20"/>
    <n v="6"/>
    <n v="1"/>
    <n v="6"/>
  </r>
  <r>
    <x v="21"/>
    <x v="21"/>
    <n v="3"/>
    <n v="1.6555555555555557"/>
    <n v="4.9666666666666668"/>
  </r>
  <r>
    <x v="22"/>
    <x v="22"/>
    <n v="10"/>
    <n v="0.8833333333333333"/>
    <n v="8.8333333333333321"/>
  </r>
  <r>
    <x v="23"/>
    <x v="23"/>
    <n v="3"/>
    <n v="2.65"/>
    <n v="7.9499999999999993"/>
  </r>
  <r>
    <x v="24"/>
    <x v="24"/>
    <n v="3"/>
    <n v="2.65"/>
    <n v="7.9499999999999993"/>
  </r>
  <r>
    <x v="25"/>
    <x v="25"/>
    <n v="1"/>
    <n v="6.6666666666666666E-2"/>
    <n v="6.6666666666666666E-2"/>
  </r>
  <r>
    <x v="26"/>
    <x v="26"/>
    <n v="12"/>
    <n v="0.1275"/>
    <n v="1.53"/>
  </r>
  <r>
    <x v="27"/>
    <x v="27"/>
    <n v="12"/>
    <n v="0.1275"/>
    <n v="1.53"/>
  </r>
  <r>
    <x v="28"/>
    <x v="28"/>
    <n v="12"/>
    <n v="0.82674999999999998"/>
    <n v="9.9209999999999994"/>
  </r>
  <r>
    <x v="29"/>
    <x v="29"/>
    <n v="6"/>
    <n v="0.40750000000000003"/>
    <n v="2.4450000000000003"/>
  </r>
  <r>
    <x v="30"/>
    <x v="30"/>
    <n v="19"/>
    <n v="1.190625"/>
    <n v="22.621874999999999"/>
  </r>
  <r>
    <x v="31"/>
    <x v="31"/>
    <n v="93"/>
    <n v="9.9124999999999991E-2"/>
    <n v="9.2186249999999994"/>
  </r>
  <r>
    <x v="32"/>
    <x v="32"/>
    <n v="1"/>
    <n v="0.55541666666666667"/>
    <n v="0.55541666666666667"/>
  </r>
  <r>
    <x v="33"/>
    <x v="33"/>
    <n v="130"/>
    <n v="0.19833333333333333"/>
    <n v="25.783333333333335"/>
  </r>
  <r>
    <x v="34"/>
    <x v="34"/>
    <n v="24"/>
    <n v="0.19843750000000002"/>
    <n v="4.7625000000000002"/>
  </r>
  <r>
    <x v="35"/>
    <x v="35"/>
    <n v="216"/>
    <n v="0.19833333333333333"/>
    <n v="42.84"/>
  </r>
  <r>
    <x v="36"/>
    <x v="36"/>
    <n v="2"/>
    <n v="2.6875E-2"/>
    <n v="5.3749999999999999E-2"/>
  </r>
  <r>
    <x v="37"/>
    <x v="37"/>
    <n v="2"/>
    <n v="6.6666666666666666E-2"/>
    <n v="0.13333333333333333"/>
  </r>
  <r>
    <x v="38"/>
    <x v="38"/>
    <n v="1"/>
    <n v="0.75"/>
    <n v="0.75"/>
  </r>
  <r>
    <x v="39"/>
    <x v="39"/>
    <n v="1"/>
    <n v="0.75"/>
    <n v="0.75"/>
  </r>
  <r>
    <x v="40"/>
    <x v="40"/>
    <n v="5"/>
    <n v="0.9"/>
    <n v="4.5"/>
  </r>
  <r>
    <x v="41"/>
    <x v="41"/>
    <n v="2"/>
    <n v="0.88437500000000002"/>
    <n v="1.76875"/>
  </r>
  <r>
    <x v="42"/>
    <x v="42"/>
    <n v="2"/>
    <n v="0.9"/>
    <n v="1.8"/>
  </r>
  <r>
    <x v="43"/>
    <x v="43"/>
    <n v="7"/>
    <n v="0.9"/>
    <n v="6.3"/>
  </r>
  <r>
    <x v="44"/>
    <x v="44"/>
    <n v="7"/>
    <n v="0.9"/>
    <n v="6.3"/>
  </r>
  <r>
    <x v="45"/>
    <x v="45"/>
    <n v="7"/>
    <n v="0.9"/>
    <n v="6.3"/>
  </r>
  <r>
    <x v="46"/>
    <x v="46"/>
    <n v="7"/>
    <n v="0.9"/>
    <n v="6.3"/>
  </r>
  <r>
    <x v="47"/>
    <x v="47"/>
    <n v="10"/>
    <n v="0.9"/>
    <n v="9"/>
  </r>
  <r>
    <x v="48"/>
    <x v="48"/>
    <n v="5"/>
    <n v="0.9"/>
    <n v="4.5"/>
  </r>
  <r>
    <x v="49"/>
    <x v="49"/>
    <n v="5"/>
    <n v="0.9"/>
    <n v="4.5"/>
  </r>
  <r>
    <x v="50"/>
    <x v="50"/>
    <n v="10"/>
    <n v="0.92524999999999991"/>
    <n v="9.2524999999999995"/>
  </r>
  <r>
    <x v="51"/>
    <x v="51"/>
    <n v="3"/>
    <n v="0.52916666666666667"/>
    <n v="1.5874999999999999"/>
  </r>
  <r>
    <x v="52"/>
    <x v="52"/>
    <n v="1"/>
    <n v="1.3125"/>
    <n v="1.3125"/>
  </r>
  <r>
    <x v="53"/>
    <x v="53"/>
    <n v="4"/>
    <n v="0.47599999999999998"/>
    <n v="1.9039999999999999"/>
  </r>
  <r>
    <x v="54"/>
    <x v="54"/>
    <n v="36"/>
    <n v="0.36249999999999999"/>
    <n v="13.049999999999999"/>
  </r>
  <r>
    <x v="55"/>
    <x v="55"/>
    <n v="18"/>
    <n v="0.36249999999999999"/>
    <n v="6.5249999999999995"/>
  </r>
  <r>
    <x v="56"/>
    <x v="56"/>
    <n v="16"/>
    <n v="0.22041666666666668"/>
    <n v="3.5266666666666668"/>
  </r>
  <r>
    <x v="57"/>
    <x v="57"/>
    <n v="18"/>
    <n v="0.44083333333333335"/>
    <n v="7.9350000000000005"/>
  </r>
  <r>
    <x v="58"/>
    <x v="58"/>
    <n v="30"/>
    <n v="0.83750000000000002"/>
    <n v="25.125"/>
  </r>
  <r>
    <x v="59"/>
    <x v="59"/>
    <n v="1"/>
    <n v="3.3050000000000002"/>
    <n v="3.3050000000000002"/>
  </r>
  <r>
    <x v="60"/>
    <x v="60"/>
    <n v="12"/>
    <n v="0.22041666666666668"/>
    <n v="2.645"/>
  </r>
  <r>
    <x v="61"/>
    <x v="61"/>
    <n v="69"/>
    <n v="0.22041666666666668"/>
    <n v="15.20875"/>
  </r>
  <r>
    <x v="62"/>
    <x v="62"/>
    <n v="6"/>
    <n v="0.22041666666666668"/>
    <n v="1.3225"/>
  </r>
  <r>
    <x v="63"/>
    <x v="63"/>
    <n v="3"/>
    <n v="1.1875"/>
    <n v="3.5625"/>
  </r>
  <r>
    <x v="64"/>
    <x v="64"/>
    <n v="12"/>
    <n v="0.24041666666666664"/>
    <n v="2.8849999999999998"/>
  </r>
  <r>
    <x v="65"/>
    <x v="65"/>
    <n v="6"/>
    <n v="0.21875"/>
    <n v="1.3125"/>
  </r>
  <r>
    <x v="66"/>
    <x v="66"/>
    <n v="35"/>
    <n v="0.22041666666666668"/>
    <n v="7.7145833333333336"/>
  </r>
  <r>
    <x v="67"/>
    <x v="67"/>
    <n v="3"/>
    <n v="0.5"/>
    <n v="1.5"/>
  </r>
  <r>
    <x v="68"/>
    <x v="68"/>
    <n v="4"/>
    <n v="1.6600000000000001"/>
    <n v="6.6400000000000006"/>
  </r>
  <r>
    <x v="69"/>
    <x v="69"/>
    <n v="18"/>
    <n v="8.3333333333333329E-2"/>
    <n v="1.5"/>
  </r>
  <r>
    <x v="70"/>
    <x v="70"/>
    <n v="43"/>
    <n v="0.25"/>
    <n v="10.75"/>
  </r>
  <r>
    <x v="71"/>
    <x v="71"/>
    <n v="48"/>
    <n v="0.8833333333333333"/>
    <n v="42.4"/>
  </r>
  <r>
    <x v="72"/>
    <x v="72"/>
    <n v="46"/>
    <n v="0.87035714285714294"/>
    <n v="40.036428571428573"/>
  </r>
  <r>
    <x v="73"/>
    <x v="73"/>
    <n v="58"/>
    <n v="0.87035714285714294"/>
    <n v="50.480714285714292"/>
  </r>
  <r>
    <x v="74"/>
    <x v="74"/>
    <n v="6"/>
    <n v="0.87035714285714294"/>
    <n v="5.2221428571428579"/>
  </r>
  <r>
    <x v="75"/>
    <x v="75"/>
    <n v="12"/>
    <n v="0.88178571428571428"/>
    <n v="10.581428571428571"/>
  </r>
  <r>
    <x v="76"/>
    <x v="76"/>
    <n v="3"/>
    <n v="0.88178571428571428"/>
    <n v="2.6453571428571427"/>
  </r>
  <r>
    <x v="77"/>
    <x v="77"/>
    <n v="5"/>
    <n v="0.88107142857142862"/>
    <n v="4.4053571428571434"/>
  </r>
  <r>
    <x v="78"/>
    <x v="78"/>
    <n v="3"/>
    <n v="0.95321428571428579"/>
    <n v="2.8596428571428572"/>
  </r>
  <r>
    <x v="79"/>
    <x v="79"/>
    <n v="24"/>
    <n v="1.3216666666666665"/>
    <n v="31.72"/>
  </r>
  <r>
    <x v="80"/>
    <x v="80"/>
    <n v="2"/>
    <n v="4.1666666666666664E-2"/>
    <n v="8.3333333333333329E-2"/>
  </r>
  <r>
    <x v="81"/>
    <x v="81"/>
    <n v="4"/>
    <n v="0.70833333333333337"/>
    <n v="2.8333333333333335"/>
  </r>
  <r>
    <x v="82"/>
    <x v="82"/>
    <n v="2"/>
    <n v="1.1008333333333333"/>
    <n v="2.2016666666666667"/>
  </r>
  <r>
    <x v="83"/>
    <x v="83"/>
    <n v="48"/>
    <n v="3.1091666666666669"/>
    <n v="149.24"/>
  </r>
  <r>
    <x v="84"/>
    <x v="84"/>
    <n v="593"/>
    <n v="0.44166666666666665"/>
    <n v="261.9083333333333"/>
  </r>
  <r>
    <x v="85"/>
    <x v="85"/>
    <n v="711"/>
    <n v="0.44166666666666665"/>
    <n v="314.02499999999998"/>
  </r>
  <r>
    <x v="86"/>
    <x v="86"/>
    <n v="39"/>
    <n v="0.11493055555555556"/>
    <n v="4.4822916666666668"/>
  </r>
  <r>
    <x v="87"/>
    <x v="87"/>
    <n v="12"/>
    <n v="0.55208333333333337"/>
    <n v="6.625"/>
  </r>
  <r>
    <x v="88"/>
    <x v="88"/>
    <n v="12"/>
    <n v="0.55208333333333337"/>
    <n v="6.625"/>
  </r>
  <r>
    <x v="89"/>
    <x v="89"/>
    <n v="80"/>
    <n v="0.5"/>
    <n v="40"/>
  </r>
  <r>
    <x v="90"/>
    <x v="90"/>
    <n v="35"/>
    <n v="0.875"/>
    <n v="30.625"/>
  </r>
  <r>
    <x v="91"/>
    <x v="91"/>
    <n v="378"/>
    <n v="0.72916666666666663"/>
    <n v="275.625"/>
  </r>
  <r>
    <x v="92"/>
    <x v="92"/>
    <n v="32"/>
    <n v="1.75"/>
    <n v="56"/>
  </r>
  <r>
    <x v="93"/>
    <x v="93"/>
    <n v="12"/>
    <n v="0.44166666666666665"/>
    <n v="5.3"/>
  </r>
  <r>
    <x v="94"/>
    <x v="94"/>
    <n v="3"/>
    <n v="0.44166666666666665"/>
    <n v="1.325"/>
  </r>
  <r>
    <x v="95"/>
    <x v="95"/>
    <n v="24"/>
    <n v="0.7729166666666667"/>
    <n v="18.55"/>
  </r>
  <r>
    <x v="96"/>
    <x v="96"/>
    <n v="12"/>
    <n v="0.72916666666666663"/>
    <n v="8.75"/>
  </r>
  <r>
    <x v="97"/>
    <x v="97"/>
    <n v="12"/>
    <n v="0.72916666666666663"/>
    <n v="8.75"/>
  </r>
  <r>
    <x v="98"/>
    <x v="98"/>
    <n v="603"/>
    <n v="0.33958333333333335"/>
    <n v="204.76875000000001"/>
  </r>
  <r>
    <x v="99"/>
    <x v="99"/>
    <n v="38"/>
    <n v="0.25"/>
    <n v="9.5"/>
  </r>
  <r>
    <x v="100"/>
    <x v="100"/>
    <n v="18"/>
    <n v="1.8125"/>
    <n v="32.625"/>
  </r>
  <r>
    <x v="101"/>
    <x v="101"/>
    <n v="48"/>
    <n v="0.65625"/>
    <n v="31.5"/>
  </r>
  <r>
    <x v="102"/>
    <x v="102"/>
    <n v="212"/>
    <n v="0.34375"/>
    <n v="72.875"/>
  </r>
  <r>
    <x v="103"/>
    <x v="103"/>
    <n v="24"/>
    <n v="0.9375"/>
    <n v="22.5"/>
  </r>
  <r>
    <x v="104"/>
    <x v="104"/>
    <n v="26"/>
    <n v="1.1363636363636362"/>
    <n v="29.545454545454543"/>
  </r>
  <r>
    <x v="105"/>
    <x v="105"/>
    <n v="1"/>
    <n v="0.2"/>
    <n v="0.2"/>
  </r>
  <r>
    <x v="106"/>
    <x v="106"/>
    <n v="2"/>
    <n v="0.16"/>
    <n v="0.32"/>
  </r>
  <r>
    <x v="107"/>
    <x v="107"/>
    <n v="6"/>
    <n v="0.51854166666666668"/>
    <n v="3.1112500000000001"/>
  </r>
  <r>
    <x v="108"/>
    <x v="108"/>
    <n v="2"/>
    <n v="2.65"/>
    <n v="5.3"/>
  </r>
  <r>
    <x v="109"/>
    <x v="109"/>
    <n v="2"/>
    <n v="2.1166666666666667"/>
    <n v="4.2333333333333334"/>
  </r>
  <r>
    <x v="110"/>
    <x v="110"/>
    <n v="2"/>
    <n v="2.1166666666666667"/>
    <n v="4.2333333333333334"/>
  </r>
  <r>
    <x v="111"/>
    <x v="111"/>
    <n v="2"/>
    <n v="2.1166666666666667"/>
    <n v="4.2333333333333334"/>
  </r>
  <r>
    <x v="112"/>
    <x v="112"/>
    <n v="3"/>
    <n v="0.24270833333333333"/>
    <n v="0.72812500000000002"/>
  </r>
  <r>
    <x v="113"/>
    <x v="113"/>
    <n v="5"/>
    <n v="0.24270833333333333"/>
    <n v="1.2135416666666667"/>
  </r>
  <r>
    <x v="114"/>
    <x v="114"/>
    <n v="5"/>
    <n v="0.24270833333333333"/>
    <n v="1.2135416666666667"/>
  </r>
  <r>
    <x v="115"/>
    <x v="115"/>
    <n v="17"/>
    <n v="0.24270833333333333"/>
    <n v="4.1260416666666666"/>
  </r>
  <r>
    <x v="116"/>
    <x v="116"/>
    <n v="26"/>
    <n v="0.88249999999999995"/>
    <n v="22.945"/>
  </r>
  <r>
    <x v="117"/>
    <x v="117"/>
    <n v="2"/>
    <n v="2.1166666666666667"/>
    <n v="4.2333333333333334"/>
  </r>
  <r>
    <x v="118"/>
    <x v="118"/>
    <n v="3"/>
    <n v="0.33041666666666664"/>
    <n v="0.99124999999999996"/>
  </r>
  <r>
    <x v="119"/>
    <x v="119"/>
    <n v="6"/>
    <n v="0.11"/>
    <n v="0.66"/>
  </r>
  <r>
    <x v="120"/>
    <x v="120"/>
    <n v="126"/>
    <n v="0.47499999999999998"/>
    <n v="59.849999999999994"/>
  </r>
  <r>
    <x v="121"/>
    <x v="121"/>
    <n v="1"/>
    <n v="2.1166666666666667"/>
    <n v="2.1166666666666667"/>
  </r>
  <r>
    <x v="122"/>
    <x v="122"/>
    <n v="4"/>
    <n v="0.35625000000000001"/>
    <n v="1.425"/>
  </r>
  <r>
    <x v="123"/>
    <x v="123"/>
    <n v="6"/>
    <n v="1.1041666666666667"/>
    <n v="6.625"/>
  </r>
  <r>
    <x v="124"/>
    <x v="124"/>
    <n v="31"/>
    <n v="1.1041666666666667"/>
    <n v="34.229166666666671"/>
  </r>
  <r>
    <x v="125"/>
    <x v="125"/>
    <n v="3"/>
    <n v="1.1041666666666667"/>
    <n v="3.3125"/>
  </r>
  <r>
    <x v="126"/>
    <x v="126"/>
    <n v="27"/>
    <n v="1.1041666666666667"/>
    <n v="29.812500000000004"/>
  </r>
  <r>
    <x v="127"/>
    <x v="127"/>
    <n v="15"/>
    <n v="1.1041666666666667"/>
    <n v="16.5625"/>
  </r>
  <r>
    <x v="128"/>
    <x v="128"/>
    <n v="1"/>
    <n v="1.3125"/>
    <n v="1.3125"/>
  </r>
  <r>
    <x v="129"/>
    <x v="129"/>
    <n v="1"/>
    <n v="0.37040000000000001"/>
    <n v="0.37040000000000001"/>
  </r>
  <r>
    <x v="130"/>
    <x v="130"/>
    <n v="1"/>
    <n v="0.9277777777777777"/>
    <n v="0.9277777777777777"/>
  </r>
  <r>
    <x v="131"/>
    <x v="131"/>
    <n v="2"/>
    <n v="0.71375"/>
    <n v="1.4275"/>
  </r>
  <r>
    <x v="132"/>
    <x v="132"/>
    <n v="1"/>
    <n v="0.62"/>
    <n v="0.6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x v="0"/>
    <x v="0"/>
    <n v="25"/>
    <n v="0.88200000000000001"/>
    <n v="22.05"/>
  </r>
  <r>
    <x v="1"/>
    <x v="1"/>
    <n v="50"/>
    <n v="0.88200000000000001"/>
    <n v="44.1"/>
  </r>
  <r>
    <x v="2"/>
    <x v="2"/>
    <n v="17"/>
    <n v="1.5449999999999999"/>
    <n v="26.265000000000001"/>
  </r>
  <r>
    <x v="3"/>
    <x v="3"/>
    <n v="2"/>
    <n v="0.29166666666666669"/>
    <n v="0.58333333333333337"/>
  </r>
  <r>
    <x v="4"/>
    <x v="4"/>
    <n v="5"/>
    <n v="1.4166666666666667"/>
    <n v="7.0833333333333339"/>
  </r>
  <r>
    <x v="5"/>
    <x v="5"/>
    <n v="6"/>
    <n v="2.65"/>
    <n v="15.899999999999999"/>
  </r>
  <r>
    <x v="6"/>
    <x v="6"/>
    <n v="6"/>
    <n v="2.65"/>
    <n v="15.899999999999999"/>
  </r>
  <r>
    <x v="7"/>
    <x v="7"/>
    <n v="9"/>
    <n v="2.65"/>
    <n v="23.849999999999998"/>
  </r>
  <r>
    <x v="8"/>
    <x v="8"/>
    <n v="3"/>
    <n v="2.65"/>
    <n v="7.9499999999999993"/>
  </r>
  <r>
    <x v="9"/>
    <x v="9"/>
    <n v="6"/>
    <n v="2.65"/>
    <n v="15.899999999999999"/>
  </r>
  <r>
    <x v="10"/>
    <x v="10"/>
    <n v="5"/>
    <n v="0.23805555555555558"/>
    <n v="1.1902777777777778"/>
  </r>
  <r>
    <x v="11"/>
    <x v="11"/>
    <n v="108"/>
    <n v="0.75"/>
    <n v="81"/>
  </r>
  <r>
    <x v="12"/>
    <x v="12"/>
    <n v="25"/>
    <n v="0.11944444444444444"/>
    <n v="2.9861111111111107"/>
  </r>
  <r>
    <x v="13"/>
    <x v="13"/>
    <n v="2"/>
    <n v="2"/>
    <n v="4"/>
  </r>
  <r>
    <x v="14"/>
    <x v="14"/>
    <n v="100"/>
    <n v="1"/>
    <n v="100"/>
  </r>
  <r>
    <x v="15"/>
    <x v="15"/>
    <n v="11"/>
    <n v="0.8833333333333333"/>
    <n v="9.7166666666666668"/>
  </r>
  <r>
    <x v="16"/>
    <x v="16"/>
    <n v="1"/>
    <n v="2.65"/>
    <n v="2.65"/>
  </r>
  <r>
    <x v="17"/>
    <x v="17"/>
    <n v="1"/>
    <n v="2.65"/>
    <n v="2.65"/>
  </r>
  <r>
    <x v="18"/>
    <x v="18"/>
    <n v="102"/>
    <n v="0.79999999999999993"/>
    <n v="81.599999999999994"/>
  </r>
  <r>
    <x v="19"/>
    <x v="19"/>
    <n v="4"/>
    <n v="0.82674999999999998"/>
    <n v="3.3069999999999999"/>
  </r>
  <r>
    <x v="20"/>
    <x v="20"/>
    <n v="6"/>
    <n v="9.9166666666666667E-2"/>
    <n v="0.59499999999999997"/>
  </r>
  <r>
    <x v="21"/>
    <x v="21"/>
    <n v="6"/>
    <n v="9.9166666666666667E-2"/>
    <n v="0.59499999999999997"/>
  </r>
  <r>
    <x v="22"/>
    <x v="22"/>
    <n v="138"/>
    <n v="9.9124999999999991E-2"/>
    <n v="13.679249999999998"/>
  </r>
  <r>
    <x v="23"/>
    <x v="23"/>
    <n v="2"/>
    <n v="0.55541666666666667"/>
    <n v="1.1108333333333333"/>
  </r>
  <r>
    <x v="24"/>
    <x v="24"/>
    <n v="4"/>
    <n v="0.5541666666666667"/>
    <n v="2.2166666666666668"/>
  </r>
  <r>
    <x v="25"/>
    <x v="25"/>
    <n v="78"/>
    <n v="0.19833333333333333"/>
    <n v="15.47"/>
  </r>
  <r>
    <x v="26"/>
    <x v="26"/>
    <n v="301"/>
    <n v="0.19843750000000002"/>
    <n v="59.729687500000004"/>
  </r>
  <r>
    <x v="27"/>
    <x v="27"/>
    <n v="24"/>
    <n v="0.19833333333333333"/>
    <n v="4.76"/>
  </r>
  <r>
    <x v="28"/>
    <x v="28"/>
    <n v="792"/>
    <n v="0.19833333333333333"/>
    <n v="157.08000000000001"/>
  </r>
  <r>
    <x v="29"/>
    <x v="29"/>
    <n v="3"/>
    <n v="0.9"/>
    <n v="2.7"/>
  </r>
  <r>
    <x v="30"/>
    <x v="30"/>
    <n v="3"/>
    <n v="0.9"/>
    <n v="2.7"/>
  </r>
  <r>
    <x v="31"/>
    <x v="31"/>
    <n v="2"/>
    <n v="0.9"/>
    <n v="1.8"/>
  </r>
  <r>
    <x v="32"/>
    <x v="32"/>
    <n v="4"/>
    <n v="0.9"/>
    <n v="3.6"/>
  </r>
  <r>
    <x v="33"/>
    <x v="33"/>
    <n v="2"/>
    <n v="0.9"/>
    <n v="1.8"/>
  </r>
  <r>
    <x v="34"/>
    <x v="34"/>
    <n v="5"/>
    <n v="0.9"/>
    <n v="4.5"/>
  </r>
  <r>
    <x v="35"/>
    <x v="35"/>
    <n v="8"/>
    <n v="0.9"/>
    <n v="7.2"/>
  </r>
  <r>
    <x v="36"/>
    <x v="36"/>
    <n v="2"/>
    <n v="0.9"/>
    <n v="1.8"/>
  </r>
  <r>
    <x v="37"/>
    <x v="37"/>
    <n v="12"/>
    <n v="0.12125000000000001"/>
    <n v="1.4550000000000001"/>
  </r>
  <r>
    <x v="38"/>
    <x v="38"/>
    <n v="12"/>
    <n v="0.12125000000000001"/>
    <n v="1.4550000000000001"/>
  </r>
  <r>
    <x v="39"/>
    <x v="39"/>
    <n v="5"/>
    <n v="100"/>
    <n v="500"/>
  </r>
  <r>
    <x v="40"/>
    <x v="40"/>
    <n v="5"/>
    <n v="0.52916666666666667"/>
    <n v="2.6458333333333335"/>
  </r>
  <r>
    <x v="41"/>
    <x v="41"/>
    <n v="6"/>
    <n v="0.36249999999999999"/>
    <n v="2.1749999999999998"/>
  </r>
  <r>
    <x v="42"/>
    <x v="42"/>
    <n v="12"/>
    <n v="0.36249999999999999"/>
    <n v="4.3499999999999996"/>
  </r>
  <r>
    <x v="43"/>
    <x v="43"/>
    <n v="2"/>
    <n v="1.4950000000000001"/>
    <n v="2.99"/>
  </r>
  <r>
    <x v="44"/>
    <x v="44"/>
    <n v="6"/>
    <n v="0.44083333333333335"/>
    <n v="2.645"/>
  </r>
  <r>
    <x v="45"/>
    <x v="45"/>
    <n v="11"/>
    <n v="0.57333333333333336"/>
    <n v="6.3066666666666666"/>
  </r>
  <r>
    <x v="46"/>
    <x v="46"/>
    <n v="4"/>
    <n v="0.57333333333333336"/>
    <n v="2.2933333333333334"/>
  </r>
  <r>
    <x v="47"/>
    <x v="47"/>
    <n v="10"/>
    <n v="0.57333333333333336"/>
    <n v="5.7333333333333334"/>
  </r>
  <r>
    <x v="48"/>
    <x v="48"/>
    <n v="19"/>
    <n v="0.22041666666666668"/>
    <n v="4.1879166666666672"/>
  </r>
  <r>
    <x v="49"/>
    <x v="49"/>
    <n v="6"/>
    <n v="0.22041666666666668"/>
    <n v="1.3225"/>
  </r>
  <r>
    <x v="50"/>
    <x v="50"/>
    <n v="83"/>
    <n v="0.22041666666666668"/>
    <n v="18.294583333333335"/>
  </r>
  <r>
    <x v="51"/>
    <x v="51"/>
    <n v="3"/>
    <n v="0.22041666666666668"/>
    <n v="0.66125"/>
  </r>
  <r>
    <x v="52"/>
    <x v="52"/>
    <n v="12"/>
    <n v="0.44083333333333335"/>
    <n v="5.29"/>
  </r>
  <r>
    <x v="53"/>
    <x v="53"/>
    <n v="18"/>
    <n v="0.79375000000000007"/>
    <n v="14.287500000000001"/>
  </r>
  <r>
    <x v="54"/>
    <x v="54"/>
    <n v="24"/>
    <n v="0.5"/>
    <n v="12"/>
  </r>
  <r>
    <x v="55"/>
    <x v="55"/>
    <n v="12"/>
    <n v="1.6600000000000001"/>
    <n v="19.920000000000002"/>
  </r>
  <r>
    <x v="56"/>
    <x v="56"/>
    <n v="12"/>
    <n v="8.3333333333333329E-2"/>
    <n v="1"/>
  </r>
  <r>
    <x v="57"/>
    <x v="57"/>
    <n v="42"/>
    <n v="0.25"/>
    <n v="10.5"/>
  </r>
  <r>
    <x v="58"/>
    <x v="58"/>
    <n v="23"/>
    <n v="0.8833333333333333"/>
    <n v="20.316666666666666"/>
  </r>
  <r>
    <x v="59"/>
    <x v="59"/>
    <n v="8"/>
    <n v="0.87035714285714294"/>
    <n v="6.9628571428571435"/>
  </r>
  <r>
    <x v="60"/>
    <x v="60"/>
    <n v="8"/>
    <n v="0.87035714285714294"/>
    <n v="6.9628571428571435"/>
  </r>
  <r>
    <x v="61"/>
    <x v="61"/>
    <n v="8"/>
    <n v="0.87035714285714294"/>
    <n v="6.9628571428571435"/>
  </r>
  <r>
    <x v="62"/>
    <x v="62"/>
    <n v="6"/>
    <n v="0.88178571428571428"/>
    <n v="5.2907142857142855"/>
  </r>
  <r>
    <x v="63"/>
    <x v="63"/>
    <n v="8"/>
    <n v="0.88178571428571428"/>
    <n v="7.0542857142857143"/>
  </r>
  <r>
    <x v="64"/>
    <x v="64"/>
    <n v="6"/>
    <n v="0.88107142857142862"/>
    <n v="5.2864285714285719"/>
  </r>
  <r>
    <x v="65"/>
    <x v="65"/>
    <n v="4"/>
    <n v="0.82750000000000001"/>
    <n v="3.31"/>
  </r>
  <r>
    <x v="66"/>
    <x v="66"/>
    <n v="4"/>
    <n v="0.82750000000000001"/>
    <n v="3.31"/>
  </r>
  <r>
    <x v="67"/>
    <x v="67"/>
    <n v="4"/>
    <n v="0.82750000000000001"/>
    <n v="3.31"/>
  </r>
  <r>
    <x v="68"/>
    <x v="68"/>
    <n v="3"/>
    <n v="0.15"/>
    <n v="0.44999999999999996"/>
  </r>
  <r>
    <x v="69"/>
    <x v="69"/>
    <n v="12"/>
    <n v="1.3216666666666665"/>
    <n v="15.86"/>
  </r>
  <r>
    <x v="70"/>
    <x v="70"/>
    <n v="3"/>
    <n v="4.1666666666666664E-2"/>
    <n v="0.125"/>
  </r>
  <r>
    <x v="71"/>
    <x v="71"/>
    <n v="1"/>
    <n v="3"/>
    <n v="3"/>
  </r>
  <r>
    <x v="72"/>
    <x v="72"/>
    <n v="1"/>
    <n v="0.22"/>
    <n v="0.22"/>
  </r>
  <r>
    <x v="73"/>
    <x v="73"/>
    <n v="3"/>
    <n v="0.1"/>
    <n v="0.30000000000000004"/>
  </r>
  <r>
    <x v="74"/>
    <x v="74"/>
    <n v="9"/>
    <n v="0.70833333333333337"/>
    <n v="6.375"/>
  </r>
  <r>
    <x v="75"/>
    <x v="75"/>
    <n v="1"/>
    <n v="0.34375"/>
    <n v="0.34375"/>
  </r>
  <r>
    <x v="76"/>
    <x v="76"/>
    <n v="8"/>
    <n v="1.1008333333333333"/>
    <n v="8.8066666666666666"/>
  </r>
  <r>
    <x v="77"/>
    <x v="77"/>
    <n v="12"/>
    <n v="1.1016666666666668"/>
    <n v="13.220000000000002"/>
  </r>
  <r>
    <x v="78"/>
    <x v="78"/>
    <n v="24"/>
    <n v="1.1016666666666668"/>
    <n v="26.440000000000005"/>
  </r>
  <r>
    <x v="79"/>
    <x v="79"/>
    <n v="22"/>
    <n v="3.1091666666666669"/>
    <n v="68.401666666666671"/>
  </r>
  <r>
    <x v="80"/>
    <x v="80"/>
    <n v="537"/>
    <n v="0.44166666666666665"/>
    <n v="237.17499999999998"/>
  </r>
  <r>
    <x v="81"/>
    <x v="81"/>
    <n v="846"/>
    <n v="0.44166666666666665"/>
    <n v="373.65"/>
  </r>
  <r>
    <x v="82"/>
    <x v="82"/>
    <n v="12"/>
    <n v="0.55208333333333337"/>
    <n v="6.625"/>
  </r>
  <r>
    <x v="83"/>
    <x v="83"/>
    <n v="12"/>
    <n v="0.55208333333333337"/>
    <n v="6.625"/>
  </r>
  <r>
    <x v="84"/>
    <x v="84"/>
    <n v="66"/>
    <n v="0.5"/>
    <n v="33"/>
  </r>
  <r>
    <x v="85"/>
    <x v="85"/>
    <n v="30"/>
    <n v="0.875"/>
    <n v="26.25"/>
  </r>
  <r>
    <x v="86"/>
    <x v="86"/>
    <n v="6"/>
    <n v="0.82708333333333339"/>
    <n v="4.9625000000000004"/>
  </r>
  <r>
    <x v="87"/>
    <x v="87"/>
    <n v="1"/>
    <n v="1.7125000000000001"/>
    <n v="1.7125000000000001"/>
  </r>
  <r>
    <x v="88"/>
    <x v="88"/>
    <n v="24"/>
    <n v="2.2083333333333335"/>
    <n v="53"/>
  </r>
  <r>
    <x v="89"/>
    <x v="89"/>
    <n v="720"/>
    <n v="0.72916666666666663"/>
    <n v="525"/>
  </r>
  <r>
    <x v="90"/>
    <x v="90"/>
    <n v="42"/>
    <n v="1.75"/>
    <n v="73.5"/>
  </r>
  <r>
    <x v="91"/>
    <x v="91"/>
    <n v="36"/>
    <n v="0.72916666666666663"/>
    <n v="26.25"/>
  </r>
  <r>
    <x v="92"/>
    <x v="92"/>
    <n v="6"/>
    <n v="0.5"/>
    <n v="3"/>
  </r>
  <r>
    <x v="93"/>
    <x v="93"/>
    <n v="6"/>
    <n v="5.5"/>
    <n v="33"/>
  </r>
  <r>
    <x v="94"/>
    <x v="94"/>
    <n v="6"/>
    <n v="5.5"/>
    <n v="33"/>
  </r>
  <r>
    <x v="95"/>
    <x v="95"/>
    <n v="547"/>
    <n v="0.33958333333333335"/>
    <n v="185.75208333333333"/>
  </r>
  <r>
    <x v="96"/>
    <x v="96"/>
    <n v="41"/>
    <n v="0.25"/>
    <n v="10.25"/>
  </r>
  <r>
    <x v="97"/>
    <x v="97"/>
    <n v="30"/>
    <n v="1.8125"/>
    <n v="54.375"/>
  </r>
  <r>
    <x v="98"/>
    <x v="98"/>
    <n v="42"/>
    <n v="0.65625"/>
    <n v="27.5625"/>
  </r>
  <r>
    <x v="99"/>
    <x v="99"/>
    <n v="254"/>
    <n v="0.34375"/>
    <n v="87.3125"/>
  </r>
  <r>
    <x v="100"/>
    <x v="100"/>
    <n v="6"/>
    <n v="0.375"/>
    <n v="2.25"/>
  </r>
  <r>
    <x v="101"/>
    <x v="101"/>
    <n v="24"/>
    <n v="0.25"/>
    <n v="6"/>
  </r>
  <r>
    <x v="102"/>
    <x v="102"/>
    <n v="40"/>
    <n v="0.9375"/>
    <n v="37.5"/>
  </r>
  <r>
    <x v="103"/>
    <x v="103"/>
    <n v="2"/>
    <n v="8.8888888888888892E-2"/>
    <n v="0.17777777777777778"/>
  </r>
  <r>
    <x v="104"/>
    <x v="104"/>
    <n v="2"/>
    <n v="2.65"/>
    <n v="5.3"/>
  </r>
  <r>
    <x v="105"/>
    <x v="105"/>
    <n v="1"/>
    <n v="2.65"/>
    <n v="2.65"/>
  </r>
  <r>
    <x v="106"/>
    <x v="106"/>
    <n v="1"/>
    <n v="2.1166666666666667"/>
    <n v="2.1166666666666667"/>
  </r>
  <r>
    <x v="107"/>
    <x v="107"/>
    <n v="1"/>
    <n v="2.1166666666666667"/>
    <n v="2.1166666666666667"/>
  </r>
  <r>
    <x v="108"/>
    <x v="108"/>
    <n v="4"/>
    <n v="2.1166666666666667"/>
    <n v="8.4666666666666668"/>
  </r>
  <r>
    <x v="109"/>
    <x v="109"/>
    <n v="1"/>
    <n v="2.1166666666666667"/>
    <n v="2.1166666666666667"/>
  </r>
  <r>
    <x v="110"/>
    <x v="110"/>
    <n v="20"/>
    <n v="0.88249999999999995"/>
    <n v="17.649999999999999"/>
  </r>
  <r>
    <x v="111"/>
    <x v="111"/>
    <n v="1"/>
    <n v="2.1166666666666667"/>
    <n v="2.1166666666666667"/>
  </r>
  <r>
    <x v="112"/>
    <x v="112"/>
    <n v="2"/>
    <n v="0.5"/>
    <n v="1"/>
  </r>
  <r>
    <x v="113"/>
    <x v="113"/>
    <n v="1"/>
    <n v="2.1166666666666667"/>
    <n v="2.1166666666666667"/>
  </r>
  <r>
    <x v="114"/>
    <x v="114"/>
    <n v="24"/>
    <n v="0.11"/>
    <n v="2.64"/>
  </r>
  <r>
    <x v="115"/>
    <x v="115"/>
    <n v="21"/>
    <n v="0.47499999999999998"/>
    <n v="9.9749999999999996"/>
  </r>
  <r>
    <x v="116"/>
    <x v="116"/>
    <n v="1"/>
    <n v="0.35625000000000001"/>
    <n v="0.35625000000000001"/>
  </r>
  <r>
    <x v="117"/>
    <x v="117"/>
    <n v="4"/>
    <n v="1.1041666666666667"/>
    <n v="4.416666666666667"/>
  </r>
  <r>
    <x v="118"/>
    <x v="118"/>
    <n v="18"/>
    <n v="1.1041666666666667"/>
    <n v="19.875"/>
  </r>
  <r>
    <x v="119"/>
    <x v="119"/>
    <n v="12"/>
    <n v="1.1041666666666667"/>
    <n v="13.25"/>
  </r>
  <r>
    <x v="120"/>
    <x v="120"/>
    <n v="18"/>
    <n v="1.1041666666666667"/>
    <n v="19.875"/>
  </r>
  <r>
    <x v="121"/>
    <x v="121"/>
    <n v="9"/>
    <n v="0.6"/>
    <n v="5.3999999999999995"/>
  </r>
  <r>
    <x v="122"/>
    <x v="122"/>
    <n v="4"/>
    <n v="0.6"/>
    <n v="2.4"/>
  </r>
  <r>
    <x v="123"/>
    <x v="123"/>
    <n v="2"/>
    <n v="0.6"/>
    <n v="1.2"/>
  </r>
  <r>
    <x v="124"/>
    <x v="124"/>
    <n v="2"/>
    <n v="0.6"/>
    <n v="1.2"/>
  </r>
  <r>
    <x v="125"/>
    <x v="125"/>
    <n v="7"/>
    <n v="0.6"/>
    <n v="4.2"/>
  </r>
  <r>
    <x v="126"/>
    <x v="126"/>
    <n v="2"/>
    <n v="0.6"/>
    <n v="1.2"/>
  </r>
  <r>
    <x v="127"/>
    <x v="127"/>
    <n v="5"/>
    <n v="0.6"/>
    <n v="3"/>
  </r>
  <r>
    <x v="128"/>
    <x v="128"/>
    <n v="2"/>
    <n v="0.6"/>
    <n v="1.2"/>
  </r>
  <r>
    <x v="129"/>
    <x v="129"/>
    <n v="7"/>
    <n v="0.6"/>
    <n v="4.2"/>
  </r>
  <r>
    <x v="130"/>
    <x v="130"/>
    <n v="5"/>
    <n v="0.6"/>
    <n v="3"/>
  </r>
  <r>
    <x v="131"/>
    <x v="131"/>
    <n v="2"/>
    <n v="0.9277777777777777"/>
    <n v="1.8555555555555554"/>
  </r>
  <r>
    <x v="132"/>
    <x v="132"/>
    <n v="1"/>
    <n v="0.9277777777777777"/>
    <n v="0.9277777777777777"/>
  </r>
  <r>
    <x v="133"/>
    <x v="133"/>
    <n v="1"/>
    <n v="0.9277777777777777"/>
    <n v="0.9277777777777777"/>
  </r>
  <r>
    <x v="134"/>
    <x v="134"/>
    <n v="1"/>
    <n v="0.9277777777777777"/>
    <n v="0.9277777777777777"/>
  </r>
  <r>
    <x v="135"/>
    <x v="135"/>
    <n v="4"/>
    <n v="0.356875"/>
    <n v="1.4275"/>
  </r>
  <r>
    <x v="136"/>
    <x v="136"/>
    <n v="48"/>
    <n v="1.1008333333333333"/>
    <n v="52.84"/>
  </r>
  <r>
    <x v="137"/>
    <x v="137"/>
    <n v="3"/>
    <n v="0.71375"/>
    <n v="2.1412499999999999"/>
  </r>
  <r>
    <x v="138"/>
    <x v="138"/>
    <n v="1"/>
    <n v="0.62"/>
    <n v="0.62"/>
  </r>
  <r>
    <x v="139"/>
    <x v="139"/>
    <n v="6"/>
    <n v="1.1025"/>
    <n v="6.6150000000000002"/>
  </r>
  <r>
    <x v="140"/>
    <x v="140"/>
    <n v="25"/>
    <n v="0.88"/>
    <n v="2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x v="0"/>
    <n v="28"/>
    <n v="0.88200000000000001"/>
    <n v="24.696000000000002"/>
  </r>
  <r>
    <x v="1"/>
    <x v="1"/>
    <n v="25"/>
    <n v="0.88200000000000001"/>
    <n v="22.05"/>
  </r>
  <r>
    <x v="2"/>
    <x v="2"/>
    <n v="1"/>
    <n v="0.25"/>
    <n v="0.25"/>
  </r>
  <r>
    <x v="3"/>
    <x v="3"/>
    <n v="1"/>
    <n v="1.5449999999999999"/>
    <n v="1.5449999999999999"/>
  </r>
  <r>
    <x v="4"/>
    <x v="4"/>
    <n v="170"/>
    <n v="0.03"/>
    <n v="5.0999999999999996"/>
  </r>
  <r>
    <x v="5"/>
    <x v="5"/>
    <n v="4"/>
    <n v="0.8"/>
    <n v="3.2"/>
  </r>
  <r>
    <x v="6"/>
    <x v="6"/>
    <n v="9"/>
    <n v="2.48"/>
    <n v="22.32"/>
  </r>
  <r>
    <x v="7"/>
    <x v="7"/>
    <n v="10"/>
    <n v="2.48"/>
    <n v="24.8"/>
  </r>
  <r>
    <x v="8"/>
    <x v="8"/>
    <n v="4"/>
    <n v="2.48"/>
    <n v="9.92"/>
  </r>
  <r>
    <x v="9"/>
    <x v="9"/>
    <n v="4"/>
    <n v="2.48"/>
    <n v="9.92"/>
  </r>
  <r>
    <x v="10"/>
    <x v="10"/>
    <n v="14"/>
    <n v="0.82750000000000001"/>
    <n v="11.585000000000001"/>
  </r>
  <r>
    <x v="11"/>
    <x v="11"/>
    <n v="6"/>
    <n v="2.65"/>
    <n v="15.899999999999999"/>
  </r>
  <r>
    <x v="12"/>
    <x v="12"/>
    <n v="6"/>
    <n v="2.65"/>
    <n v="15.899999999999999"/>
  </r>
  <r>
    <x v="13"/>
    <x v="13"/>
    <n v="12"/>
    <n v="2.65"/>
    <n v="31.799999999999997"/>
  </r>
  <r>
    <x v="14"/>
    <x v="14"/>
    <n v="3"/>
    <n v="2.65"/>
    <n v="7.9499999999999993"/>
  </r>
  <r>
    <x v="15"/>
    <x v="15"/>
    <n v="3"/>
    <n v="2.65"/>
    <n v="7.9499999999999993"/>
  </r>
  <r>
    <x v="16"/>
    <x v="16"/>
    <n v="8"/>
    <n v="2.65"/>
    <n v="21.2"/>
  </r>
  <r>
    <x v="17"/>
    <x v="17"/>
    <n v="8"/>
    <n v="2.65"/>
    <n v="21.2"/>
  </r>
  <r>
    <x v="18"/>
    <x v="18"/>
    <n v="12"/>
    <n v="2.65"/>
    <n v="31.799999999999997"/>
  </r>
  <r>
    <x v="19"/>
    <x v="19"/>
    <n v="12"/>
    <n v="3.3049999999999997"/>
    <n v="39.659999999999997"/>
  </r>
  <r>
    <x v="20"/>
    <x v="20"/>
    <n v="12"/>
    <n v="3.2916666666666665"/>
    <n v="39.5"/>
  </r>
  <r>
    <x v="21"/>
    <x v="21"/>
    <n v="13"/>
    <n v="0.23805555555555558"/>
    <n v="3.0947222222222224"/>
  </r>
  <r>
    <x v="22"/>
    <x v="22"/>
    <n v="6"/>
    <n v="0.32"/>
    <n v="1.92"/>
  </r>
  <r>
    <x v="23"/>
    <x v="23"/>
    <n v="24"/>
    <n v="0.75"/>
    <n v="18"/>
  </r>
  <r>
    <x v="24"/>
    <x v="24"/>
    <n v="16"/>
    <n v="1.76"/>
    <n v="28.16"/>
  </r>
  <r>
    <x v="25"/>
    <x v="25"/>
    <n v="37"/>
    <n v="0.77200000000000002"/>
    <n v="28.564"/>
  </r>
  <r>
    <x v="26"/>
    <x v="26"/>
    <n v="37"/>
    <n v="0.77200000000000002"/>
    <n v="28.564"/>
  </r>
  <r>
    <x v="27"/>
    <x v="27"/>
    <n v="4"/>
    <n v="0.66249999999999998"/>
    <n v="2.65"/>
  </r>
  <r>
    <x v="28"/>
    <x v="28"/>
    <n v="22"/>
    <n v="0.19843750000000002"/>
    <n v="4.3656250000000005"/>
  </r>
  <r>
    <x v="29"/>
    <x v="29"/>
    <n v="4"/>
    <n v="0.9"/>
    <n v="3.6"/>
  </r>
  <r>
    <x v="30"/>
    <x v="30"/>
    <n v="1"/>
    <n v="0.88437500000000002"/>
    <n v="0.88437500000000002"/>
  </r>
  <r>
    <x v="31"/>
    <x v="31"/>
    <n v="22"/>
    <n v="0.9"/>
    <n v="19.8"/>
  </r>
  <r>
    <x v="32"/>
    <x v="32"/>
    <n v="16"/>
    <n v="0.9"/>
    <n v="14.4"/>
  </r>
  <r>
    <x v="33"/>
    <x v="33"/>
    <n v="7"/>
    <n v="0.9"/>
    <n v="6.3"/>
  </r>
  <r>
    <x v="34"/>
    <x v="34"/>
    <n v="15"/>
    <n v="0.9"/>
    <n v="13.5"/>
  </r>
  <r>
    <x v="35"/>
    <x v="35"/>
    <n v="15"/>
    <n v="0.9"/>
    <n v="13.5"/>
  </r>
  <r>
    <x v="36"/>
    <x v="36"/>
    <n v="4"/>
    <n v="0.9"/>
    <n v="3.6"/>
  </r>
  <r>
    <x v="37"/>
    <x v="37"/>
    <n v="16"/>
    <n v="0.9"/>
    <n v="14.4"/>
  </r>
  <r>
    <x v="38"/>
    <x v="38"/>
    <n v="2"/>
    <n v="0.9"/>
    <n v="1.8"/>
  </r>
  <r>
    <x v="39"/>
    <x v="39"/>
    <n v="14"/>
    <n v="0.9"/>
    <n v="12.6"/>
  </r>
  <r>
    <x v="40"/>
    <x v="40"/>
    <n v="2"/>
    <n v="0.9"/>
    <n v="1.8"/>
  </r>
  <r>
    <x v="41"/>
    <x v="41"/>
    <n v="10"/>
    <n v="0.12125000000000001"/>
    <n v="1.2125000000000001"/>
  </r>
  <r>
    <x v="42"/>
    <x v="42"/>
    <n v="10"/>
    <n v="0.12125000000000001"/>
    <n v="1.2125000000000001"/>
  </r>
  <r>
    <x v="43"/>
    <x v="43"/>
    <n v="1"/>
    <n v="100"/>
    <n v="100"/>
  </r>
  <r>
    <x v="44"/>
    <x v="44"/>
    <n v="20"/>
    <n v="0.92524999999999991"/>
    <n v="18.504999999999999"/>
  </r>
  <r>
    <x v="45"/>
    <x v="45"/>
    <n v="20"/>
    <n v="0.92524999999999991"/>
    <n v="18.504999999999999"/>
  </r>
  <r>
    <x v="46"/>
    <x v="46"/>
    <n v="40"/>
    <n v="0.52916666666666667"/>
    <n v="21.166666666666668"/>
  </r>
  <r>
    <x v="47"/>
    <x v="47"/>
    <n v="10"/>
    <n v="0.52916666666666667"/>
    <n v="5.291666666666667"/>
  </r>
  <r>
    <x v="48"/>
    <x v="48"/>
    <n v="29"/>
    <n v="0.52916666666666667"/>
    <n v="15.345833333333333"/>
  </r>
  <r>
    <x v="49"/>
    <x v="49"/>
    <n v="3"/>
    <n v="0.47599999999999998"/>
    <n v="1.4279999999999999"/>
  </r>
  <r>
    <x v="50"/>
    <x v="50"/>
    <n v="3"/>
    <n v="0.47599999999999998"/>
    <n v="1.4279999999999999"/>
  </r>
  <r>
    <x v="51"/>
    <x v="51"/>
    <n v="7"/>
    <n v="0.77159999999999995"/>
    <n v="5.4011999999999993"/>
  </r>
  <r>
    <x v="52"/>
    <x v="52"/>
    <n v="12"/>
    <n v="8.3333333333333329E-2"/>
    <n v="1"/>
  </r>
  <r>
    <x v="53"/>
    <x v="53"/>
    <n v="59"/>
    <n v="0.25"/>
    <n v="14.75"/>
  </r>
  <r>
    <x v="54"/>
    <x v="54"/>
    <n v="2"/>
    <n v="0.8833333333333333"/>
    <n v="1.7666666666666666"/>
  </r>
  <r>
    <x v="55"/>
    <x v="55"/>
    <n v="15"/>
    <n v="0.87035714285714294"/>
    <n v="13.055357142857144"/>
  </r>
  <r>
    <x v="56"/>
    <x v="56"/>
    <n v="21"/>
    <n v="0.87035714285714294"/>
    <n v="18.277500000000003"/>
  </r>
  <r>
    <x v="57"/>
    <x v="57"/>
    <n v="9"/>
    <n v="0.87035714285714294"/>
    <n v="7.8332142857142868"/>
  </r>
  <r>
    <x v="58"/>
    <x v="58"/>
    <n v="1"/>
    <n v="0.88178571428571428"/>
    <n v="0.88178571428571428"/>
  </r>
  <r>
    <x v="59"/>
    <x v="59"/>
    <n v="19"/>
    <n v="0.88107142857142862"/>
    <n v="16.740357142857142"/>
  </r>
  <r>
    <x v="60"/>
    <x v="60"/>
    <n v="5"/>
    <n v="0.95321428571428579"/>
    <n v="4.7660714285714292"/>
  </r>
  <r>
    <x v="61"/>
    <x v="61"/>
    <n v="2"/>
    <n v="0.70833333333333337"/>
    <n v="1.4166666666666667"/>
  </r>
  <r>
    <x v="62"/>
    <x v="62"/>
    <n v="2123"/>
    <n v="0.44166666666666665"/>
    <n v="937.6583333333333"/>
  </r>
  <r>
    <x v="63"/>
    <x v="63"/>
    <n v="2424"/>
    <n v="0.44166666666666665"/>
    <n v="1070.5999999999999"/>
  </r>
  <r>
    <x v="64"/>
    <x v="64"/>
    <n v="39"/>
    <n v="0.11493055555555556"/>
    <n v="4.4822916666666668"/>
  </r>
  <r>
    <x v="65"/>
    <x v="65"/>
    <n v="25"/>
    <n v="0.44166666666666665"/>
    <n v="11.041666666666666"/>
  </r>
  <r>
    <x v="66"/>
    <x v="66"/>
    <n v="6"/>
    <n v="4"/>
    <n v="24"/>
  </r>
  <r>
    <x v="67"/>
    <x v="67"/>
    <n v="48"/>
    <n v="0.5"/>
    <n v="24"/>
  </r>
  <r>
    <x v="68"/>
    <x v="68"/>
    <n v="2"/>
    <n v="1.7125000000000001"/>
    <n v="3.4250000000000003"/>
  </r>
  <r>
    <x v="69"/>
    <x v="69"/>
    <n v="18"/>
    <n v="2.2083333333333335"/>
    <n v="39.75"/>
  </r>
  <r>
    <x v="70"/>
    <x v="70"/>
    <n v="1938"/>
    <n v="0.72916666666666663"/>
    <n v="1413.125"/>
  </r>
  <r>
    <x v="71"/>
    <x v="71"/>
    <n v="21"/>
    <n v="1.75"/>
    <n v="36.75"/>
  </r>
  <r>
    <x v="72"/>
    <x v="72"/>
    <n v="12"/>
    <n v="2.2083333333333335"/>
    <n v="26.5"/>
  </r>
  <r>
    <x v="73"/>
    <x v="73"/>
    <n v="54"/>
    <n v="0.72916666666666663"/>
    <n v="39.375"/>
  </r>
  <r>
    <x v="74"/>
    <x v="74"/>
    <n v="6"/>
    <n v="0.72916666666666663"/>
    <n v="4.375"/>
  </r>
  <r>
    <x v="75"/>
    <x v="75"/>
    <n v="60"/>
    <n v="0.72916666666666663"/>
    <n v="43.75"/>
  </r>
  <r>
    <x v="76"/>
    <x v="76"/>
    <n v="72"/>
    <n v="0.72916666666666663"/>
    <n v="52.5"/>
  </r>
  <r>
    <x v="77"/>
    <x v="77"/>
    <n v="42"/>
    <n v="0.72916666666666663"/>
    <n v="30.625"/>
  </r>
  <r>
    <x v="78"/>
    <x v="78"/>
    <n v="6"/>
    <n v="0.72916666666666663"/>
    <n v="4.375"/>
  </r>
  <r>
    <x v="79"/>
    <x v="79"/>
    <n v="24"/>
    <n v="0.72916666666666663"/>
    <n v="17.5"/>
  </r>
  <r>
    <x v="80"/>
    <x v="80"/>
    <n v="1339"/>
    <n v="0.33958333333333335"/>
    <n v="454.70208333333335"/>
  </r>
  <r>
    <x v="81"/>
    <x v="81"/>
    <n v="24"/>
    <n v="0.25"/>
    <n v="6"/>
  </r>
  <r>
    <x v="82"/>
    <x v="82"/>
    <n v="18"/>
    <n v="0.65625"/>
    <n v="11.8125"/>
  </r>
  <r>
    <x v="83"/>
    <x v="83"/>
    <n v="97"/>
    <n v="0.34375"/>
    <n v="33.34375"/>
  </r>
  <r>
    <x v="84"/>
    <x v="84"/>
    <n v="6"/>
    <n v="0.72916666666666663"/>
    <n v="4.375"/>
  </r>
  <r>
    <x v="85"/>
    <x v="85"/>
    <n v="18"/>
    <n v="0.72916666666666663"/>
    <n v="13.125"/>
  </r>
  <r>
    <x v="86"/>
    <x v="86"/>
    <n v="54"/>
    <n v="0.9375"/>
    <n v="50.625"/>
  </r>
  <r>
    <x v="87"/>
    <x v="87"/>
    <n v="4"/>
    <n v="0.35625000000000001"/>
    <n v="1.425"/>
  </r>
  <r>
    <x v="88"/>
    <x v="88"/>
    <n v="1"/>
    <n v="1.3125"/>
    <n v="1.3125"/>
  </r>
  <r>
    <x v="89"/>
    <x v="89"/>
    <n v="2"/>
    <n v="0.37040000000000001"/>
    <n v="0.74080000000000001"/>
  </r>
  <r>
    <x v="90"/>
    <x v="90"/>
    <n v="1"/>
    <n v="0.6"/>
    <n v="0.6"/>
  </r>
  <r>
    <x v="91"/>
    <x v="91"/>
    <n v="6"/>
    <n v="0.356875"/>
    <n v="2.1412499999999999"/>
  </r>
  <r>
    <x v="92"/>
    <x v="92"/>
    <n v="1"/>
    <n v="0.71375"/>
    <n v="0.71375"/>
  </r>
  <r>
    <x v="93"/>
    <x v="93"/>
    <n v="1"/>
    <n v="0.62"/>
    <n v="0.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AE26B9-79C6-4491-9397-1A473D1092F5}" name="TABLARUTAS" cacheId="396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33">
  <location ref="D43:D44" firstHeaderRow="1" firstDataRow="1" firstDataCol="0"/>
  <pivotFields count="3">
    <pivotField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2" showAll="0"/>
    <pivotField dataField="1" numFmtId="2" showAll="0"/>
  </pivotFields>
  <rowItems count="1">
    <i/>
  </rowItems>
  <colItems count="1">
    <i/>
  </colItems>
  <dataFields count="1">
    <dataField name="Suma de PESO QUINTALES" fld="2" baseField="0" baseItem="0"/>
  </dataFields>
  <formats count="3"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outline="0" axis="axisValues" fieldPosition="0"/>
    </format>
  </formats>
  <chartFormats count="4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45AE24-FF23-470A-B432-6F6123B4FEBF}" name="DBMAYORISTAA" cacheId="38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37" firstHeaderRow="0" firstDataRow="1" firstDataCol="2"/>
  <pivotFields count="5">
    <pivotField axis="axisRow" compact="0" outline="0" showAll="0" defaultSubtotal="0">
      <items count="481">
        <item x="11"/>
        <item x="10"/>
        <item x="1"/>
        <item x="2"/>
        <item m="1" x="423"/>
        <item m="1" x="385"/>
        <item m="1" x="474"/>
        <item m="1" x="252"/>
        <item m="1" x="226"/>
        <item m="1" x="149"/>
        <item m="1" x="362"/>
        <item m="1" x="199"/>
        <item m="1" x="379"/>
        <item m="1" x="447"/>
        <item m="1" x="383"/>
        <item m="1" x="475"/>
        <item m="1" x="225"/>
        <item m="1" x="366"/>
        <item m="1" x="347"/>
        <item m="1" x="289"/>
        <item m="1" x="273"/>
        <item m="1" x="290"/>
        <item x="0"/>
        <item m="1" x="435"/>
        <item m="1" x="443"/>
        <item m="1" x="400"/>
        <item m="1" x="159"/>
        <item m="1" x="172"/>
        <item x="7"/>
        <item m="1" x="195"/>
        <item m="1" x="434"/>
        <item m="1" x="203"/>
        <item m="1" x="178"/>
        <item m="1" x="234"/>
        <item m="1" x="462"/>
        <item m="1" x="176"/>
        <item m="1" x="281"/>
        <item m="1" x="312"/>
        <item x="14"/>
        <item x="15"/>
        <item x="16"/>
        <item m="1" x="315"/>
        <item m="1" x="448"/>
        <item m="1" x="387"/>
        <item m="1" x="137"/>
        <item m="1" x="311"/>
        <item m="1" x="288"/>
        <item m="1" x="271"/>
        <item m="1" x="420"/>
        <item m="1" x="469"/>
        <item m="1" x="187"/>
        <item m="1" x="215"/>
        <item x="21"/>
        <item m="1" x="162"/>
        <item m="1" x="161"/>
        <item m="1" x="163"/>
        <item x="8"/>
        <item m="1" x="348"/>
        <item m="1" x="136"/>
        <item m="1" x="217"/>
        <item x="4"/>
        <item m="1" x="367"/>
        <item x="18"/>
        <item m="1" x="409"/>
        <item m="1" x="352"/>
        <item m="1" x="229"/>
        <item m="1" x="184"/>
        <item x="24"/>
        <item x="19"/>
        <item m="1" x="406"/>
        <item m="1" x="270"/>
        <item m="1" x="369"/>
        <item m="1" x="476"/>
        <item m="1" x="153"/>
        <item m="1" x="416"/>
        <item m="1" x="257"/>
        <item m="1" x="403"/>
        <item m="1" x="408"/>
        <item m="1" x="181"/>
        <item m="1" x="211"/>
        <item x="13"/>
        <item m="1" x="380"/>
        <item m="1" x="308"/>
        <item m="1" x="459"/>
        <item m="1" x="337"/>
        <item m="1" x="202"/>
        <item m="1" x="480"/>
        <item m="1" x="175"/>
        <item m="1" x="148"/>
        <item m="1" x="157"/>
        <item m="1" x="393"/>
        <item m="1" x="402"/>
        <item m="1" x="336"/>
        <item m="1" x="198"/>
        <item x="6"/>
        <item m="1" x="182"/>
        <item m="1" x="319"/>
        <item m="1" x="263"/>
        <item m="1" x="453"/>
        <item m="1" x="164"/>
        <item m="1" x="358"/>
        <item m="1" x="446"/>
        <item m="1" x="152"/>
        <item m="1" x="167"/>
        <item m="1" x="228"/>
        <item m="1" x="190"/>
        <item m="1" x="455"/>
        <item m="1" x="259"/>
        <item m="1" x="253"/>
        <item m="1" x="341"/>
        <item m="1" x="200"/>
        <item m="1" x="258"/>
        <item x="3"/>
        <item m="1" x="449"/>
        <item m="1" x="265"/>
        <item m="1" x="266"/>
        <item m="1" x="421"/>
        <item m="1" x="391"/>
        <item m="1" x="439"/>
        <item m="1" x="329"/>
        <item m="1" x="272"/>
        <item m="1" x="287"/>
        <item m="1" x="295"/>
        <item m="1" x="168"/>
        <item m="1" x="261"/>
        <item x="17"/>
        <item m="1" x="292"/>
        <item x="25"/>
        <item m="1" x="214"/>
        <item m="1" x="264"/>
        <item m="1" x="296"/>
        <item m="1" x="237"/>
        <item m="1" x="189"/>
        <item m="1" x="145"/>
        <item x="20"/>
        <item x="22"/>
        <item x="23"/>
        <item m="1" x="373"/>
        <item m="1" x="332"/>
        <item m="1" x="360"/>
        <item m="1" x="267"/>
        <item m="1" x="401"/>
        <item m="1" x="405"/>
        <item m="1" x="339"/>
        <item m="1" x="467"/>
        <item m="1" x="361"/>
        <item m="1" x="326"/>
        <item m="1" x="299"/>
        <item m="1" x="154"/>
        <item m="1" x="363"/>
        <item m="1" x="239"/>
        <item m="1" x="142"/>
        <item m="1" x="404"/>
        <item m="1" x="428"/>
        <item m="1" x="438"/>
        <item m="1" x="138"/>
        <item m="1" x="160"/>
        <item m="1" x="183"/>
        <item m="1" x="212"/>
        <item m="1" x="173"/>
        <item m="1" x="155"/>
        <item m="1" x="158"/>
        <item m="1" x="302"/>
        <item m="1" x="386"/>
        <item m="1" x="204"/>
        <item m="1" x="365"/>
        <item m="1" x="291"/>
        <item m="1" x="350"/>
        <item m="1" x="355"/>
        <item m="1" x="424"/>
        <item m="1" x="193"/>
        <item m="1" x="412"/>
        <item m="1" x="427"/>
        <item m="1" x="170"/>
        <item m="1" x="192"/>
        <item m="1" x="231"/>
        <item m="1" x="169"/>
        <item m="1" x="241"/>
        <item m="1" x="384"/>
        <item m="1" x="396"/>
        <item m="1" x="344"/>
        <item m="1" x="429"/>
        <item m="1" x="376"/>
        <item m="1" x="334"/>
        <item m="1" x="394"/>
        <item m="1" x="473"/>
        <item m="1" x="310"/>
        <item m="1" x="372"/>
        <item m="1" x="444"/>
        <item m="1" x="465"/>
        <item x="31"/>
        <item m="1" x="180"/>
        <item m="1" x="397"/>
        <item m="1" x="398"/>
        <item m="1" x="389"/>
        <item m="1" x="451"/>
        <item m="1" x="260"/>
        <item m="1" x="430"/>
        <item m="1" x="249"/>
        <item m="1" x="221"/>
        <item m="1" x="262"/>
        <item m="1" x="205"/>
        <item m="1" x="147"/>
        <item m="1" x="351"/>
        <item m="1" x="425"/>
        <item m="1" x="280"/>
        <item m="1" x="432"/>
        <item m="1" x="382"/>
        <item m="1" x="251"/>
        <item x="27"/>
        <item m="1" x="254"/>
        <item m="1" x="220"/>
        <item m="1" x="478"/>
        <item m="1" x="305"/>
        <item m="1" x="143"/>
        <item m="1" x="248"/>
        <item m="1" x="150"/>
        <item m="1" x="313"/>
        <item m="1" x="307"/>
        <item m="1" x="330"/>
        <item m="1" x="320"/>
        <item m="1" x="414"/>
        <item m="1" x="415"/>
        <item m="1" x="139"/>
        <item m="1" x="479"/>
        <item m="1" x="227"/>
        <item m="1" x="390"/>
        <item m="1" x="411"/>
        <item m="1" x="335"/>
        <item m="1" x="196"/>
        <item m="1" x="353"/>
        <item m="1" x="354"/>
        <item m="1" x="410"/>
        <item m="1" x="371"/>
        <item m="1" x="440"/>
        <item m="1" x="357"/>
        <item m="1" x="466"/>
        <item m="1" x="445"/>
        <item x="5"/>
        <item m="1" x="343"/>
        <item m="1" x="342"/>
        <item m="1" x="395"/>
        <item m="1" x="457"/>
        <item m="1" x="422"/>
        <item m="1" x="327"/>
        <item m="1" x="418"/>
        <item m="1" x="392"/>
        <item m="1" x="364"/>
        <item m="1" x="346"/>
        <item m="1" x="452"/>
        <item m="1" x="450"/>
        <item m="1" x="477"/>
        <item m="1" x="301"/>
        <item m="1" x="328"/>
        <item m="1" x="207"/>
        <item x="9"/>
        <item m="1" x="442"/>
        <item m="1" x="359"/>
        <item m="1" x="309"/>
        <item m="1" x="179"/>
        <item m="1" x="314"/>
        <item m="1" x="201"/>
        <item m="1" x="303"/>
        <item m="1" x="256"/>
        <item m="1" x="471"/>
        <item m="1" x="461"/>
        <item m="1" x="325"/>
        <item m="1" x="324"/>
        <item m="1" x="269"/>
        <item m="1" x="454"/>
        <item m="1" x="375"/>
        <item m="1" x="349"/>
        <item m="1" x="388"/>
        <item m="1" x="230"/>
        <item m="1" x="381"/>
        <item m="1" x="276"/>
        <item m="1" x="417"/>
        <item m="1" x="374"/>
        <item m="1" x="426"/>
        <item m="1" x="274"/>
        <item m="1" x="275"/>
        <item m="1" x="277"/>
        <item m="1" x="433"/>
        <item m="1" x="188"/>
        <item m="1" x="333"/>
        <item m="1" x="345"/>
        <item m="1" x="340"/>
        <item m="1" x="306"/>
        <item m="1" x="246"/>
        <item m="1" x="242"/>
        <item m="1" x="321"/>
        <item m="1" x="240"/>
        <item m="1" x="244"/>
        <item m="1" x="144"/>
        <item m="1" x="472"/>
        <item m="1" x="317"/>
        <item m="1" x="370"/>
        <item x="12"/>
        <item m="1" x="464"/>
        <item m="1" x="279"/>
        <item m="1" x="304"/>
        <item m="1" x="460"/>
        <item m="1" x="235"/>
        <item m="1" x="338"/>
        <item m="1" x="463"/>
        <item m="1" x="458"/>
        <item m="1" x="222"/>
        <item m="1" x="174"/>
        <item m="1" x="216"/>
        <item m="1" x="377"/>
        <item m="1" x="356"/>
        <item m="1" x="413"/>
        <item m="1" x="431"/>
        <item m="1" x="151"/>
        <item m="1" x="331"/>
        <item m="1" x="407"/>
        <item m="1" x="165"/>
        <item m="1" x="166"/>
        <item m="1" x="378"/>
        <item m="1" x="218"/>
        <item m="1" x="300"/>
        <item m="1" x="323"/>
        <item m="1" x="436"/>
        <item m="1" x="250"/>
        <item m="1" x="210"/>
        <item m="1" x="224"/>
        <item m="1" x="171"/>
        <item m="1" x="278"/>
        <item m="1" x="243"/>
        <item x="35"/>
        <item m="1" x="399"/>
        <item m="1" x="316"/>
        <item m="1" x="282"/>
        <item x="30"/>
        <item m="1" x="209"/>
        <item x="40"/>
        <item m="1" x="255"/>
        <item m="1" x="245"/>
        <item m="1" x="470"/>
        <item m="1" x="456"/>
        <item m="1" x="298"/>
        <item m="1" x="185"/>
        <item m="1" x="437"/>
        <item x="39"/>
        <item x="36"/>
        <item x="29"/>
        <item m="1" x="322"/>
        <item m="1" x="294"/>
        <item x="26"/>
        <item m="1" x="441"/>
        <item m="1" x="146"/>
        <item x="28"/>
        <item m="1" x="213"/>
        <item m="1" x="468"/>
        <item x="38"/>
        <item m="1" x="368"/>
        <item m="1" x="293"/>
        <item m="1" x="318"/>
        <item m="1" x="297"/>
        <item m="1" x="156"/>
        <item m="1" x="283"/>
        <item m="1" x="284"/>
        <item m="1" x="285"/>
        <item m="1" x="286"/>
        <item m="1" x="223"/>
        <item m="1" x="233"/>
        <item m="1" x="140"/>
        <item m="1" x="194"/>
        <item m="1" x="191"/>
        <item x="34"/>
        <item m="1" x="419"/>
        <item m="1" x="208"/>
        <item m="1" x="232"/>
        <item x="55"/>
        <item m="1" x="141"/>
        <item m="1" x="238"/>
        <item m="1" x="206"/>
        <item m="1" x="197"/>
        <item x="37"/>
        <item m="1" x="236"/>
        <item m="1" x="268"/>
        <item x="44"/>
        <item x="74"/>
        <item x="78"/>
        <item m="1" x="186"/>
        <item m="1" x="247"/>
        <item x="92"/>
        <item x="33"/>
        <item m="1" x="219"/>
        <item x="101"/>
        <item x="108"/>
        <item x="32"/>
        <item x="43"/>
        <item x="56"/>
        <item x="115"/>
        <item x="117"/>
        <item x="119"/>
        <item x="106"/>
        <item x="107"/>
        <item x="41"/>
        <item x="45"/>
        <item x="52"/>
        <item x="112"/>
        <item x="48"/>
        <item x="89"/>
        <item x="118"/>
        <item x="104"/>
        <item x="105"/>
        <item m="1" x="177"/>
        <item x="77"/>
        <item x="109"/>
        <item x="49"/>
        <item x="61"/>
        <item x="97"/>
        <item x="132"/>
        <item x="71"/>
        <item x="46"/>
        <item x="95"/>
        <item x="47"/>
        <item x="79"/>
        <item x="114"/>
        <item x="121"/>
        <item x="122"/>
        <item x="73"/>
        <item x="102"/>
        <item x="50"/>
        <item x="65"/>
        <item x="67"/>
        <item x="70"/>
        <item x="82"/>
        <item x="116"/>
        <item x="120"/>
        <item x="125"/>
        <item x="60"/>
        <item x="66"/>
        <item x="88"/>
        <item x="94"/>
        <item x="100"/>
        <item x="110"/>
        <item x="126"/>
        <item x="127"/>
        <item x="135"/>
        <item x="51"/>
        <item x="54"/>
        <item x="57"/>
        <item x="75"/>
        <item x="76"/>
        <item x="81"/>
        <item x="86"/>
        <item x="98"/>
        <item x="103"/>
        <item x="113"/>
        <item x="124"/>
        <item x="42"/>
        <item x="53"/>
        <item x="58"/>
        <item x="59"/>
        <item x="62"/>
        <item x="63"/>
        <item x="64"/>
        <item x="68"/>
        <item x="69"/>
        <item x="72"/>
        <item x="80"/>
        <item x="83"/>
        <item x="84"/>
        <item x="85"/>
        <item x="87"/>
        <item x="90"/>
        <item x="91"/>
        <item x="93"/>
        <item x="96"/>
        <item x="99"/>
        <item x="111"/>
        <item x="123"/>
        <item x="128"/>
        <item x="129"/>
        <item x="130"/>
        <item x="131"/>
        <item x="133"/>
        <item x="1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lumna2" axis="axisRow" compact="0" outline="0" showAll="0" defaultSubtotal="0">
      <items count="939">
        <item x="10"/>
        <item x="0"/>
        <item x="2"/>
        <item m="1" x="921"/>
        <item m="1" x="683"/>
        <item m="1" x="861"/>
        <item m="1" x="439"/>
        <item m="1" x="389"/>
        <item m="1" x="441"/>
        <item m="1" x="900"/>
        <item m="1" x="349"/>
        <item m="1" x="918"/>
        <item m="1" x="928"/>
        <item m="1" x="681"/>
        <item m="1" x="609"/>
        <item m="1" x="606"/>
        <item m="1" x="853"/>
        <item m="1" x="719"/>
        <item m="1" x="660"/>
        <item m="1" x="453"/>
        <item m="1" x="463"/>
        <item m="1" x="471"/>
        <item m="1" x="465"/>
        <item m="1" x="447"/>
        <item m="1" x="448"/>
        <item m="1" x="456"/>
        <item m="1" x="594"/>
        <item m="1" x="576"/>
        <item m="1" x="810"/>
        <item x="105"/>
        <item x="112"/>
        <item m="1" x="751"/>
        <item m="1" x="873"/>
        <item m="1" x="632"/>
        <item m="1" x="566"/>
        <item x="125"/>
        <item m="1" x="190"/>
        <item m="1" x="264"/>
        <item m="1" x="276"/>
        <item m="1" x="714"/>
        <item m="1" x="932"/>
        <item m="1" x="625"/>
        <item m="1" x="434"/>
        <item x="11"/>
        <item x="1"/>
        <item m="1" x="392"/>
        <item m="1" x="457"/>
        <item m="1" x="460"/>
        <item m="1" x="449"/>
        <item m="1" x="450"/>
        <item m="1" x="451"/>
        <item m="1" x="562"/>
        <item m="1" x="705"/>
        <item m="1" x="398"/>
        <item m="1" x="348"/>
        <item m="1" x="597"/>
        <item m="1" x="813"/>
        <item x="126"/>
        <item m="1" x="274"/>
        <item m="1" x="649"/>
        <item m="1" x="568"/>
        <item x="8"/>
        <item m="1" x="452"/>
        <item m="1" x="759"/>
        <item m="1" x="214"/>
        <item x="106"/>
        <item x="41"/>
        <item m="1" x="694"/>
        <item m="1" x="440"/>
        <item m="1" x="390"/>
        <item m="1" x="895"/>
        <item m="1" x="586"/>
        <item x="16"/>
        <item m="1" x="572"/>
        <item m="1" x="924"/>
        <item m="1" x="500"/>
        <item m="1" x="474"/>
        <item x="61"/>
        <item x="62"/>
        <item x="78"/>
        <item m="1" x="623"/>
        <item m="1" x="863"/>
        <item m="1" x="613"/>
        <item m="1" x="693"/>
        <item m="1" x="571"/>
        <item m="1" x="294"/>
        <item m="1" x="687"/>
        <item m="1" x="307"/>
        <item m="1" x="359"/>
        <item m="1" x="256"/>
        <item x="14"/>
        <item x="15"/>
        <item m="1" x="766"/>
        <item m="1" x="535"/>
        <item m="1" x="933"/>
        <item m="1" x="640"/>
        <item m="1" x="137"/>
        <item m="1" x="706"/>
        <item m="1" x="391"/>
        <item m="1" x="674"/>
        <item m="1" x="912"/>
        <item m="1" x="406"/>
        <item m="1" x="455"/>
        <item m="1" x="336"/>
        <item x="104"/>
        <item x="99"/>
        <item m="1" x="227"/>
        <item m="1" x="736"/>
        <item x="43"/>
        <item m="1" x="755"/>
        <item m="1" x="332"/>
        <item m="1" x="655"/>
        <item m="1" x="407"/>
        <item m="1" x="253"/>
        <item x="21"/>
        <item x="94"/>
        <item m="1" x="150"/>
        <item m="1" x="911"/>
        <item m="1" x="716"/>
        <item x="77"/>
        <item m="1" x="720"/>
        <item m="1" x="812"/>
        <item m="1" x="806"/>
        <item m="1" x="136"/>
        <item m="1" x="337"/>
        <item x="4"/>
        <item m="1" x="733"/>
        <item x="48"/>
        <item x="49"/>
        <item x="18"/>
        <item x="65"/>
        <item m="1" x="795"/>
        <item m="1" x="375"/>
        <item x="51"/>
        <item x="67"/>
        <item m="1" x="805"/>
        <item m="1" x="833"/>
        <item m="1" x="776"/>
        <item m="1" x="240"/>
        <item x="45"/>
        <item m="1" x="920"/>
        <item m="1" x="815"/>
        <item m="1" x="461"/>
        <item m="1" x="354"/>
        <item m="1" x="270"/>
        <item m="1" x="507"/>
        <item x="24"/>
        <item x="19"/>
        <item m="1" x="929"/>
        <item m="1" x="696"/>
        <item x="55"/>
        <item m="1" x="208"/>
        <item m="1" x="312"/>
        <item m="1" x="423"/>
        <item x="44"/>
        <item m="1" x="485"/>
        <item m="1" x="426"/>
        <item m="1" x="486"/>
        <item m="1" x="424"/>
        <item m="1" x="857"/>
        <item x="69"/>
        <item x="63"/>
        <item m="1" x="892"/>
        <item m="1" x="219"/>
        <item m="1" x="218"/>
        <item m="1" x="650"/>
        <item m="1" x="220"/>
        <item x="83"/>
        <item m="1" x="886"/>
        <item x="56"/>
        <item x="68"/>
        <item m="1" x="177"/>
        <item m="1" x="712"/>
        <item m="1" x="777"/>
        <item m="1" x="484"/>
        <item m="1" x="907"/>
        <item x="89"/>
        <item m="1" x="232"/>
        <item m="1" x="666"/>
        <item m="1" x="718"/>
        <item m="1" x="529"/>
        <item m="1" x="530"/>
        <item m="1" x="685"/>
        <item m="1" x="904"/>
        <item m="1" x="780"/>
        <item m="1" x="837"/>
        <item m="1" x="657"/>
        <item m="1" x="637"/>
        <item m="1" x="404"/>
        <item m="1" x="803"/>
        <item m="1" x="563"/>
        <item m="1" x="906"/>
        <item m="1" x="743"/>
        <item m="1" x="559"/>
        <item m="1" x="641"/>
        <item m="1" x="919"/>
        <item m="1" x="322"/>
        <item x="13"/>
        <item m="1" x="936"/>
        <item m="1" x="524"/>
        <item m="1" x="826"/>
        <item m="1" x="885"/>
        <item m="1" x="306"/>
        <item m="1" x="818"/>
        <item m="1" x="255"/>
        <item m="1" x="171"/>
        <item m="1" x="202"/>
        <item m="1" x="709"/>
        <item m="1" x="735"/>
        <item x="76"/>
        <item x="80"/>
        <item m="1" x="506"/>
        <item m="1" x="620"/>
        <item m="1" x="877"/>
        <item m="1" x="754"/>
        <item m="1" x="621"/>
        <item m="1" x="721"/>
        <item m="1" x="905"/>
        <item m="1" x="701"/>
        <item m="1" x="790"/>
        <item x="98"/>
        <item x="102"/>
        <item m="1" x="381"/>
        <item x="108"/>
        <item m="1" x="814"/>
        <item m="1" x="783"/>
        <item m="1" x="700"/>
        <item m="1" x="767"/>
        <item m="1" x="899"/>
        <item m="1" x="579"/>
        <item m="1" x="916"/>
        <item m="1" x="730"/>
        <item m="1" x="268"/>
        <item m="1" x="539"/>
        <item m="1" x="415"/>
        <item m="1" x="635"/>
        <item m="1" x="550"/>
        <item m="1" x="922"/>
        <item m="1" x="746"/>
        <item m="1" x="197"/>
        <item m="1" x="224"/>
        <item m="1" x="934"/>
        <item m="1" x="282"/>
        <item m="1" x="561"/>
        <item m="1" x="409"/>
        <item m="1" x="399"/>
        <item m="1" x="704"/>
        <item m="1" x="304"/>
        <item m="1" x="405"/>
        <item x="57"/>
        <item m="1" x="288"/>
        <item m="1" x="180"/>
        <item m="1" x="779"/>
        <item m="1" x="845"/>
        <item m="1" x="458"/>
        <item m="1" x="684"/>
        <item m="1" x="611"/>
        <item m="1" x="851"/>
        <item m="1" x="901"/>
        <item m="1" x="710"/>
        <item m="1" x="612"/>
        <item m="1" x="469"/>
        <item m="1" x="470"/>
        <item m="1" x="703"/>
        <item m="1" x="651"/>
        <item m="1" x="723"/>
        <item m="1" x="242"/>
        <item m="1" x="682"/>
        <item m="1" x="680"/>
        <item m="1" x="764"/>
        <item x="135"/>
        <item x="3"/>
        <item m="1" x="787"/>
        <item m="1" x="418"/>
        <item m="1" x="419"/>
        <item m="1" x="624"/>
        <item m="1" x="671"/>
        <item m="1" x="765"/>
        <item m="1" x="807"/>
        <item m="1" x="425"/>
        <item m="1" x="483"/>
        <item m="1" x="502"/>
        <item m="1" x="235"/>
        <item m="1" x="413"/>
        <item x="17"/>
        <item x="25"/>
        <item m="1" x="331"/>
        <item m="1" x="589"/>
        <item m="1" x="724"/>
        <item x="70"/>
        <item x="71"/>
        <item x="72"/>
        <item m="1" x="179"/>
        <item x="79"/>
        <item m="1" x="151"/>
        <item m="1" x="695"/>
        <item m="1" x="587"/>
        <item m="1" x="844"/>
        <item x="92"/>
        <item m="1" x="582"/>
        <item m="1" x="636"/>
        <item m="1" x="675"/>
        <item m="1" x="467"/>
        <item m="1" x="468"/>
        <item m="1" x="583"/>
        <item m="1" x="891"/>
        <item m="1" x="602"/>
        <item m="1" x="154"/>
        <item x="101"/>
        <item m="1" x="155"/>
        <item m="1" x="187"/>
        <item m="1" x="158"/>
        <item x="113"/>
        <item m="1" x="616"/>
        <item m="1" x="531"/>
        <item m="1" x="241"/>
        <item x="127"/>
        <item x="128"/>
        <item x="129"/>
        <item m="1" x="670"/>
        <item m="1" x="417"/>
        <item m="1" x="503"/>
        <item m="1" x="366"/>
        <item m="1" x="281"/>
        <item m="1" x="168"/>
        <item x="20"/>
        <item x="22"/>
        <item x="23"/>
        <item m="1" x="811"/>
        <item m="1" x="643"/>
        <item m="1" x="846"/>
        <item m="1" x="230"/>
        <item m="1" x="494"/>
        <item m="1" x="560"/>
        <item m="1" x="615"/>
        <item m="1" x="464"/>
        <item m="1" x="663"/>
        <item m="1" x="715"/>
        <item m="1" x="669"/>
        <item m="1" x="420"/>
        <item m="1" x="580"/>
        <item m="1" x="808"/>
        <item m="1" x="778"/>
        <item m="1" x="913"/>
        <item m="1" x="747"/>
        <item m="1" x="509"/>
        <item m="1" x="199"/>
        <item m="1" x="738"/>
        <item m="1" x="368"/>
        <item m="1" x="320"/>
        <item m="1" x="558"/>
        <item m="1" x="773"/>
        <item m="1" x="864"/>
        <item m="1" x="295"/>
        <item x="82"/>
        <item m="1" x="495"/>
        <item m="1" x="925"/>
        <item m="1" x="153"/>
        <item m="1" x="872"/>
        <item m="1" x="165"/>
        <item m="1" x="553"/>
        <item m="1" x="865"/>
        <item m="1" x="585"/>
        <item m="1" x="138"/>
        <item m="1" x="217"/>
        <item m="1" x="269"/>
        <item m="1" x="323"/>
        <item m="1" x="249"/>
        <item m="1" x="927"/>
        <item m="1" x="789"/>
        <item x="64"/>
        <item m="1" x="410"/>
        <item m="1" x="646"/>
        <item m="1" x="652"/>
        <item m="1" x="870"/>
        <item m="1" x="638"/>
        <item m="1" x="459"/>
        <item m="1" x="897"/>
        <item m="1" x="393"/>
        <item m="1" x="573"/>
        <item m="1" x="614"/>
        <item m="1" x="731"/>
        <item m="1" x="796"/>
        <item m="1" x="592"/>
        <item x="107"/>
        <item m="1" x="893"/>
        <item x="115"/>
        <item m="1" x="852"/>
        <item m="1" x="749"/>
        <item m="1" x="713"/>
        <item m="1" x="215"/>
        <item m="1" x="841"/>
        <item m="1" x="869"/>
        <item m="1" x="310"/>
        <item x="46"/>
        <item x="52"/>
        <item m="1" x="574"/>
        <item m="1" x="327"/>
        <item x="60"/>
        <item m="1" x="838"/>
        <item x="100"/>
        <item x="116"/>
        <item x="117"/>
        <item m="1" x="698"/>
        <item m="1" x="487"/>
        <item m="1" x="831"/>
        <item m="1" x="584"/>
        <item m="1" x="607"/>
        <item m="1" x="291"/>
        <item m="1" x="203"/>
        <item m="1" x="876"/>
        <item x="47"/>
        <item x="50"/>
        <item m="1" x="437"/>
        <item m="1" x="206"/>
        <item m="1" x="454"/>
        <item m="1" x="373"/>
        <item m="1" x="661"/>
        <item m="1" x="774"/>
        <item m="1" x="591"/>
        <item m="1" x="275"/>
        <item m="1" x="289"/>
        <item m="1" x="356"/>
        <item m="1" x="260"/>
        <item m="1" x="379"/>
        <item m="1" x="145"/>
        <item m="1" x="237"/>
        <item m="1" x="902"/>
        <item m="1" x="238"/>
        <item m="1" x="601"/>
        <item m="1" x="544"/>
        <item m="1" x="737"/>
        <item m="1" x="722"/>
        <item m="1" x="678"/>
        <item m="1" x="917"/>
        <item m="1" x="874"/>
        <item m="1" x="726"/>
        <item m="1" x="475"/>
        <item m="1" x="802"/>
        <item m="1" x="575"/>
        <item m="1" x="476"/>
        <item m="1" x="741"/>
        <item m="1" x="477"/>
        <item m="1" x="478"/>
        <item m="1" x="565"/>
        <item m="1" x="647"/>
        <item m="1" x="882"/>
        <item m="1" x="742"/>
        <item m="1" x="659"/>
        <item m="1" x="699"/>
        <item m="1" x="633"/>
        <item m="1" x="225"/>
        <item m="1" x="466"/>
        <item m="1" x="673"/>
        <item m="1" x="581"/>
        <item m="1" x="526"/>
        <item m="1" x="570"/>
        <item m="1" x="896"/>
        <item m="1" x="717"/>
        <item m="1" x="799"/>
        <item m="1" x="555"/>
        <item m="1" x="608"/>
        <item m="1" x="266"/>
        <item m="1" x="146"/>
        <item m="1" x="328"/>
        <item m="1" x="786"/>
        <item m="1" x="231"/>
        <item m="1" x="352"/>
        <item m="1" x="212"/>
        <item m="1" x="213"/>
        <item m="1" x="233"/>
        <item m="1" x="756"/>
        <item m="1" x="656"/>
        <item m="1" x="834"/>
        <item m="1" x="866"/>
        <item m="1" x="843"/>
        <item x="54"/>
        <item m="1" x="859"/>
        <item m="1" x="847"/>
        <item m="1" x="665"/>
        <item m="1" x="610"/>
        <item m="1" x="412"/>
        <item m="1" x="642"/>
        <item m="1" x="394"/>
        <item m="1" x="343"/>
        <item m="1" x="414"/>
        <item m="1" x="894"/>
        <item m="1" x="170"/>
        <item m="1" x="708"/>
        <item m="1" x="433"/>
        <item m="1" x="396"/>
        <item x="27"/>
        <item m="1" x="400"/>
        <item m="1" x="340"/>
        <item m="1" x="627"/>
        <item m="1" x="144"/>
        <item x="66"/>
        <item m="1" x="856"/>
        <item m="1" x="605"/>
        <item m="1" x="658"/>
        <item m="1" x="702"/>
        <item m="1" x="178"/>
        <item m="1" x="376"/>
        <item x="120"/>
        <item m="1" x="166"/>
        <item m="1" x="387"/>
        <item m="1" x="173"/>
        <item m="1" x="564"/>
        <item x="95"/>
        <item m="1" x="183"/>
        <item m="1" x="333"/>
        <item x="122"/>
        <item x="123"/>
        <item m="1" x="160"/>
        <item m="1" x="188"/>
        <item m="1" x="161"/>
        <item m="1" x="532"/>
        <item m="1" x="523"/>
        <item m="1" x="823"/>
        <item m="1" x="540"/>
        <item m="1" x="822"/>
        <item m="1" x="752"/>
        <item m="1" x="285"/>
        <item m="1" x="875"/>
        <item m="1" x="800"/>
        <item m="1" x="628"/>
        <item m="1" x="189"/>
        <item m="1" x="162"/>
        <item m="1" x="139"/>
        <item m="1" x="926"/>
        <item m="1" x="745"/>
        <item m="1" x="630"/>
        <item m="1" x="350"/>
        <item m="1" x="739"/>
        <item m="1" x="744"/>
        <item m="1" x="769"/>
        <item m="1" x="931"/>
        <item x="111"/>
        <item x="119"/>
        <item x="124"/>
        <item m="1" x="299"/>
        <item m="1" x="207"/>
        <item x="121"/>
        <item m="1" x="832"/>
        <item m="1" x="842"/>
        <item m="1" x="835"/>
        <item m="1" x="595"/>
        <item m="1" x="775"/>
        <item m="1" x="511"/>
        <item m="1" x="868"/>
        <item m="1" x="878"/>
        <item m="1" x="792"/>
        <item m="1" x="930"/>
        <item m="1" x="316"/>
        <item x="9"/>
        <item m="1" x="668"/>
        <item m="1" x="556"/>
        <item m="1" x="525"/>
        <item m="1" x="265"/>
        <item m="1" x="533"/>
        <item m="1" x="305"/>
        <item m="1" x="622"/>
        <item m="1" x="849"/>
        <item m="1" x="519"/>
        <item m="1" x="935"/>
        <item m="1" x="462"/>
        <item m="1" x="691"/>
        <item m="1" x="513"/>
        <item m="1" x="239"/>
        <item m="1" x="820"/>
        <item m="1" x="403"/>
        <item m="1" x="697"/>
        <item m="1" x="809"/>
        <item m="1" x="588"/>
        <item m="1" x="644"/>
        <item m="1" x="898"/>
        <item m="1" x="748"/>
        <item m="1" x="828"/>
        <item m="1" x="830"/>
        <item m="1" x="596"/>
        <item m="1" x="750"/>
        <item m="1" x="422"/>
        <item m="1" x="552"/>
        <item m="1" x="753"/>
        <item m="1" x="692"/>
        <item m="1" x="839"/>
        <item m="1" x="734"/>
        <item m="1" x="355"/>
        <item m="1" x="862"/>
        <item m="1" x="923"/>
        <item m="1" x="416"/>
        <item m="1" x="763"/>
        <item m="1" x="211"/>
        <item m="1" x="252"/>
        <item m="1" x="667"/>
        <item m="1" x="159"/>
        <item m="1" x="429"/>
        <item m="1" x="427"/>
        <item m="1" x="428"/>
        <item m="1" x="430"/>
        <item m="1" x="443"/>
        <item x="93"/>
        <item m="1" x="890"/>
        <item m="1" x="191"/>
        <item m="1" x="277"/>
        <item m="1" x="689"/>
        <item m="1" x="326"/>
        <item m="1" x="438"/>
        <item m="1" x="757"/>
        <item m="1" x="760"/>
        <item m="1" x="521"/>
        <item m="1" x="903"/>
        <item m="1" x="195"/>
        <item m="1" x="496"/>
        <item m="1" x="385"/>
        <item m="1" x="380"/>
        <item m="1" x="541"/>
        <item m="1" x="377"/>
        <item m="1" x="383"/>
        <item x="5"/>
        <item m="1" x="167"/>
        <item m="1" x="537"/>
        <item m="1" x="192"/>
        <item m="1" x="600"/>
        <item x="12"/>
        <item m="1" x="711"/>
        <item m="1" x="645"/>
        <item m="1" x="567"/>
        <item m="1" x="505"/>
        <item m="1" x="785"/>
        <item m="1" x="910"/>
        <item m="1" x="498"/>
        <item m="1" x="791"/>
        <item m="1" x="514"/>
        <item m="1" x="194"/>
        <item m="1" x="263"/>
        <item m="1" x="867"/>
        <item m="1" x="360"/>
        <item m="1" x="578"/>
        <item x="7"/>
        <item m="1" x="216"/>
        <item m="1" x="247"/>
        <item m="1" x="314"/>
        <item m="1" x="221"/>
        <item m="1" x="248"/>
        <item m="1" x="351"/>
        <item m="1" x="784"/>
        <item m="1" x="569"/>
        <item m="1" x="804"/>
        <item m="1" x="488"/>
        <item m="1" x="338"/>
        <item m="1" x="824"/>
        <item m="1" x="854"/>
        <item m="1" x="617"/>
        <item m="1" x="497"/>
        <item m="1" x="740"/>
        <item m="1" x="152"/>
        <item m="1" x="727"/>
        <item m="1" x="676"/>
        <item m="1" x="914"/>
        <item m="1" x="879"/>
        <item x="58"/>
        <item m="1" x="603"/>
        <item m="1" x="245"/>
        <item m="1" x="639"/>
        <item m="1" x="344"/>
        <item m="1" x="254"/>
        <item m="1" x="334"/>
        <item m="1" x="871"/>
        <item m="1" x="707"/>
        <item m="1" x="887"/>
        <item m="1" x="888"/>
        <item m="1" x="442"/>
        <item m="1" x="881"/>
        <item m="1" x="181"/>
        <item m="1" x="590"/>
        <item m="1" x="515"/>
        <item m="1" x="446"/>
        <item m="1" x="855"/>
        <item m="1" x="889"/>
        <item m="1" x="816"/>
        <item m="1" x="732"/>
        <item m="1" x="884"/>
        <item m="1" x="654"/>
        <item m="1" x="768"/>
        <item m="1" x="196"/>
        <item m="1" x="604"/>
        <item m="1" x="771"/>
        <item m="1" x="619"/>
        <item m="1" x="444"/>
        <item m="1" x="445"/>
        <item m="1" x="772"/>
        <item m="1" x="690"/>
        <item m="1" x="880"/>
        <item m="1" x="598"/>
        <item m="1" x="593"/>
        <item m="1" x="542"/>
        <item m="1" x="679"/>
        <item m="1" x="937"/>
        <item m="1" x="222"/>
        <item m="1" x="223"/>
        <item m="1" x="408"/>
        <item m="1" x="243"/>
        <item m="1" x="829"/>
        <item m="1" x="510"/>
        <item m="1" x="549"/>
        <item m="1" x="728"/>
        <item m="1" x="848"/>
        <item m="1" x="545"/>
        <item m="1" x="725"/>
        <item m="1" x="762"/>
        <item m="1" x="781"/>
        <item x="91"/>
        <item m="1" x="341"/>
        <item m="1" x="335"/>
        <item m="1" x="653"/>
        <item m="1" x="395"/>
        <item m="1" x="825"/>
        <item m="1" x="347"/>
        <item m="1" x="432"/>
        <item x="81"/>
        <item m="1" x="431"/>
        <item m="1" x="382"/>
        <item x="114"/>
        <item m="1" x="850"/>
        <item m="1" x="325"/>
        <item m="1" x="629"/>
        <item m="1" x="631"/>
        <item x="35"/>
        <item m="1" x="761"/>
        <item m="1" x="677"/>
        <item m="1" x="210"/>
        <item m="1" x="626"/>
        <item m="1" x="163"/>
        <item m="1" x="536"/>
        <item m="1" x="435"/>
        <item x="30"/>
        <item x="118"/>
        <item m="1" x="318"/>
        <item x="90"/>
        <item m="1" x="819"/>
        <item x="40"/>
        <item m="1" x="402"/>
        <item m="1" x="384"/>
        <item m="1" x="634"/>
        <item m="1" x="840"/>
        <item m="1" x="517"/>
        <item m="1" x="817"/>
        <item m="1" x="801"/>
        <item m="1" x="793"/>
        <item x="42"/>
        <item m="1" x="508"/>
        <item m="1" x="860"/>
        <item m="1" x="729"/>
        <item m="1" x="548"/>
        <item m="1" x="648"/>
        <item m="1" x="938"/>
        <item m="1" x="797"/>
        <item x="39"/>
        <item m="1" x="492"/>
        <item m="1" x="436"/>
        <item x="36"/>
        <item m="1" x="827"/>
        <item m="1" x="672"/>
        <item m="1" x="522"/>
        <item m="1" x="472"/>
        <item x="29"/>
        <item m="1" x="547"/>
        <item m="1" x="599"/>
        <item x="26"/>
        <item x="131"/>
        <item m="1" x="499"/>
        <item m="1" x="473"/>
        <item m="1" x="821"/>
        <item m="1" x="169"/>
        <item x="28"/>
        <item m="1" x="324"/>
        <item m="1" x="908"/>
        <item m="1" x="798"/>
        <item m="1" x="782"/>
        <item x="38"/>
        <item m="1" x="297"/>
        <item m="1" x="662"/>
        <item m="1" x="489"/>
        <item m="1" x="538"/>
        <item m="1" x="516"/>
        <item m="1" x="554"/>
        <item m="1" x="688"/>
        <item m="1" x="557"/>
        <item m="1" x="758"/>
        <item m="1" x="518"/>
        <item m="1" x="504"/>
        <item m="1" x="329"/>
        <item m="1" x="858"/>
        <item m="1" x="353"/>
        <item m="1" x="250"/>
        <item m="1" x="204"/>
        <item m="1" x="883"/>
        <item m="1" x="794"/>
        <item m="1" x="836"/>
        <item m="1" x="527"/>
        <item m="1" x="309"/>
        <item m="1" x="501"/>
        <item m="1" x="686"/>
        <item m="1" x="479"/>
        <item m="1" x="480"/>
        <item m="1" x="481"/>
        <item m="1" x="482"/>
        <item m="1" x="346"/>
        <item m="1" x="358"/>
        <item m="1" x="142"/>
        <item m="1" x="174"/>
        <item m="1" x="143"/>
        <item m="1" x="361"/>
        <item m="1" x="175"/>
        <item m="1" x="205"/>
        <item m="1" x="664"/>
        <item m="1" x="618"/>
        <item m="1" x="193"/>
        <item x="132"/>
        <item m="1" x="140"/>
        <item x="134"/>
        <item m="1" x="293"/>
        <item m="1" x="261"/>
        <item x="130"/>
        <item m="1" x="292"/>
        <item m="1" x="302"/>
        <item x="6"/>
        <item m="1" x="512"/>
        <item m="1" x="543"/>
        <item m="1" x="303"/>
        <item m="1" x="172"/>
        <item m="1" x="283"/>
        <item x="34"/>
        <item x="86"/>
        <item m="1" x="909"/>
        <item m="1" x="770"/>
        <item m="1" x="788"/>
        <item m="1" x="388"/>
        <item m="1" x="551"/>
        <item m="1" x="577"/>
        <item m="1" x="342"/>
        <item m="1" x="915"/>
        <item m="1" x="226"/>
        <item x="84"/>
        <item x="85"/>
        <item m="1" x="317"/>
        <item m="1" x="357"/>
        <item x="73"/>
        <item x="74"/>
        <item x="75"/>
        <item m="1" x="147"/>
        <item m="1" x="209"/>
        <item m="1" x="284"/>
        <item m="1" x="149"/>
        <item m="1" x="520"/>
        <item m="1" x="164"/>
        <item m="1" x="148"/>
        <item m="1" x="546"/>
        <item m="1" x="370"/>
        <item x="31"/>
        <item m="1" x="528"/>
        <item m="1" x="534"/>
        <item m="1" x="198"/>
        <item m="1" x="200"/>
        <item m="1" x="267"/>
        <item m="1" x="258"/>
        <item m="1" x="141"/>
        <item m="1" x="201"/>
        <item m="1" x="271"/>
        <item m="1" x="367"/>
        <item m="1" x="315"/>
        <item x="53"/>
        <item m="1" x="229"/>
        <item m="1" x="176"/>
        <item m="1" x="308"/>
        <item m="1" x="345"/>
        <item m="1" x="300"/>
        <item x="37"/>
        <item m="1" x="364"/>
        <item m="1" x="493"/>
        <item m="1" x="490"/>
        <item m="1" x="491"/>
        <item m="1" x="411"/>
        <item m="1" x="421"/>
        <item m="1" x="369"/>
        <item x="97"/>
        <item m="1" x="372"/>
        <item m="1" x="374"/>
        <item x="109"/>
        <item m="1" x="378"/>
        <item m="1" x="228"/>
        <item m="1" x="184"/>
        <item m="1" x="321"/>
        <item m="1" x="262"/>
        <item m="1" x="397"/>
        <item m="1" x="319"/>
        <item m="1" x="251"/>
        <item m="1" x="401"/>
        <item m="1" x="272"/>
        <item x="88"/>
        <item m="1" x="386"/>
        <item m="1" x="363"/>
        <item m="1" x="330"/>
        <item m="1" x="185"/>
        <item m="1" x="371"/>
        <item m="1" x="156"/>
        <item m="1" x="186"/>
        <item x="110"/>
        <item m="1" x="365"/>
        <item x="103"/>
        <item m="1" x="362"/>
        <item m="1" x="157"/>
        <item x="59"/>
        <item m="1" x="313"/>
        <item m="1" x="287"/>
        <item m="1" x="244"/>
        <item m="1" x="182"/>
        <item m="1" x="234"/>
        <item x="33"/>
        <item m="1" x="339"/>
        <item m="1" x="298"/>
        <item m="1" x="278"/>
        <item m="1" x="286"/>
        <item m="1" x="296"/>
        <item x="32"/>
        <item m="1" x="311"/>
        <item x="133"/>
        <item m="1" x="290"/>
        <item m="1" x="280"/>
        <item m="1" x="301"/>
        <item x="87"/>
        <item m="1" x="273"/>
        <item m="1" x="257"/>
        <item m="1" x="279"/>
        <item m="1" x="259"/>
        <item m="1" x="246"/>
        <item x="96"/>
        <item m="1" x="2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6">
    <i>
      <x/>
      <x v="43"/>
    </i>
    <i>
      <x v="1"/>
      <x/>
    </i>
    <i>
      <x v="2"/>
      <x v="44"/>
    </i>
    <i>
      <x v="3"/>
      <x v="2"/>
    </i>
    <i>
      <x v="22"/>
      <x v="1"/>
    </i>
    <i>
      <x v="28"/>
      <x v="639"/>
    </i>
    <i>
      <x v="38"/>
      <x v="90"/>
    </i>
    <i>
      <x v="39"/>
      <x v="91"/>
    </i>
    <i>
      <x v="40"/>
      <x v="72"/>
    </i>
    <i>
      <x v="52"/>
      <x v="114"/>
    </i>
    <i>
      <x v="56"/>
      <x v="61"/>
    </i>
    <i>
      <x v="60"/>
      <x v="125"/>
    </i>
    <i>
      <x v="62"/>
      <x v="129"/>
    </i>
    <i>
      <x v="67"/>
      <x v="146"/>
    </i>
    <i>
      <x v="68"/>
      <x v="147"/>
    </i>
    <i>
      <x v="80"/>
      <x v="197"/>
    </i>
    <i>
      <x v="94"/>
      <x v="827"/>
    </i>
    <i>
      <x v="112"/>
      <x v="271"/>
    </i>
    <i>
      <x v="125"/>
      <x v="284"/>
    </i>
    <i>
      <x v="127"/>
      <x v="285"/>
    </i>
    <i>
      <x v="134"/>
      <x v="325"/>
    </i>
    <i>
      <x v="135"/>
      <x v="326"/>
    </i>
    <i>
      <x v="136"/>
      <x v="327"/>
    </i>
    <i>
      <x v="190"/>
      <x v="860"/>
    </i>
    <i>
      <x v="209"/>
      <x v="491"/>
    </i>
    <i>
      <x v="238"/>
      <x v="619"/>
    </i>
    <i>
      <x v="255"/>
      <x v="554"/>
    </i>
    <i>
      <x v="297"/>
      <x v="624"/>
    </i>
    <i>
      <x v="329"/>
      <x v="728"/>
    </i>
    <i>
      <x v="333"/>
      <x v="736"/>
    </i>
    <i>
      <x v="335"/>
      <x v="741"/>
    </i>
    <i>
      <x v="343"/>
      <x v="758"/>
    </i>
    <i>
      <x v="344"/>
      <x v="761"/>
    </i>
    <i>
      <x v="345"/>
      <x v="766"/>
    </i>
    <i>
      <x v="348"/>
      <x v="769"/>
    </i>
    <i>
      <x v="351"/>
      <x v="775"/>
    </i>
    <i>
      <x v="354"/>
      <x v="780"/>
    </i>
    <i>
      <x v="369"/>
      <x v="833"/>
    </i>
    <i>
      <x v="373"/>
      <x v="150"/>
    </i>
    <i>
      <x v="378"/>
      <x v="878"/>
    </i>
    <i>
      <x v="381"/>
      <x v="154"/>
    </i>
    <i>
      <x v="382"/>
      <x v="849"/>
    </i>
    <i>
      <x v="383"/>
      <x v="79"/>
    </i>
    <i>
      <x v="386"/>
      <x v="298"/>
    </i>
    <i>
      <x v="387"/>
      <x v="919"/>
    </i>
    <i>
      <x v="389"/>
      <x v="308"/>
    </i>
    <i>
      <x v="390"/>
      <x v="223"/>
    </i>
    <i>
      <x v="391"/>
      <x v="925"/>
    </i>
    <i>
      <x v="392"/>
      <x v="108"/>
    </i>
    <i>
      <x v="393"/>
      <x v="169"/>
    </i>
    <i>
      <x v="394"/>
      <x v="386"/>
    </i>
    <i>
      <x v="395"/>
      <x v="402"/>
    </i>
    <i>
      <x v="396"/>
      <x v="538"/>
    </i>
    <i>
      <x v="397"/>
      <x v="65"/>
    </i>
    <i>
      <x v="398"/>
      <x v="384"/>
    </i>
    <i>
      <x v="399"/>
      <x v="66"/>
    </i>
    <i>
      <x v="400"/>
      <x v="139"/>
    </i>
    <i>
      <x v="401"/>
      <x v="395"/>
    </i>
    <i>
      <x v="402"/>
      <x v="30"/>
    </i>
    <i>
      <x v="403"/>
      <x v="127"/>
    </i>
    <i>
      <x v="404"/>
      <x v="176"/>
    </i>
    <i>
      <x v="405"/>
      <x v="737"/>
    </i>
    <i>
      <x v="406"/>
      <x v="104"/>
    </i>
    <i>
      <x v="407"/>
      <x v="29"/>
    </i>
    <i>
      <x v="409"/>
      <x v="119"/>
    </i>
    <i>
      <x v="410"/>
      <x v="889"/>
    </i>
    <i>
      <x v="411"/>
      <x v="128"/>
    </i>
    <i>
      <x v="412"/>
      <x v="77"/>
    </i>
    <i>
      <x v="413"/>
      <x v="886"/>
    </i>
    <i>
      <x v="414"/>
      <x v="819"/>
    </i>
    <i>
      <x v="415"/>
      <x v="290"/>
    </i>
    <i>
      <x v="416"/>
      <x v="394"/>
    </i>
    <i>
      <x v="417"/>
      <x v="508"/>
    </i>
    <i>
      <x v="418"/>
      <x v="411"/>
    </i>
    <i>
      <x v="419"/>
      <x v="293"/>
    </i>
    <i>
      <x v="420"/>
      <x v="723"/>
    </i>
    <i>
      <x v="421"/>
      <x v="542"/>
    </i>
    <i>
      <x v="422"/>
      <x v="511"/>
    </i>
    <i>
      <x v="423"/>
      <x v="848"/>
    </i>
    <i>
      <x v="424"/>
      <x v="221"/>
    </i>
    <i>
      <x v="425"/>
      <x v="412"/>
    </i>
    <i>
      <x v="426"/>
      <x v="130"/>
    </i>
    <i>
      <x v="427"/>
      <x v="134"/>
    </i>
    <i>
      <x v="428"/>
      <x v="289"/>
    </i>
    <i>
      <x v="429"/>
      <x v="354"/>
    </i>
    <i>
      <x v="430"/>
      <x v="401"/>
    </i>
    <i>
      <x v="431"/>
      <x v="503"/>
    </i>
    <i>
      <x v="432"/>
      <x v="35"/>
    </i>
    <i>
      <x v="433"/>
      <x v="398"/>
    </i>
    <i>
      <x v="434"/>
      <x v="496"/>
    </i>
    <i>
      <x v="435"/>
      <x v="900"/>
    </i>
    <i>
      <x v="436"/>
      <x v="115"/>
    </i>
    <i>
      <x v="437"/>
      <x v="400"/>
    </i>
    <i>
      <x v="438"/>
      <x v="908"/>
    </i>
    <i>
      <x v="439"/>
      <x v="57"/>
    </i>
    <i>
      <x v="440"/>
      <x v="316"/>
    </i>
    <i>
      <x v="441"/>
      <x v="270"/>
    </i>
    <i>
      <x v="442"/>
      <x v="133"/>
    </i>
    <i>
      <x v="443"/>
      <x v="476"/>
    </i>
    <i>
      <x v="444"/>
      <x v="249"/>
    </i>
    <i>
      <x v="445"/>
      <x v="850"/>
    </i>
    <i>
      <x v="446"/>
      <x v="209"/>
    </i>
    <i>
      <x v="447"/>
      <x v="720"/>
    </i>
    <i>
      <x v="448"/>
      <x v="834"/>
    </i>
    <i>
      <x v="449"/>
      <x v="220"/>
    </i>
    <i>
      <x v="450"/>
      <x v="910"/>
    </i>
    <i>
      <x v="451"/>
      <x v="312"/>
    </i>
    <i>
      <x v="452"/>
      <x v="539"/>
    </i>
    <i>
      <x v="453"/>
      <x v="750"/>
    </i>
    <i>
      <x v="454"/>
      <x v="872"/>
    </i>
    <i>
      <x v="455"/>
      <x v="661"/>
    </i>
    <i>
      <x v="456"/>
      <x v="913"/>
    </i>
    <i>
      <x v="457"/>
      <x v="78"/>
    </i>
    <i>
      <x v="458"/>
      <x v="161"/>
    </i>
    <i>
      <x v="459"/>
      <x v="370"/>
    </i>
    <i>
      <x v="460"/>
      <x v="170"/>
    </i>
    <i>
      <x v="461"/>
      <x v="160"/>
    </i>
    <i>
      <x v="462"/>
      <x v="291"/>
    </i>
    <i>
      <x v="463"/>
      <x v="210"/>
    </i>
    <i>
      <x v="464"/>
      <x v="167"/>
    </i>
    <i>
      <x v="465"/>
      <x v="844"/>
    </i>
    <i>
      <x v="466"/>
      <x v="845"/>
    </i>
    <i>
      <x v="467"/>
      <x v="931"/>
    </i>
    <i>
      <x v="468"/>
      <x v="739"/>
    </i>
    <i>
      <x v="469"/>
      <x v="712"/>
    </i>
    <i>
      <x v="470"/>
      <x v="601"/>
    </i>
    <i>
      <x v="471"/>
      <x v="937"/>
    </i>
    <i>
      <x v="472"/>
      <x v="105"/>
    </i>
    <i>
      <x v="473"/>
      <x v="537"/>
    </i>
    <i>
      <x v="474"/>
      <x v="512"/>
    </i>
    <i>
      <x v="475"/>
      <x v="317"/>
    </i>
    <i>
      <x v="476"/>
      <x v="318"/>
    </i>
    <i>
      <x v="477"/>
      <x v="824"/>
    </i>
    <i>
      <x v="478"/>
      <x v="770"/>
    </i>
    <i>
      <x v="479"/>
      <x v="927"/>
    </i>
    <i>
      <x v="480"/>
      <x v="821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/>
  </dataFields>
  <formats count="1">
    <format dxfId="78">
      <pivotArea outline="0" fieldPosition="0">
        <references count="3">
          <reference field="4294967294" count="1" selected="0">
            <x v="1"/>
          </reference>
          <reference field="0" count="0" selected="0"/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DB471" cacheId="4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40" firstHeaderRow="0" firstDataRow="1" firstDataCol="2"/>
  <pivotFields count="5">
    <pivotField axis="axisRow" compact="0" outline="0" showAll="0" defaultSubtotal="0">
      <items count="535">
        <item x="22"/>
        <item x="0"/>
        <item x="1"/>
        <item m="1" x="173"/>
        <item m="1" x="222"/>
        <item m="1" x="326"/>
        <item x="21"/>
        <item m="1" x="457"/>
        <item m="1" x="153"/>
        <item m="1" x="459"/>
        <item m="1" x="512"/>
        <item m="1" x="417"/>
        <item m="1" x="208"/>
        <item m="1" x="180"/>
        <item m="1" x="263"/>
        <item m="1" x="524"/>
        <item m="1" x="397"/>
        <item m="1" x="446"/>
        <item m="1" x="278"/>
        <item m="1" x="322"/>
        <item m="1" x="280"/>
        <item m="1" x="151"/>
        <item m="1" x="510"/>
        <item m="1" x="218"/>
        <item m="1" x="190"/>
        <item m="1" x="515"/>
        <item m="1" x="283"/>
        <item m="1" x="306"/>
        <item m="1" x="514"/>
        <item m="1" x="381"/>
        <item m="1" x="481"/>
        <item m="1" x="482"/>
        <item m="1" x="485"/>
        <item m="1" x="474"/>
        <item m="1" x="480"/>
        <item m="1" x="366"/>
        <item m="1" x="419"/>
        <item m="1" x="496"/>
        <item m="1" x="502"/>
        <item m="1" x="507"/>
        <item m="1" x="391"/>
        <item m="1" x="396"/>
        <item m="1" x="368"/>
        <item m="1" x="179"/>
        <item m="1" x="205"/>
        <item m="1" x="210"/>
        <item m="1" x="499"/>
        <item m="1" x="370"/>
        <item m="1" x="282"/>
        <item m="1" x="449"/>
        <item m="1" x="311"/>
        <item m="1" x="465"/>
        <item m="1" x="361"/>
        <item m="1" x="412"/>
        <item m="1" x="500"/>
        <item m="1" x="447"/>
        <item m="1" x="471"/>
        <item m="1" x="357"/>
        <item m="1" x="454"/>
        <item m="1" x="473"/>
        <item m="1" x="348"/>
        <item m="1" x="495"/>
        <item m="1" x="505"/>
        <item m="1" x="530"/>
        <item m="1" x="392"/>
        <item m="1" x="466"/>
        <item m="1" x="517"/>
        <item m="1" x="383"/>
        <item x="17"/>
        <item x="18"/>
        <item m="1" x="431"/>
        <item m="1" x="423"/>
        <item m="1" x="407"/>
        <item m="1" x="448"/>
        <item m="1" x="440"/>
        <item m="1" x="443"/>
        <item m="1" x="145"/>
        <item m="1" x="147"/>
        <item m="1" x="371"/>
        <item m="1" x="411"/>
        <item m="1" x="161"/>
        <item m="1" x="162"/>
        <item m="1" x="163"/>
        <item m="1" x="186"/>
        <item x="24"/>
        <item m="1" x="341"/>
        <item m="1" x="462"/>
        <item m="1" x="307"/>
        <item m="1" x="223"/>
        <item m="1" x="214"/>
        <item m="1" x="213"/>
        <item m="1" x="215"/>
        <item m="1" x="164"/>
        <item m="1" x="174"/>
        <item m="1" x="194"/>
        <item x="3"/>
        <item m="1" x="207"/>
        <item m="1" x="165"/>
        <item m="1" x="226"/>
        <item x="20"/>
        <item m="1" x="352"/>
        <item m="1" x="395"/>
        <item m="1" x="426"/>
        <item m="1" x="493"/>
        <item x="19"/>
        <item m="1" x="429"/>
        <item m="1" x="230"/>
        <item m="1" x="240"/>
        <item m="1" x="527"/>
        <item m="1" x="323"/>
        <item m="1" x="175"/>
        <item m="1" x="435"/>
        <item m="1" x="420"/>
        <item m="1" x="452"/>
        <item m="1" x="356"/>
        <item m="1" x="503"/>
        <item m="1" x="144"/>
        <item m="1" x="143"/>
        <item x="13"/>
        <item m="1" x="425"/>
        <item m="1" x="139"/>
        <item m="1" x="472"/>
        <item m="1" x="532"/>
        <item m="1" x="424"/>
        <item m="1" x="487"/>
        <item m="1" x="519"/>
        <item m="1" x="142"/>
        <item m="1" x="197"/>
        <item x="27"/>
        <item m="1" x="191"/>
        <item m="1" x="181"/>
        <item m="1" x="154"/>
        <item x="2"/>
        <item m="1" x="221"/>
        <item m="1" x="200"/>
        <item m="1" x="349"/>
        <item m="1" x="237"/>
        <item m="1" x="439"/>
        <item m="1" x="379"/>
        <item m="1" x="377"/>
        <item m="1" x="260"/>
        <item m="1" x="484"/>
        <item m="1" x="287"/>
        <item m="1" x="456"/>
        <item m="1" x="295"/>
        <item m="1" x="492"/>
        <item m="1" x="409"/>
        <item m="1" x="413"/>
        <item m="1" x="436"/>
        <item m="1" x="427"/>
        <item m="1" x="416"/>
        <item m="1" x="351"/>
        <item m="1" x="533"/>
        <item m="1" x="146"/>
        <item m="1" x="490"/>
        <item m="1" x="467"/>
        <item x="11"/>
        <item x="26"/>
        <item x="4"/>
        <item m="1" x="265"/>
        <item m="1" x="355"/>
        <item m="1" x="453"/>
        <item m="1" x="430"/>
        <item m="1" x="450"/>
        <item m="1" x="504"/>
        <item m="1" x="246"/>
        <item x="28"/>
        <item m="1" x="525"/>
        <item m="1" x="483"/>
        <item m="1" x="328"/>
        <item m="1" x="332"/>
        <item m="1" x="211"/>
        <item m="1" x="528"/>
        <item m="1" x="321"/>
        <item m="1" x="522"/>
        <item m="1" x="511"/>
        <item x="5"/>
        <item m="1" x="488"/>
        <item x="23"/>
        <item m="1" x="354"/>
        <item m="1" x="271"/>
        <item m="1" x="251"/>
        <item m="1" x="257"/>
        <item m="1" x="256"/>
        <item m="1" x="266"/>
        <item m="1" x="444"/>
        <item m="1" x="382"/>
        <item x="25"/>
        <item m="1" x="405"/>
        <item m="1" x="362"/>
        <item m="1" x="398"/>
        <item m="1" x="277"/>
        <item m="1" x="477"/>
        <item x="39"/>
        <item m="1" x="508"/>
        <item m="1" x="310"/>
        <item m="1" x="170"/>
        <item m="1" x="315"/>
        <item m="1" x="479"/>
        <item m="1" x="171"/>
        <item x="12"/>
        <item m="1" x="228"/>
        <item m="1" x="160"/>
        <item m="1" x="199"/>
        <item m="1" x="422"/>
        <item m="1" x="185"/>
        <item m="1" x="399"/>
        <item m="1" x="367"/>
        <item m="1" x="478"/>
        <item m="1" x="376"/>
        <item m="1" x="491"/>
        <item m="1" x="401"/>
        <item m="1" x="234"/>
        <item m="1" x="172"/>
        <item m="1" x="521"/>
        <item m="1" x="152"/>
        <item m="1" x="187"/>
        <item m="1" x="346"/>
        <item m="1" x="509"/>
        <item m="1" x="273"/>
        <item m="1" x="259"/>
        <item m="1" x="324"/>
        <item m="1" x="461"/>
        <item m="1" x="272"/>
        <item m="1" x="206"/>
        <item m="1" x="183"/>
        <item m="1" x="204"/>
        <item x="9"/>
        <item m="1" x="148"/>
        <item m="1" x="268"/>
        <item m="1" x="155"/>
        <item x="7"/>
        <item m="1" x="262"/>
        <item m="1" x="220"/>
        <item m="1" x="176"/>
        <item m="1" x="252"/>
        <item m="1" x="455"/>
        <item m="1" x="235"/>
        <item m="1" x="216"/>
        <item m="1" x="312"/>
        <item m="1" x="198"/>
        <item m="1" x="437"/>
        <item m="1" x="178"/>
        <item m="1" x="309"/>
        <item m="1" x="464"/>
        <item m="1" x="248"/>
        <item m="1" x="227"/>
        <item m="1" x="476"/>
        <item m="1" x="406"/>
        <item m="1" x="365"/>
        <item m="1" x="337"/>
        <item m="1" x="231"/>
        <item m="1" x="333"/>
        <item m="1" x="358"/>
        <item m="1" x="298"/>
        <item m="1" x="498"/>
        <item m="1" x="388"/>
        <item m="1" x="501"/>
        <item m="1" x="224"/>
        <item m="1" x="166"/>
        <item m="1" x="404"/>
        <item m="1" x="526"/>
        <item m="1" x="288"/>
        <item m="1" x="244"/>
        <item m="1" x="393"/>
        <item m="1" x="339"/>
        <item m="1" x="363"/>
        <item m="1" x="442"/>
        <item m="1" x="529"/>
        <item m="1" x="338"/>
        <item m="1" x="325"/>
        <item m="1" x="523"/>
        <item m="1" x="329"/>
        <item m="1" x="445"/>
        <item m="1" x="360"/>
        <item m="1" x="239"/>
        <item m="1" x="238"/>
        <item m="1" x="342"/>
        <item m="1" x="390"/>
        <item m="1" x="403"/>
        <item m="1" x="451"/>
        <item x="8"/>
        <item m="1" x="269"/>
        <item m="1" x="303"/>
        <item m="1" x="300"/>
        <item m="1" x="386"/>
        <item m="1" x="475"/>
        <item m="1" x="415"/>
        <item m="1" x="225"/>
        <item m="1" x="384"/>
        <item m="1" x="387"/>
        <item m="1" x="374"/>
        <item m="1" x="428"/>
        <item m="1" x="316"/>
        <item m="1" x="169"/>
        <item m="1" x="433"/>
        <item m="1" x="394"/>
        <item x="6"/>
        <item m="1" x="340"/>
        <item m="1" x="320"/>
        <item m="1" x="319"/>
        <item m="1" x="375"/>
        <item m="1" x="418"/>
        <item m="1" x="470"/>
        <item m="1" x="343"/>
        <item m="1" x="434"/>
        <item m="1" x="389"/>
        <item m="1" x="182"/>
        <item m="1" x="438"/>
        <item m="1" x="241"/>
        <item m="1" x="243"/>
        <item m="1" x="255"/>
        <item m="1" x="345"/>
        <item m="1" x="212"/>
        <item m="1" x="294"/>
        <item m="1" x="513"/>
        <item m="1" x="469"/>
        <item m="1" x="408"/>
        <item m="1" x="494"/>
        <item m="1" x="531"/>
        <item x="32"/>
        <item m="1" x="486"/>
        <item m="1" x="233"/>
        <item m="1" x="330"/>
        <item m="1" x="359"/>
        <item m="1" x="372"/>
        <item m="1" x="458"/>
        <item m="1" x="414"/>
        <item m="1" x="432"/>
        <item m="1" x="468"/>
        <item m="1" x="489"/>
        <item m="1" x="506"/>
        <item m="1" x="520"/>
        <item m="1" x="534"/>
        <item m="1" x="350"/>
        <item m="1" x="460"/>
        <item m="1" x="497"/>
        <item m="1" x="518"/>
        <item m="1" x="292"/>
        <item m="1" x="331"/>
        <item m="1" x="253"/>
        <item m="1" x="203"/>
        <item m="1" x="149"/>
        <item m="1" x="150"/>
        <item x="14"/>
        <item x="15"/>
        <item m="1" x="232"/>
        <item m="1" x="335"/>
        <item m="1" x="168"/>
        <item m="1" x="188"/>
        <item m="1" x="297"/>
        <item m="1" x="236"/>
        <item m="1" x="189"/>
        <item m="1" x="286"/>
        <item m="1" x="402"/>
        <item m="1" x="385"/>
        <item m="1" x="317"/>
        <item m="1" x="301"/>
        <item m="1" x="516"/>
        <item m="1" x="327"/>
        <item m="1" x="274"/>
        <item m="1" x="192"/>
        <item m="1" x="378"/>
        <item m="1" x="336"/>
        <item m="1" x="421"/>
        <item m="1" x="353"/>
        <item m="1" x="347"/>
        <item m="1" x="441"/>
        <item m="1" x="369"/>
        <item m="1" x="410"/>
        <item m="1" x="281"/>
        <item m="1" x="242"/>
        <item m="1" x="313"/>
        <item m="1" x="299"/>
        <item m="1" x="158"/>
        <item m="1" x="209"/>
        <item m="1" x="267"/>
        <item m="1" x="373"/>
        <item m="1" x="290"/>
        <item x="16"/>
        <item m="1" x="159"/>
        <item m="1" x="296"/>
        <item x="38"/>
        <item x="31"/>
        <item m="1" x="318"/>
        <item m="1" x="229"/>
        <item m="1" x="156"/>
        <item m="1" x="463"/>
        <item m="1" x="247"/>
        <item m="1" x="364"/>
        <item x="37"/>
        <item x="35"/>
        <item x="29"/>
        <item x="30"/>
        <item m="1" x="344"/>
        <item m="1" x="276"/>
        <item m="1" x="400"/>
        <item m="1" x="195"/>
        <item m="1" x="334"/>
        <item m="1" x="270"/>
        <item x="36"/>
        <item m="1" x="380"/>
        <item m="1" x="284"/>
        <item m="1" x="304"/>
        <item m="1" x="305"/>
        <item m="1" x="217"/>
        <item m="1" x="279"/>
        <item m="1" x="140"/>
        <item m="1" x="141"/>
        <item m="1" x="196"/>
        <item x="10"/>
        <item m="1" x="184"/>
        <item m="1" x="201"/>
        <item m="1" x="202"/>
        <item m="1" x="250"/>
        <item x="34"/>
        <item m="1" x="314"/>
        <item m="1" x="264"/>
        <item m="1" x="245"/>
        <item m="1" x="308"/>
        <item m="1" x="293"/>
        <item m="1" x="291"/>
        <item m="1" x="249"/>
        <item m="1" x="302"/>
        <item m="1" x="254"/>
        <item m="1" x="289"/>
        <item m="1" x="285"/>
        <item m="1" x="258"/>
        <item x="103"/>
        <item m="1" x="167"/>
        <item m="1" x="275"/>
        <item x="90"/>
        <item x="82"/>
        <item x="83"/>
        <item m="1" x="219"/>
        <item x="97"/>
        <item x="77"/>
        <item x="119"/>
        <item m="1" x="261"/>
        <item m="1" x="157"/>
        <item x="33"/>
        <item x="85"/>
        <item x="111"/>
        <item x="66"/>
        <item x="86"/>
        <item x="99"/>
        <item x="133"/>
        <item m="1" x="177"/>
        <item x="57"/>
        <item x="40"/>
        <item x="70"/>
        <item x="58"/>
        <item x="69"/>
        <item x="71"/>
        <item x="88"/>
        <item x="91"/>
        <item x="41"/>
        <item x="118"/>
        <item x="126"/>
        <item x="55"/>
        <item x="53"/>
        <item x="46"/>
        <item x="49"/>
        <item x="63"/>
        <item x="100"/>
        <item x="102"/>
        <item x="113"/>
        <item x="114"/>
        <item x="116"/>
        <item m="1" x="193"/>
        <item x="72"/>
        <item x="73"/>
        <item x="84"/>
        <item x="94"/>
        <item x="110"/>
        <item x="44"/>
        <item x="45"/>
        <item x="54"/>
        <item x="93"/>
        <item x="109"/>
        <item x="43"/>
        <item x="48"/>
        <item x="61"/>
        <item x="67"/>
        <item x="104"/>
        <item x="106"/>
        <item x="115"/>
        <item x="122"/>
        <item x="123"/>
        <item x="42"/>
        <item x="50"/>
        <item x="51"/>
        <item x="52"/>
        <item x="59"/>
        <item x="60"/>
        <item x="64"/>
        <item x="75"/>
        <item x="79"/>
        <item x="80"/>
        <item x="89"/>
        <item x="92"/>
        <item x="95"/>
        <item x="105"/>
        <item x="107"/>
        <item x="112"/>
        <item x="117"/>
        <item x="127"/>
        <item x="131"/>
        <item x="137"/>
        <item x="47"/>
        <item x="56"/>
        <item x="62"/>
        <item x="65"/>
        <item x="68"/>
        <item x="74"/>
        <item x="76"/>
        <item x="78"/>
        <item x="81"/>
        <item x="87"/>
        <item x="96"/>
        <item x="98"/>
        <item x="101"/>
        <item x="108"/>
        <item x="120"/>
        <item x="121"/>
        <item x="124"/>
        <item x="125"/>
        <item x="128"/>
        <item x="129"/>
        <item x="130"/>
        <item x="132"/>
        <item x="134"/>
        <item x="135"/>
        <item x="136"/>
        <item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57">
        <item x="22"/>
        <item m="1" x="370"/>
        <item x="0"/>
        <item x="1"/>
        <item m="1" x="232"/>
        <item m="1" x="139"/>
        <item m="1" x="634"/>
        <item m="1" x="153"/>
        <item m="1" x="286"/>
        <item m="1" x="655"/>
        <item m="1" x="662"/>
        <item m="1" x="608"/>
        <item m="1" x="485"/>
        <item m="1" x="831"/>
        <item m="1" x="694"/>
        <item m="1" x="1118"/>
        <item m="1" x="1044"/>
        <item m="1" x="749"/>
        <item m="1" x="404"/>
        <item m="1" x="914"/>
        <item m="1" x="180"/>
        <item m="1" x="1041"/>
        <item m="1" x="211"/>
        <item m="1" x="323"/>
        <item m="1" x="212"/>
        <item x="71"/>
        <item m="1" x="646"/>
        <item m="1" x="1105"/>
        <item m="1" x="513"/>
        <item m="1" x="663"/>
        <item m="1" x="410"/>
        <item m="1" x="1123"/>
        <item m="1" x="1124"/>
        <item m="1" x="1139"/>
        <item m="1" x="812"/>
        <item m="1" x="1122"/>
        <item m="1" x="818"/>
        <item m="1" x="722"/>
        <item m="1" x="718"/>
        <item m="1" x="1034"/>
        <item m="1" x="863"/>
        <item m="1" x="780"/>
        <item m="1" x="345"/>
        <item m="1" x="804"/>
        <item m="1" x="383"/>
        <item m="1" x="382"/>
        <item m="1" x="183"/>
        <item x="86"/>
        <item m="1" x="304"/>
        <item x="102"/>
        <item x="105"/>
        <item x="101"/>
        <item x="82"/>
        <item x="83"/>
        <item m="1" x="500"/>
        <item x="90"/>
        <item x="93"/>
        <item m="1" x="182"/>
        <item m="1" x="1008"/>
        <item m="1" x="260"/>
        <item m="1" x="363"/>
        <item m="1" x="462"/>
        <item x="81"/>
        <item m="1" x="787"/>
        <item m="1" x="311"/>
        <item m="1" x="668"/>
        <item m="1" x="193"/>
        <item m="1" x="614"/>
        <item m="1" x="705"/>
        <item x="114"/>
        <item x="116"/>
        <item x="115"/>
        <item m="1" x="541"/>
        <item m="1" x="792"/>
        <item x="119"/>
        <item x="123"/>
        <item x="121"/>
        <item x="125"/>
        <item m="1" x="507"/>
        <item m="1" x="902"/>
        <item m="1" x="744"/>
        <item m="1" x="811"/>
        <item m="1" x="984"/>
        <item m="1" x="200"/>
        <item m="1" x="366"/>
        <item m="1" x="237"/>
        <item m="1" x="238"/>
        <item m="1" x="716"/>
        <item m="1" x="337"/>
        <item m="1" x="394"/>
        <item m="1" x="859"/>
        <item m="1" x="475"/>
        <item m="1" x="528"/>
        <item m="1" x="1146"/>
        <item m="1" x="417"/>
        <item m="1" x="573"/>
        <item m="1" x="1059"/>
        <item m="1" x="754"/>
        <item m="1" x="704"/>
        <item m="1" x="1020"/>
        <item m="1" x="916"/>
        <item m="1" x="371"/>
        <item x="21"/>
        <item m="1" x="152"/>
        <item m="1" x="971"/>
        <item m="1" x="714"/>
        <item x="92"/>
        <item x="89"/>
        <item x="91"/>
        <item x="85"/>
        <item x="103"/>
        <item x="95"/>
        <item x="96"/>
        <item m="1" x="474"/>
        <item x="94"/>
        <item m="1" x="302"/>
        <item m="1" x="303"/>
        <item x="84"/>
        <item m="1" x="181"/>
        <item m="1" x="347"/>
        <item m="1" x="472"/>
        <item m="1" x="987"/>
        <item m="1" x="850"/>
        <item m="1" x="880"/>
        <item m="1" x="845"/>
        <item m="1" x="632"/>
        <item m="1" x="1129"/>
        <item m="1" x="777"/>
        <item m="1" x="875"/>
        <item m="1" x="847"/>
        <item m="1" x="590"/>
        <item m="1" x="351"/>
        <item m="1" x="1051"/>
        <item m="1" x="680"/>
        <item m="1" x="1006"/>
        <item m="1" x="835"/>
        <item m="1" x="834"/>
        <item m="1" x="910"/>
        <item m="1" x="1149"/>
        <item m="1" x="515"/>
        <item m="1" x="736"/>
        <item m="1" x="393"/>
        <item m="1" x="577"/>
        <item m="1" x="696"/>
        <item m="1" x="548"/>
        <item m="1" x="974"/>
        <item m="1" x="316"/>
        <item m="1" x="767"/>
        <item x="77"/>
        <item x="5"/>
        <item m="1" x="234"/>
        <item m="1" x="1063"/>
        <item m="1" x="654"/>
        <item m="1" x="813"/>
        <item m="1" x="781"/>
        <item m="1" x="692"/>
        <item m="1" x="981"/>
        <item m="1" x="203"/>
        <item m="1" x="221"/>
        <item m="1" x="199"/>
        <item m="1" x="386"/>
        <item m="1" x="264"/>
        <item m="1" x="265"/>
        <item m="1" x="204"/>
        <item m="1" x="201"/>
        <item x="7"/>
        <item m="1" x="1154"/>
        <item m="1" x="283"/>
        <item m="1" x="349"/>
        <item m="1" x="284"/>
        <item m="1" x="329"/>
        <item m="1" x="188"/>
        <item x="111"/>
        <item m="1" x="261"/>
        <item m="1" x="707"/>
        <item m="1" x="879"/>
        <item m="1" x="643"/>
        <item m="1" x="731"/>
        <item m="1" x="732"/>
        <item m="1" x="830"/>
        <item m="1" x="256"/>
        <item x="70"/>
        <item m="1" x="683"/>
        <item m="1" x="932"/>
        <item m="1" x="1147"/>
        <item m="1" x="872"/>
        <item m="1" x="1134"/>
        <item m="1" x="941"/>
        <item m="1" x="1135"/>
        <item m="1" x="942"/>
        <item m="1" x="686"/>
        <item m="1" x="800"/>
        <item m="1" x="651"/>
        <item m="1" x="685"/>
        <item m="1" x="1004"/>
        <item m="1" x="214"/>
        <item m="1" x="215"/>
        <item m="1" x="273"/>
        <item x="24"/>
        <item m="1" x="272"/>
        <item m="1" x="747"/>
        <item m="1" x="669"/>
        <item m="1" x="1079"/>
        <item m="1" x="656"/>
        <item x="126"/>
        <item x="124"/>
        <item m="1" x="679"/>
        <item m="1" x="891"/>
        <item m="1" x="962"/>
        <item m="1" x="1082"/>
        <item m="1" x="789"/>
        <item m="1" x="1110"/>
        <item m="1" x="1005"/>
        <item m="1" x="597"/>
        <item m="1" x="431"/>
        <item m="1" x="1032"/>
        <item x="100"/>
        <item x="88"/>
        <item m="1" x="827"/>
        <item m="1" x="1099"/>
        <item m="1" x="911"/>
        <item m="1" x="511"/>
        <item m="1" x="1145"/>
        <item m="1" x="909"/>
        <item m="1" x="809"/>
        <item m="1" x="1049"/>
        <item m="1" x="1050"/>
        <item m="1" x="682"/>
        <item m="1" x="907"/>
        <item m="1" x="700"/>
        <item m="1" x="757"/>
        <item m="1" x="332"/>
        <item m="1" x="852"/>
        <item m="1" x="1081"/>
        <item m="1" x="888"/>
        <item m="1" x="899"/>
        <item m="1" x="745"/>
        <item m="1" x="629"/>
        <item m="1" x="900"/>
        <item m="1" x="982"/>
        <item m="1" x="202"/>
        <item m="1" x="708"/>
        <item m="1" x="801"/>
        <item m="1" x="675"/>
        <item x="110"/>
        <item x="118"/>
        <item m="1" x="1152"/>
        <item m="1" x="635"/>
        <item m="1" x="219"/>
        <item x="120"/>
        <item m="1" x="703"/>
        <item m="1" x="1132"/>
        <item m="1" x="189"/>
        <item x="113"/>
        <item m="1" x="542"/>
        <item m="1" x="190"/>
        <item m="1" x="889"/>
        <item m="1" x="906"/>
        <item m="1" x="278"/>
        <item m="1" x="1090"/>
        <item m="1" x="1084"/>
        <item m="1" x="213"/>
        <item m="1" x="622"/>
        <item m="1" x="796"/>
        <item m="1" x="846"/>
        <item m="1" x="821"/>
        <item m="1" x="746"/>
        <item m="1" x="1033"/>
        <item m="1" x="807"/>
        <item m="1" x="572"/>
        <item m="1" x="820"/>
        <item m="1" x="217"/>
        <item m="1" x="233"/>
        <item x="3"/>
        <item m="1" x="951"/>
        <item m="1" x="218"/>
        <item m="1" x="389"/>
        <item m="1" x="756"/>
        <item m="1" x="915"/>
        <item m="1" x="992"/>
        <item m="1" x="1023"/>
        <item m="1" x="993"/>
        <item m="1" x="758"/>
        <item m="1" x="1026"/>
        <item m="1" x="876"/>
        <item m="1" x="970"/>
        <item m="1" x="892"/>
        <item m="1" x="886"/>
        <item m="1" x="823"/>
        <item m="1" x="824"/>
        <item x="40"/>
        <item m="1" x="829"/>
        <item m="1" x="1011"/>
        <item m="1" x="882"/>
        <item m="1" x="1071"/>
        <item m="1" x="299"/>
        <item m="1" x="1100"/>
        <item m="1" x="1052"/>
        <item m="1" x="1103"/>
        <item m="1" x="695"/>
        <item m="1" x="998"/>
        <item m="1" x="782"/>
        <item m="1" x="1131"/>
        <item m="1" x="1027"/>
        <item m="1" x="328"/>
        <item m="1" x="480"/>
        <item m="1" x="961"/>
        <item m="1" x="964"/>
        <item m="1" x="1086"/>
        <item m="1" x="771"/>
        <item m="1" x="660"/>
        <item m="1" x="1127"/>
        <item m="1" x="314"/>
        <item x="27"/>
        <item m="1" x="290"/>
        <item m="1" x="240"/>
        <item m="1" x="154"/>
        <item x="2"/>
        <item m="1" x="739"/>
        <item x="122"/>
        <item m="1" x="727"/>
        <item m="1" x="1088"/>
        <item m="1" x="814"/>
        <item m="1" x="1136"/>
        <item m="1" x="945"/>
        <item m="1" x="459"/>
        <item m="1" x="677"/>
        <item m="1" x="687"/>
        <item m="1" x="672"/>
        <item m="1" x="266"/>
        <item x="131"/>
        <item m="1" x="653"/>
        <item m="1" x="1013"/>
        <item m="1" x="1101"/>
        <item m="1" x="641"/>
        <item m="1" x="1128"/>
        <item x="26"/>
        <item m="1" x="206"/>
        <item m="1" x="664"/>
        <item x="4"/>
        <item m="1" x="861"/>
        <item m="1" x="652"/>
        <item m="1" x="1121"/>
        <item m="1" x="1016"/>
        <item m="1" x="427"/>
        <item x="28"/>
        <item m="1" x="751"/>
        <item m="1" x="599"/>
        <item m="1" x="604"/>
        <item m="1" x="338"/>
        <item m="1" x="155"/>
        <item m="1" x="588"/>
        <item m="1" x="795"/>
        <item m="1" x="775"/>
        <item m="1" x="793"/>
        <item m="1" x="1058"/>
        <item x="23"/>
        <item m="1" x="755"/>
        <item m="1" x="1133"/>
        <item m="1" x="897"/>
        <item m="1" x="280"/>
        <item m="1" x="281"/>
        <item m="1" x="391"/>
        <item m="1" x="486"/>
        <item m="1" x="776"/>
        <item m="1" x="160"/>
        <item m="1" x="576"/>
        <item m="1" x="400"/>
        <item m="1" x="740"/>
        <item m="1" x="187"/>
        <item m="1" x="479"/>
        <item m="1" x="241"/>
        <item x="25"/>
        <item m="1" x="1126"/>
        <item m="1" x="1140"/>
        <item m="1" x="828"/>
        <item m="1" x="184"/>
        <item m="1" x="676"/>
        <item m="1" x="438"/>
        <item m="1" x="447"/>
        <item m="1" x="444"/>
        <item m="1" x="808"/>
        <item x="18"/>
        <item m="1" x="836"/>
        <item m="1" x="934"/>
        <item m="1" x="930"/>
        <item m="1" x="848"/>
        <item x="138"/>
        <item m="1" x="301"/>
        <item m="1" x="978"/>
        <item m="1" x="555"/>
        <item m="1" x="509"/>
        <item m="1" x="1009"/>
        <item x="39"/>
        <item m="1" x="225"/>
        <item m="1" x="581"/>
        <item m="1" x="1056"/>
        <item m="1" x="908"/>
        <item m="1" x="997"/>
        <item m="1" x="425"/>
        <item m="1" x="805"/>
        <item x="87"/>
        <item m="1" x="1104"/>
        <item m="1" x="925"/>
        <item m="1" x="764"/>
        <item m="1" x="1047"/>
        <item m="1" x="839"/>
        <item m="1" x="766"/>
        <item m="1" x="768"/>
        <item m="1" x="991"/>
        <item m="1" x="344"/>
        <item m="1" x="384"/>
        <item x="107"/>
        <item m="1" x="621"/>
        <item m="1" x="620"/>
        <item m="1" x="865"/>
        <item m="1" x="1069"/>
        <item m="1" x="871"/>
        <item m="1" x="832"/>
        <item m="1" x="1153"/>
        <item m="1" x="681"/>
        <item m="1" x="263"/>
        <item m="1" x="1048"/>
        <item x="67"/>
        <item m="1" x="709"/>
        <item m="1" x="661"/>
        <item m="1" x="725"/>
        <item m="1" x="763"/>
        <item m="1" x="842"/>
        <item m="1" x="799"/>
        <item m="1" x="922"/>
        <item m="1" x="944"/>
        <item m="1" x="986"/>
        <item m="1" x="735"/>
        <item m="1" x="774"/>
        <item m="1" x="216"/>
        <item m="1" x="348"/>
        <item x="104"/>
        <item m="1" x="741"/>
        <item m="1" x="733"/>
        <item m="1" x="491"/>
        <item m="1" x="458"/>
        <item m="1" x="843"/>
        <item m="1" x="673"/>
        <item m="1" x="487"/>
        <item m="1" x="333"/>
        <item m="1" x="270"/>
        <item m="1" x="331"/>
        <item x="9"/>
        <item m="1" x="274"/>
        <item m="1" x="1097"/>
        <item m="1" x="840"/>
        <item m="1" x="298"/>
        <item m="1" x="276"/>
        <item m="1" x="948"/>
        <item m="1" x="786"/>
        <item m="1" x="340"/>
        <item m="1" x="923"/>
        <item x="64"/>
        <item m="1" x="1144"/>
        <item m="1" x="1125"/>
        <item m="1" x="798"/>
        <item m="1" x="461"/>
        <item m="1" x="482"/>
        <item m="1" x="559"/>
        <item x="45"/>
        <item x="43"/>
        <item m="1" x="1068"/>
        <item m="1" x="650"/>
        <item m="1" x="701"/>
        <item m="1" x="1076"/>
        <item m="1" x="1025"/>
        <item m="1" x="167"/>
        <item m="1" x="769"/>
        <item m="1" x="957"/>
        <item m="1" x="881"/>
        <item m="1" x="1045"/>
        <item m="1" x="397"/>
        <item m="1" x="251"/>
        <item x="63"/>
        <item m="1" x="688"/>
        <item m="1" x="235"/>
        <item x="49"/>
        <item x="41"/>
        <item m="1" x="639"/>
        <item m="1" x="495"/>
        <item m="1" x="898"/>
        <item m="1" x="173"/>
        <item m="1" x="174"/>
        <item m="1" x="282"/>
        <item m="1" x="439"/>
        <item m="1" x="883"/>
        <item m="1" x="296"/>
        <item m="1" x="950"/>
        <item m="1" x="401"/>
        <item m="1" x="297"/>
        <item m="1" x="497"/>
        <item m="1" x="356"/>
        <item m="1" x="578"/>
        <item m="1" x="924"/>
        <item m="1" x="784"/>
        <item m="1" x="315"/>
        <item m="1" x="760"/>
        <item m="1" x="862"/>
        <item m="1" x="864"/>
        <item m="1" x="454"/>
        <item m="1" x="575"/>
        <item m="1" x="1119"/>
        <item m="1" x="657"/>
        <item m="1" x="860"/>
        <item m="1" x="460"/>
        <item m="1" x="433"/>
        <item m="1" x="1015"/>
        <item m="1" x="168"/>
        <item m="1" x="208"/>
        <item m="1" x="362"/>
        <item x="66"/>
        <item m="1" x="506"/>
        <item m="1" x="1074"/>
        <item m="1" x="390"/>
        <item m="1" x="1148"/>
        <item m="1" x="321"/>
        <item m="1" x="359"/>
        <item x="68"/>
        <item m="1" x="874"/>
        <item m="1" x="1073"/>
        <item m="1" x="493"/>
        <item m="1" x="612"/>
        <item m="1" x="508"/>
        <item m="1" x="870"/>
        <item m="1" x="606"/>
        <item m="1" x="636"/>
        <item m="1" x="1067"/>
        <item m="1" x="553"/>
        <item m="1" x="644"/>
        <item m="1" x="1064"/>
        <item m="1" x="806"/>
        <item m="1" x="415"/>
        <item m="1" x="322"/>
        <item m="1" x="1080"/>
        <item m="1" x="917"/>
        <item x="98"/>
        <item m="1" x="1150"/>
        <item m="1" x="979"/>
        <item m="1" x="1108"/>
        <item m="1" x="220"/>
        <item m="1" x="1098"/>
        <item m="1" x="649"/>
        <item m="1" x="734"/>
        <item m="1" x="841"/>
        <item m="1" x="960"/>
        <item x="58"/>
        <item x="57"/>
        <item m="1" x="169"/>
        <item m="1" x="430"/>
        <item m="1" x="175"/>
        <item m="1" x="797"/>
        <item m="1" x="533"/>
        <item x="61"/>
        <item x="59"/>
        <item x="60"/>
        <item x="62"/>
        <item m="1" x="421"/>
        <item m="1" x="414"/>
        <item m="1" x="1109"/>
        <item m="1" x="616"/>
        <item m="1" x="750"/>
        <item m="1" x="566"/>
        <item m="1" x="429"/>
        <item m="1" x="1012"/>
        <item m="1" x="161"/>
        <item x="46"/>
        <item x="44"/>
        <item x="48"/>
        <item m="1" x="250"/>
        <item m="1" x="1010"/>
        <item m="1" x="645"/>
        <item m="1" x="360"/>
        <item m="1" x="868"/>
        <item m="1" x="209"/>
        <item m="1" x="341"/>
        <item m="1" x="791"/>
        <item m="1" x="867"/>
        <item m="1" x="968"/>
        <item m="1" x="790"/>
        <item m="1" x="674"/>
        <item m="1" x="665"/>
        <item m="1" x="615"/>
        <item m="1" x="596"/>
        <item m="1" x="918"/>
        <item m="1" x="931"/>
        <item m="1" x="456"/>
        <item m="1" x="779"/>
        <item m="1" x="658"/>
        <item m="1" x="697"/>
        <item m="1" x="1057"/>
        <item m="1" x="1062"/>
        <item m="1" x="973"/>
        <item m="1" x="600"/>
        <item m="1" x="638"/>
        <item m="1" x="963"/>
        <item m="1" x="919"/>
        <item m="1" x="717"/>
        <item m="1" x="413"/>
        <item m="1" x="412"/>
        <item m="1" x="623"/>
        <item m="1" x="933"/>
        <item m="1" x="442"/>
        <item m="1" x="589"/>
        <item x="42"/>
        <item m="1" x="678"/>
        <item m="1" x="684"/>
        <item m="1" x="346"/>
        <item m="1" x="1038"/>
        <item m="1" x="1002"/>
        <item m="1" x="743"/>
        <item m="1" x="295"/>
        <item m="1" x="586"/>
        <item x="8"/>
        <item m="1" x="531"/>
        <item m="1" x="783"/>
        <item m="1" x="738"/>
        <item m="1" x="1029"/>
        <item m="1" x="593"/>
        <item m="1" x="1113"/>
        <item m="1" x="294"/>
        <item m="1" x="1138"/>
        <item m="1" x="1022"/>
        <item m="1" x="562"/>
        <item m="1" x="955"/>
        <item m="1" x="869"/>
        <item m="1" x="935"/>
        <item m="1" x="1053"/>
        <item m="1" x="975"/>
        <item m="1" x="976"/>
        <item m="1" x="927"/>
        <item m="1" x="146"/>
        <item m="1" x="145"/>
        <item m="1" x="147"/>
        <item m="1" x="788"/>
        <item m="1" x="778"/>
        <item m="1" x="142"/>
        <item x="13"/>
        <item m="1" x="690"/>
        <item m="1" x="853"/>
        <item m="1" x="170"/>
        <item m="1" x="1095"/>
        <item m="1" x="1112"/>
        <item m="1" x="1143"/>
        <item m="1" x="894"/>
        <item m="1" x="469"/>
        <item m="1" x="369"/>
        <item m="1" x="1102"/>
        <item m="1" x="670"/>
        <item x="11"/>
        <item m="1" x="713"/>
        <item m="1" x="1021"/>
        <item m="1" x="144"/>
        <item x="12"/>
        <item m="1" x="143"/>
        <item m="1" x="721"/>
        <item m="1" x="928"/>
        <item m="1" x="1106"/>
        <item m="1" x="996"/>
        <item m="1" x="856"/>
        <item m="1" x="921"/>
        <item m="1" x="1115"/>
        <item m="1" x="719"/>
        <item m="1" x="374"/>
        <item m="1" x="1130"/>
        <item m="1" x="148"/>
        <item m="1" x="1111"/>
        <item m="1" x="959"/>
        <item m="1" x="171"/>
        <item m="1" x="1017"/>
        <item m="1" x="890"/>
        <item m="1" x="711"/>
        <item m="1" x="380"/>
        <item m="1" x="648"/>
        <item m="1" x="822"/>
        <item m="1" x="494"/>
        <item x="65"/>
        <item m="1" x="582"/>
        <item m="1" x="866"/>
        <item m="1" x="178"/>
        <item m="1" x="759"/>
        <item m="1" x="398"/>
        <item m="1" x="224"/>
        <item m="1" x="817"/>
        <item m="1" x="473"/>
        <item m="1" x="451"/>
        <item m="1" x="689"/>
        <item m="1" x="1028"/>
        <item m="1" x="1024"/>
        <item x="6"/>
        <item m="1" x="230"/>
        <item m="1" x="617"/>
        <item m="1" x="587"/>
        <item m="1" x="637"/>
        <item m="1" x="1085"/>
        <item m="1" x="838"/>
        <item m="1" x="903"/>
        <item m="1" x="826"/>
        <item m="1" x="624"/>
        <item m="1" x="844"/>
        <item m="1" x="607"/>
        <item m="1" x="893"/>
        <item m="1" x="372"/>
        <item m="1" x="353"/>
        <item m="1" x="354"/>
        <item m="1" x="355"/>
        <item m="1" x="1046"/>
        <item m="1" x="405"/>
        <item m="1" x="965"/>
        <item m="1" x="1094"/>
        <item m="1" x="585"/>
        <item m="1" x="1042"/>
        <item m="1" x="954"/>
        <item m="1" x="710"/>
        <item m="1" x="857"/>
        <item m="1" x="642"/>
        <item m="1" x="269"/>
        <item m="1" x="958"/>
        <item m="1" x="231"/>
        <item m="1" x="418"/>
        <item m="1" x="420"/>
        <item m="1" x="936"/>
        <item m="1" x="1093"/>
        <item m="1" x="667"/>
        <item m="1" x="884"/>
        <item m="1" x="1137"/>
        <item m="1" x="887"/>
        <item m="1" x="1040"/>
        <item m="1" x="1065"/>
        <item m="1" x="877"/>
        <item m="1" x="724"/>
        <item m="1" x="1003"/>
        <item m="1" x="432"/>
        <item m="1" x="443"/>
        <item m="1" x="1096"/>
        <item m="1" x="1036"/>
        <item m="1" x="753"/>
        <item m="1" x="904"/>
        <item m="1" x="761"/>
        <item m="1" x="1060"/>
        <item m="1" x="752"/>
        <item m="1" x="773"/>
        <item m="1" x="352"/>
        <item m="1" x="546"/>
        <item m="1" x="242"/>
        <item m="1" x="953"/>
        <item m="1" x="1018"/>
        <item m="1" x="647"/>
        <item x="47"/>
        <item m="1" x="457"/>
        <item x="134"/>
        <item m="1" x="309"/>
        <item x="135"/>
        <item m="1" x="561"/>
        <item m="1" x="671"/>
        <item m="1" x="543"/>
        <item x="79"/>
        <item x="80"/>
        <item m="1" x="698"/>
        <item m="1" x="631"/>
        <item m="1" x="833"/>
        <item m="1" x="706"/>
        <item m="1" x="956"/>
        <item m="1" x="538"/>
        <item m="1" x="267"/>
        <item m="1" x="569"/>
        <item m="1" x="1001"/>
        <item m="1" x="505"/>
        <item m="1" x="490"/>
        <item m="1" x="720"/>
        <item m="1" x="1066"/>
        <item m="1" x="523"/>
        <item x="51"/>
        <item x="52"/>
        <item m="1" x="411"/>
        <item m="1" x="726"/>
        <item m="1" x="666"/>
        <item m="1" x="989"/>
        <item m="1" x="947"/>
        <item m="1" x="409"/>
        <item m="1" x="1007"/>
        <item m="1" x="249"/>
        <item m="1" x="504"/>
        <item m="1" x="854"/>
        <item m="1" x="613"/>
        <item x="99"/>
        <item m="1" x="999"/>
        <item m="1" x="195"/>
        <item m="1" x="385"/>
        <item x="128"/>
        <item x="129"/>
        <item m="1" x="285"/>
        <item m="1" x="198"/>
        <item m="1" x="226"/>
        <item m="1" x="306"/>
        <item m="1" x="1155"/>
        <item m="1" x="396"/>
        <item x="127"/>
        <item x="130"/>
        <item m="1" x="699"/>
        <item m="1" x="1120"/>
        <item m="1" x="1075"/>
        <item m="1" x="985"/>
        <item m="1" x="305"/>
        <item m="1" x="601"/>
        <item m="1" x="723"/>
        <item m="1" x="196"/>
        <item m="1" x="197"/>
        <item m="1" x="702"/>
        <item m="1" x="762"/>
        <item m="1" x="633"/>
        <item m="1" x="901"/>
        <item m="1" x="544"/>
        <item m="1" x="977"/>
        <item m="1" x="343"/>
        <item m="1" x="406"/>
        <item m="1" x="440"/>
        <item m="1" x="815"/>
        <item m="1" x="149"/>
        <item m="1" x="150"/>
        <item x="14"/>
        <item x="15"/>
        <item m="1" x="395"/>
        <item m="1" x="570"/>
        <item m="1" x="1151"/>
        <item m="1" x="1092"/>
        <item m="1" x="258"/>
        <item m="1" x="259"/>
        <item m="1" x="610"/>
        <item m="1" x="223"/>
        <item x="69"/>
        <item m="1" x="287"/>
        <item m="1" x="618"/>
        <item m="1" x="1107"/>
        <item m="1" x="525"/>
        <item m="1" x="268"/>
        <item m="1" x="350"/>
        <item m="1" x="552"/>
        <item m="1" x="402"/>
        <item m="1" x="539"/>
        <item m="1" x="522"/>
        <item m="1" x="288"/>
        <item x="17"/>
        <item m="1" x="913"/>
        <item m="1" x="949"/>
        <item m="1" x="946"/>
        <item m="1" x="885"/>
        <item m="1" x="1114"/>
        <item m="1" x="521"/>
        <item m="1" x="526"/>
        <item m="1" x="896"/>
        <item m="1" x="437"/>
        <item x="20"/>
        <item m="1" x="239"/>
        <item m="1" x="336"/>
        <item m="1" x="335"/>
        <item m="1" x="1054"/>
        <item m="1" x="592"/>
        <item m="1" x="659"/>
        <item m="1" x="1035"/>
        <item m="1" x="583"/>
        <item m="1" x="558"/>
        <item m="1" x="317"/>
        <item m="1" x="324"/>
        <item m="1" x="895"/>
        <item m="1" x="598"/>
        <item m="1" x="327"/>
        <item m="1" x="712"/>
        <item m="1" x="373"/>
        <item m="1" x="972"/>
        <item m="1" x="849"/>
        <item m="1" x="492"/>
        <item m="1" x="1091"/>
        <item m="1" x="1089"/>
        <item m="1" x="630"/>
        <item m="1" x="291"/>
        <item m="1" x="728"/>
        <item m="1" x="611"/>
        <item m="1" x="855"/>
        <item m="1" x="257"/>
        <item x="74"/>
        <item m="1" x="693"/>
        <item m="1" x="470"/>
        <item m="1" x="905"/>
        <item m="1" x="994"/>
        <item m="1" x="1078"/>
        <item m="1" x="177"/>
        <item m="1" x="342"/>
        <item m="1" x="878"/>
        <item m="1" x="1083"/>
        <item m="1" x="837"/>
        <item m="1" x="625"/>
        <item m="1" x="185"/>
        <item m="1" x="300"/>
        <item m="1" x="176"/>
        <item m="1" x="1061"/>
        <item m="1" x="873"/>
        <item m="1" x="825"/>
        <item m="1" x="453"/>
        <item m="1" x="1077"/>
        <item m="1" x="929"/>
        <item m="1" x="730"/>
        <item m="1" x="1087"/>
        <item m="1" x="770"/>
        <item m="1" x="937"/>
        <item m="1" x="920"/>
        <item m="1" x="377"/>
        <item m="1" x="403"/>
        <item m="1" x="926"/>
        <item m="1" x="715"/>
        <item m="1" x="802"/>
        <item m="1" x="1070"/>
        <item m="1" x="967"/>
        <item m="1" x="1117"/>
        <item m="1" x="939"/>
        <item m="1" x="772"/>
        <item m="1" x="1142"/>
        <item m="1" x="434"/>
        <item m="1" x="514"/>
        <item m="1" x="419"/>
        <item m="1" x="579"/>
        <item m="1" x="1031"/>
        <item m="1" x="1116"/>
        <item m="1" x="416"/>
        <item m="1" x="554"/>
        <item m="1" x="158"/>
        <item m="1" x="1141"/>
        <item m="1" x="379"/>
        <item m="1" x="478"/>
        <item x="108"/>
        <item m="1" x="980"/>
        <item m="1" x="535"/>
        <item x="16"/>
        <item m="1" x="194"/>
        <item m="1" x="742"/>
        <item m="1" x="1030"/>
        <item m="1" x="159"/>
        <item m="1" x="995"/>
        <item x="76"/>
        <item x="109"/>
        <item m="1" x="452"/>
        <item m="1" x="426"/>
        <item m="1" x="737"/>
        <item x="132"/>
        <item m="1" x="988"/>
        <item x="38"/>
        <item m="1" x="983"/>
        <item m="1" x="424"/>
        <item x="136"/>
        <item x="31"/>
        <item m="1" x="858"/>
        <item m="1" x="938"/>
        <item m="1" x="1055"/>
        <item m="1" x="1072"/>
        <item m="1" x="912"/>
        <item m="1" x="1019"/>
        <item m="1" x="584"/>
        <item m="1" x="392"/>
        <item m="1" x="156"/>
        <item m="1" x="748"/>
        <item m="1" x="594"/>
        <item m="1" x="1037"/>
        <item m="1" x="969"/>
        <item m="1" x="627"/>
        <item m="1" x="765"/>
        <item m="1" x="376"/>
        <item m="1" x="1156"/>
        <item x="37"/>
        <item m="1" x="1043"/>
        <item m="1" x="966"/>
        <item m="1" x="165"/>
        <item x="55"/>
        <item x="35"/>
        <item m="1" x="564"/>
        <item x="29"/>
        <item x="30"/>
        <item m="1" x="1000"/>
        <item m="1" x="640"/>
        <item m="1" x="228"/>
        <item m="1" x="467"/>
        <item m="1" x="498"/>
        <item m="1" x="785"/>
        <item x="133"/>
        <item m="1" x="819"/>
        <item m="1" x="628"/>
        <item m="1" x="476"/>
        <item m="1" x="503"/>
        <item m="1" x="540"/>
        <item m="1" x="990"/>
        <item m="1" x="312"/>
        <item m="1" x="609"/>
        <item m="1" x="484"/>
        <item x="36"/>
        <item m="1" x="943"/>
        <item m="1" x="519"/>
        <item m="1" x="691"/>
        <item m="1" x="1039"/>
        <item m="1" x="361"/>
        <item m="1" x="729"/>
        <item m="1" x="563"/>
        <item m="1" x="407"/>
        <item m="1" x="940"/>
        <item m="1" x="378"/>
        <item m="1" x="810"/>
        <item m="1" x="518"/>
        <item m="1" x="275"/>
        <item m="1" x="243"/>
        <item m="1" x="794"/>
        <item m="1" x="1014"/>
        <item m="1" x="279"/>
        <item m="1" x="455"/>
        <item m="1" x="565"/>
        <item m="1" x="602"/>
        <item m="1" x="603"/>
        <item m="1" x="816"/>
        <item m="1" x="512"/>
        <item m="1" x="481"/>
        <item m="1" x="140"/>
        <item m="1" x="141"/>
        <item m="1" x="313"/>
        <item m="1" x="244"/>
        <item m="1" x="162"/>
        <item m="1" x="245"/>
        <item m="1" x="520"/>
        <item m="1" x="246"/>
        <item m="1" x="248"/>
        <item m="1" x="496"/>
        <item m="1" x="510"/>
        <item x="10"/>
        <item m="1" x="271"/>
        <item m="1" x="334"/>
        <item m="1" x="310"/>
        <item m="1" x="387"/>
        <item m="1" x="465"/>
        <item m="1" x="318"/>
        <item m="1" x="319"/>
        <item x="137"/>
        <item m="1" x="477"/>
        <item x="78"/>
        <item m="1" x="367"/>
        <item m="1" x="436"/>
        <item m="1" x="557"/>
        <item x="19"/>
        <item m="1" x="591"/>
        <item m="1" x="626"/>
        <item m="1" x="517"/>
        <item m="1" x="358"/>
        <item m="1" x="851"/>
        <item x="34"/>
        <item x="73"/>
        <item m="1" x="952"/>
        <item m="1" x="502"/>
        <item m="1" x="556"/>
        <item m="1" x="568"/>
        <item m="1" x="549"/>
        <item m="1" x="580"/>
        <item x="72"/>
        <item m="1" x="471"/>
        <item m="1" x="422"/>
        <item m="1" x="293"/>
        <item m="1" x="388"/>
        <item m="1" x="574"/>
        <item m="1" x="247"/>
        <item m="1" x="446"/>
        <item m="1" x="803"/>
        <item m="1" x="529"/>
        <item m="1" x="229"/>
        <item x="50"/>
        <item m="1" x="252"/>
        <item m="1" x="172"/>
        <item m="1" x="375"/>
        <item m="1" x="254"/>
        <item m="1" x="545"/>
        <item m="1" x="210"/>
        <item m="1" x="550"/>
        <item x="32"/>
        <item m="1" x="605"/>
        <item m="1" x="619"/>
        <item m="1" x="339"/>
        <item m="1" x="253"/>
        <item m="1" x="320"/>
        <item m="1" x="483"/>
        <item m="1" x="488"/>
        <item m="1" x="551"/>
        <item m="1" x="191"/>
        <item m="1" x="289"/>
        <item m="1" x="547"/>
        <item m="1" x="357"/>
        <item m="1" x="428"/>
        <item m="1" x="536"/>
        <item m="1" x="435"/>
        <item m="1" x="255"/>
        <item m="1" x="277"/>
        <item m="1" x="537"/>
        <item m="1" x="595"/>
        <item m="1" x="466"/>
        <item m="1" x="571"/>
        <item x="53"/>
        <item m="1" x="164"/>
        <item m="1" x="567"/>
        <item m="1" x="307"/>
        <item m="1" x="326"/>
        <item m="1" x="560"/>
        <item m="1" x="441"/>
        <item x="54"/>
        <item m="1" x="516"/>
        <item m="1" x="489"/>
        <item m="1" x="423"/>
        <item m="1" x="463"/>
        <item m="1" x="534"/>
        <item x="56"/>
        <item m="1" x="186"/>
        <item m="1" x="308"/>
        <item m="1" x="262"/>
        <item x="117"/>
        <item m="1" x="192"/>
        <item m="1" x="532"/>
        <item x="112"/>
        <item m="1" x="527"/>
        <item m="1" x="530"/>
        <item m="1" x="330"/>
        <item m="1" x="464"/>
        <item m="1" x="166"/>
        <item m="1" x="524"/>
        <item m="1" x="448"/>
        <item m="1" x="408"/>
        <item m="1" x="205"/>
        <item m="1" x="222"/>
        <item m="1" x="499"/>
        <item m="1" x="207"/>
        <item m="1" x="501"/>
        <item x="97"/>
        <item m="1" x="227"/>
        <item m="1" x="368"/>
        <item m="1" x="445"/>
        <item m="1" x="468"/>
        <item m="1" x="449"/>
        <item m="1" x="157"/>
        <item x="33"/>
        <item m="1" x="450"/>
        <item m="1" x="364"/>
        <item m="1" x="325"/>
        <item m="1" x="236"/>
        <item x="106"/>
        <item m="1" x="399"/>
        <item m="1" x="381"/>
        <item m="1" x="365"/>
        <item m="1" x="151"/>
        <item m="1" x="292"/>
        <item m="1" x="163"/>
        <item m="1" x="179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9">
    <i>
      <x/>
      <x/>
    </i>
    <i>
      <x v="1"/>
      <x v="2"/>
    </i>
    <i>
      <x v="2"/>
      <x v="3"/>
    </i>
    <i>
      <x v="6"/>
      <x v="102"/>
    </i>
    <i>
      <x v="68"/>
      <x v="847"/>
    </i>
    <i>
      <x v="69"/>
      <x v="382"/>
    </i>
    <i>
      <x v="84"/>
      <x v="198"/>
    </i>
    <i>
      <x v="95"/>
      <x v="273"/>
    </i>
    <i>
      <x v="99"/>
      <x v="857"/>
    </i>
    <i>
      <x v="104"/>
      <x v="1047"/>
    </i>
    <i>
      <x v="118"/>
      <x v="642"/>
    </i>
    <i>
      <x v="128"/>
      <x v="313"/>
    </i>
    <i>
      <x v="132"/>
      <x v="317"/>
    </i>
    <i>
      <x v="156"/>
      <x v="654"/>
    </i>
    <i>
      <x v="157"/>
      <x v="336"/>
    </i>
    <i>
      <x v="158"/>
      <x v="339"/>
    </i>
    <i>
      <x v="166"/>
      <x v="345"/>
    </i>
    <i>
      <x v="176"/>
      <x v="149"/>
    </i>
    <i>
      <x v="178"/>
      <x v="356"/>
    </i>
    <i>
      <x v="187"/>
      <x v="372"/>
    </i>
    <i>
      <x v="193"/>
      <x v="393"/>
    </i>
    <i>
      <x v="200"/>
      <x v="658"/>
    </i>
    <i>
      <x v="227"/>
      <x v="448"/>
    </i>
    <i>
      <x v="231"/>
      <x v="165"/>
    </i>
    <i>
      <x v="281"/>
      <x v="618"/>
    </i>
    <i>
      <x v="297"/>
      <x v="694"/>
    </i>
    <i>
      <x v="320"/>
      <x v="1080"/>
    </i>
    <i>
      <x v="344"/>
      <x v="825"/>
    </i>
    <i>
      <x v="345"/>
      <x v="826"/>
    </i>
    <i>
      <x v="379"/>
      <x v="937"/>
    </i>
    <i>
      <x v="382"/>
      <x v="950"/>
    </i>
    <i>
      <x v="383"/>
      <x v="954"/>
    </i>
    <i>
      <x v="390"/>
      <x v="972"/>
    </i>
    <i>
      <x v="391"/>
      <x v="977"/>
    </i>
    <i>
      <x v="392"/>
      <x v="979"/>
    </i>
    <i>
      <x v="393"/>
      <x v="980"/>
    </i>
    <i>
      <x v="400"/>
      <x v="997"/>
    </i>
    <i>
      <x v="410"/>
      <x v="1033"/>
    </i>
    <i>
      <x v="415"/>
      <x v="1053"/>
    </i>
    <i>
      <x v="428"/>
      <x v="110"/>
    </i>
    <i>
      <x v="431"/>
      <x v="55"/>
    </i>
    <i>
      <x v="432"/>
      <x v="52"/>
    </i>
    <i>
      <x v="433"/>
      <x v="53"/>
    </i>
    <i>
      <x v="435"/>
      <x v="1136"/>
    </i>
    <i>
      <x v="436"/>
      <x v="148"/>
    </i>
    <i>
      <x v="437"/>
      <x v="74"/>
    </i>
    <i>
      <x v="440"/>
      <x v="1143"/>
    </i>
    <i>
      <x v="441"/>
      <x v="109"/>
    </i>
    <i>
      <x v="442"/>
      <x v="172"/>
    </i>
    <i>
      <x v="443"/>
      <x v="516"/>
    </i>
    <i>
      <x v="444"/>
      <x v="47"/>
    </i>
    <i>
      <x v="445"/>
      <x v="790"/>
    </i>
    <i>
      <x v="446"/>
      <x v="987"/>
    </i>
    <i>
      <x v="448"/>
      <x v="552"/>
    </i>
    <i>
      <x v="449"/>
      <x v="290"/>
    </i>
    <i>
      <x v="450"/>
      <x v="181"/>
    </i>
    <i>
      <x v="451"/>
      <x v="551"/>
    </i>
    <i>
      <x v="452"/>
      <x v="835"/>
    </i>
    <i>
      <x v="453"/>
      <x v="25"/>
    </i>
    <i>
      <x v="454"/>
      <x v="217"/>
    </i>
    <i>
      <x v="455"/>
      <x v="108"/>
    </i>
    <i>
      <x v="456"/>
      <x v="483"/>
    </i>
    <i>
      <x v="457"/>
      <x v="245"/>
    </i>
    <i>
      <x v="458"/>
      <x v="204"/>
    </i>
    <i>
      <x v="459"/>
      <x v="976"/>
    </i>
    <i>
      <x v="460"/>
      <x v="1102"/>
    </i>
    <i>
      <x v="461"/>
      <x v="571"/>
    </i>
    <i>
      <x v="462"/>
      <x v="482"/>
    </i>
    <i>
      <x v="463"/>
      <x v="479"/>
    </i>
    <i>
      <x v="464"/>
      <x v="216"/>
    </i>
    <i>
      <x v="465"/>
      <x v="49"/>
    </i>
    <i>
      <x v="466"/>
      <x v="253"/>
    </i>
    <i>
      <x v="467"/>
      <x v="69"/>
    </i>
    <i>
      <x v="468"/>
      <x v="70"/>
    </i>
    <i>
      <x v="470"/>
      <x v="1061"/>
    </i>
    <i>
      <x v="471"/>
      <x v="1054"/>
    </i>
    <i>
      <x v="472"/>
      <x v="117"/>
    </i>
    <i>
      <x v="473"/>
      <x v="114"/>
    </i>
    <i>
      <x v="474"/>
      <x v="244"/>
    </i>
    <i>
      <x v="475"/>
      <x v="572"/>
    </i>
    <i>
      <x v="476"/>
      <x v="465"/>
    </i>
    <i>
      <x v="477"/>
      <x v="1109"/>
    </i>
    <i>
      <x v="478"/>
      <x v="56"/>
    </i>
    <i>
      <x v="479"/>
      <x v="944"/>
    </i>
    <i>
      <x v="480"/>
      <x v="466"/>
    </i>
    <i>
      <x v="481"/>
      <x v="573"/>
    </i>
    <i>
      <x v="482"/>
      <x v="558"/>
    </i>
    <i>
      <x v="483"/>
      <x v="423"/>
    </i>
    <i>
      <x v="484"/>
      <x v="437"/>
    </i>
    <i>
      <x v="485"/>
      <x v="1148"/>
    </i>
    <i>
      <x v="486"/>
      <x v="71"/>
    </i>
    <i>
      <x v="487"/>
      <x v="319"/>
    </i>
    <i>
      <x v="488"/>
      <x v="75"/>
    </i>
    <i>
      <x v="489"/>
      <x v="609"/>
    </i>
    <i>
      <x v="490"/>
      <x v="1072"/>
    </i>
    <i>
      <x v="491"/>
      <x v="777"/>
    </i>
    <i>
      <x v="492"/>
      <x v="778"/>
    </i>
    <i>
      <x v="493"/>
      <x v="559"/>
    </i>
    <i>
      <x v="494"/>
      <x v="560"/>
    </i>
    <i>
      <x v="495"/>
      <x v="458"/>
    </i>
    <i>
      <x v="496"/>
      <x v="1156"/>
    </i>
    <i>
      <x v="497"/>
      <x v="761"/>
    </i>
    <i>
      <x v="498"/>
      <x v="762"/>
    </i>
    <i>
      <x v="499"/>
      <x v="107"/>
    </i>
    <i>
      <x v="500"/>
      <x v="106"/>
    </i>
    <i>
      <x v="501"/>
      <x v="111"/>
    </i>
    <i>
      <x v="502"/>
      <x v="50"/>
    </i>
    <i>
      <x v="503"/>
      <x v="412"/>
    </i>
    <i>
      <x v="504"/>
      <x v="1122"/>
    </i>
    <i>
      <x v="505"/>
      <x v="1119"/>
    </i>
    <i>
      <x v="506"/>
      <x v="802"/>
    </i>
    <i>
      <x v="507"/>
      <x v="330"/>
    </i>
    <i>
      <x v="508"/>
      <x v="1041"/>
    </i>
    <i>
      <x v="509"/>
      <x v="753"/>
    </i>
    <i>
      <x v="510"/>
      <x v="1115"/>
    </i>
    <i>
      <x v="511"/>
      <x v="561"/>
    </i>
    <i>
      <x v="512"/>
      <x v="681"/>
    </i>
    <i>
      <x v="513"/>
      <x v="523"/>
    </i>
    <i>
      <x v="514"/>
      <x v="885"/>
    </i>
    <i>
      <x v="515"/>
      <x v="943"/>
    </i>
    <i>
      <x v="516"/>
      <x v="1043"/>
    </i>
    <i>
      <x v="517"/>
      <x v="62"/>
    </i>
    <i>
      <x v="518"/>
      <x v="401"/>
    </i>
    <i>
      <x v="519"/>
      <x v="112"/>
    </i>
    <i>
      <x v="520"/>
      <x v="541"/>
    </i>
    <i>
      <x v="521"/>
      <x v="51"/>
    </i>
    <i>
      <x v="522"/>
      <x v="934"/>
    </i>
    <i>
      <x v="523"/>
      <x v="249"/>
    </i>
    <i>
      <x v="524"/>
      <x v="76"/>
    </i>
    <i>
      <x v="525"/>
      <x v="205"/>
    </i>
    <i>
      <x v="526"/>
      <x v="77"/>
    </i>
    <i>
      <x v="527"/>
      <x v="794"/>
    </i>
    <i>
      <x v="528"/>
      <x v="795"/>
    </i>
    <i>
      <x v="529"/>
      <x v="803"/>
    </i>
    <i>
      <x v="530"/>
      <x v="948"/>
    </i>
    <i>
      <x v="531"/>
      <x v="755"/>
    </i>
    <i>
      <x v="532"/>
      <x v="757"/>
    </i>
    <i>
      <x v="533"/>
      <x v="953"/>
    </i>
    <i>
      <x v="534"/>
      <x v="38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 numFmtId="2"/>
    <dataField name="Suma de Columna5" fld="4" baseField="0" baseItem="0" numFmtId="2"/>
  </dataFields>
  <formats count="1">
    <format dxfId="75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DB472" cacheId="40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25" firstHeaderRow="0" firstDataRow="1" firstDataCol="2"/>
  <pivotFields count="5">
    <pivotField name="columna1" axis="axisRow" compact="0" outline="0" showAll="0" defaultSubtotal="0">
      <items count="525">
        <item m="1" x="410"/>
        <item x="20"/>
        <item x="0"/>
        <item x="19"/>
        <item m="1" x="451"/>
        <item m="1" x="156"/>
        <item m="1" x="452"/>
        <item m="1" x="195"/>
        <item m="1" x="172"/>
        <item m="1" x="513"/>
        <item x="18"/>
        <item m="1" x="385"/>
        <item m="1" x="343"/>
        <item m="1" x="439"/>
        <item m="1" x="262"/>
        <item m="1" x="335"/>
        <item m="1" x="239"/>
        <item m="1" x="386"/>
        <item m="1" x="275"/>
        <item m="1" x="466"/>
        <item m="1" x="183"/>
        <item m="1" x="500"/>
        <item m="1" x="163"/>
        <item m="1" x="210"/>
        <item m="1" x="505"/>
        <item m="1" x="280"/>
        <item m="1" x="298"/>
        <item m="1" x="468"/>
        <item m="1" x="355"/>
        <item m="1" x="408"/>
        <item m="1" x="487"/>
        <item m="1" x="491"/>
        <item m="1" x="497"/>
        <item m="1" x="197"/>
        <item m="1" x="518"/>
        <item m="1" x="498"/>
        <item m="1" x="196"/>
        <item m="1" x="490"/>
        <item m="1" x="359"/>
        <item m="1" x="418"/>
        <item m="1" x="276"/>
        <item m="1" x="442"/>
        <item m="1" x="217"/>
        <item m="1" x="311"/>
        <item m="1" x="522"/>
        <item m="1" x="240"/>
        <item m="1" x="516"/>
        <item m="1" x="300"/>
        <item m="1" x="440"/>
        <item m="1" x="346"/>
        <item m="1" x="323"/>
        <item m="1" x="413"/>
        <item m="1" x="339"/>
        <item m="1" x="426"/>
        <item m="1" x="486"/>
        <item m="1" x="495"/>
        <item m="1" x="521"/>
        <item m="1" x="379"/>
        <item m="1" x="460"/>
        <item m="1" x="506"/>
        <item m="1" x="371"/>
        <item x="13"/>
        <item m="1" x="420"/>
        <item m="1" x="412"/>
        <item m="1" x="432"/>
        <item m="1" x="436"/>
        <item m="1" x="281"/>
        <item m="1" x="446"/>
        <item m="1" x="345"/>
        <item m="1" x="387"/>
        <item m="1" x="493"/>
        <item m="1" x="132"/>
        <item m="1" x="166"/>
        <item m="1" x="462"/>
        <item m="1" x="508"/>
        <item m="1" x="360"/>
        <item m="1" x="400"/>
        <item m="1" x="131"/>
        <item x="21"/>
        <item m="1" x="332"/>
        <item m="1" x="456"/>
        <item m="1" x="308"/>
        <item x="22"/>
        <item m="1" x="141"/>
        <item m="1" x="395"/>
        <item m="1" x="180"/>
        <item m="1" x="149"/>
        <item m="1" x="124"/>
        <item x="4"/>
        <item x="1"/>
        <item m="1" x="155"/>
        <item m="1" x="191"/>
        <item m="1" x="224"/>
        <item x="15"/>
        <item m="1" x="388"/>
        <item m="1" x="455"/>
        <item m="1" x="173"/>
        <item x="24"/>
        <item m="1" x="208"/>
        <item m="1" x="437"/>
        <item m="1" x="430"/>
        <item m="1" x="150"/>
        <item m="1" x="479"/>
        <item m="1" x="402"/>
        <item m="1" x="427"/>
        <item m="1" x="409"/>
        <item x="6"/>
        <item m="1" x="128"/>
        <item m="1" x="414"/>
        <item m="1" x="161"/>
        <item m="1" x="143"/>
        <item m="1" x="160"/>
        <item m="1" x="142"/>
        <item m="1" x="431"/>
        <item m="1" x="461"/>
        <item m="1" x="478"/>
        <item x="14"/>
        <item m="1" x="441"/>
        <item m="1" x="126"/>
        <item m="1" x="129"/>
        <item m="1" x="139"/>
        <item m="1" x="140"/>
        <item m="1" x="159"/>
        <item m="1" x="181"/>
        <item m="1" x="222"/>
        <item m="1" x="369"/>
        <item m="1" x="286"/>
        <item m="1" x="349"/>
        <item m="1" x="482"/>
        <item m="1" x="390"/>
        <item m="1" x="465"/>
        <item m="1" x="164"/>
        <item m="1" x="398"/>
        <item m="1" x="416"/>
        <item m="1" x="152"/>
        <item x="10"/>
        <item m="1" x="130"/>
        <item x="9"/>
        <item m="1" x="167"/>
        <item m="1" x="228"/>
        <item x="3"/>
        <item m="1" x="258"/>
        <item m="1" x="269"/>
        <item m="1" x="227"/>
        <item m="1" x="504"/>
        <item m="1" x="470"/>
        <item m="1" x="376"/>
        <item m="1" x="137"/>
        <item m="1" x="244"/>
        <item m="1" x="334"/>
        <item m="1" x="365"/>
        <item m="1" x="450"/>
        <item m="1" x="307"/>
        <item m="1" x="467"/>
        <item m="1" x="481"/>
        <item m="1" x="158"/>
        <item m="1" x="168"/>
        <item m="1" x="213"/>
        <item x="23"/>
        <item m="1" x="236"/>
        <item m="1" x="419"/>
        <item m="1" x="253"/>
        <item m="1" x="259"/>
        <item m="1" x="499"/>
        <item m="1" x="378"/>
        <item m="1" x="247"/>
        <item m="1" x="248"/>
        <item m="1" x="329"/>
        <item m="1" x="287"/>
        <item m="1" x="182"/>
        <item m="1" x="231"/>
        <item x="2"/>
        <item m="1" x="406"/>
        <item m="1" x="341"/>
        <item m="1" x="415"/>
        <item m="1" x="383"/>
        <item m="1" x="357"/>
        <item m="1" x="337"/>
        <item m="1" x="445"/>
        <item m="1" x="472"/>
        <item m="1" x="448"/>
        <item m="1" x="411"/>
        <item m="1" x="186"/>
        <item m="1" x="375"/>
        <item m="1" x="367"/>
        <item m="1" x="279"/>
        <item m="1" x="428"/>
        <item m="1" x="328"/>
        <item m="1" x="483"/>
        <item m="1" x="203"/>
        <item m="1" x="484"/>
        <item m="1" x="136"/>
        <item m="1" x="220"/>
        <item m="1" x="174"/>
        <item m="1" x="263"/>
        <item m="1" x="458"/>
        <item m="1" x="459"/>
        <item m="1" x="225"/>
        <item m="1" x="138"/>
        <item m="1" x="502"/>
        <item m="1" x="322"/>
        <item m="1" x="299"/>
        <item m="1" x="370"/>
        <item m="1" x="457"/>
        <item m="1" x="336"/>
        <item m="1" x="501"/>
        <item m="1" x="235"/>
        <item m="1" x="510"/>
        <item m="1" x="198"/>
        <item m="1" x="157"/>
        <item m="1" x="382"/>
        <item m="1" x="356"/>
        <item m="1" x="475"/>
        <item m="1" x="316"/>
        <item m="1" x="229"/>
        <item m="1" x="202"/>
        <item m="1" x="232"/>
        <item m="1" x="165"/>
        <item m="1" x="514"/>
        <item m="1" x="151"/>
        <item m="1" x="223"/>
        <item m="1" x="211"/>
        <item m="1" x="162"/>
        <item m="1" x="246"/>
        <item m="1" x="153"/>
        <item m="1" x="511"/>
        <item m="1" x="372"/>
        <item m="1" x="226"/>
        <item m="1" x="474"/>
        <item m="1" x="476"/>
        <item m="1" x="309"/>
        <item m="1" x="318"/>
        <item m="1" x="315"/>
        <item m="1" x="148"/>
        <item m="1" x="348"/>
        <item m="1" x="512"/>
        <item m="1" x="401"/>
        <item m="1" x="361"/>
        <item m="1" x="354"/>
        <item m="1" x="443"/>
        <item m="1" x="204"/>
        <item m="1" x="293"/>
        <item m="1" x="251"/>
        <item m="1" x="176"/>
        <item m="1" x="205"/>
        <item m="1" x="135"/>
        <item m="1" x="297"/>
        <item m="1" x="363"/>
        <item m="1" x="471"/>
        <item m="1" x="444"/>
        <item m="1" x="394"/>
        <item m="1" x="218"/>
        <item m="1" x="489"/>
        <item m="1" x="344"/>
        <item m="1" x="252"/>
        <item m="1" x="447"/>
        <item x="17"/>
        <item x="16"/>
        <item m="1" x="305"/>
        <item m="1" x="310"/>
        <item m="1" x="207"/>
        <item m="1" x="260"/>
        <item m="1" x="184"/>
        <item m="1" x="469"/>
        <item m="1" x="515"/>
        <item m="1" x="380"/>
        <item m="1" x="326"/>
        <item m="1" x="312"/>
        <item m="1" x="473"/>
        <item m="1" x="245"/>
        <item m="1" x="352"/>
        <item m="1" x="347"/>
        <item m="1" x="303"/>
        <item m="1" x="377"/>
        <item x="7"/>
        <item m="1" x="256"/>
        <item m="1" x="272"/>
        <item m="1" x="169"/>
        <item m="1" x="230"/>
        <item m="1" x="317"/>
        <item m="1" x="321"/>
        <item m="1" x="519"/>
        <item m="1" x="201"/>
        <item m="1" x="425"/>
        <item m="1" x="249"/>
        <item m="1" x="254"/>
        <item m="1" x="404"/>
        <item m="1" x="374"/>
        <item x="8"/>
        <item x="34"/>
        <item m="1" x="435"/>
        <item m="1" x="350"/>
        <item m="1" x="178"/>
        <item m="1" x="289"/>
        <item m="1" x="294"/>
        <item m="1" x="381"/>
        <item m="1" x="417"/>
        <item m="1" x="330"/>
        <item m="1" x="325"/>
        <item m="1" x="237"/>
        <item m="1" x="242"/>
        <item m="1" x="331"/>
        <item m="1" x="422"/>
        <item m="1" x="351"/>
        <item m="1" x="494"/>
        <item m="1" x="277"/>
        <item m="1" x="270"/>
        <item m="1" x="492"/>
        <item m="1" x="449"/>
        <item m="1" x="127"/>
        <item m="1" x="301"/>
        <item m="1" x="517"/>
        <item m="1" x="434"/>
        <item m="1" x="125"/>
        <item m="1" x="393"/>
        <item m="1" x="145"/>
        <item m="1" x="503"/>
        <item m="1" x="397"/>
        <item m="1" x="296"/>
        <item m="1" x="463"/>
        <item m="1" x="364"/>
        <item m="1" x="407"/>
        <item m="1" x="464"/>
        <item m="1" x="264"/>
        <item m="1" x="177"/>
        <item x="27"/>
        <item m="1" x="284"/>
        <item m="1" x="234"/>
        <item m="1" x="423"/>
        <item m="1" x="438"/>
        <item m="1" x="424"/>
        <item m="1" x="221"/>
        <item m="1" x="250"/>
        <item m="1" x="384"/>
        <item m="1" x="273"/>
        <item m="1" x="306"/>
        <item m="1" x="314"/>
        <item m="1" x="453"/>
        <item m="1" x="403"/>
        <item m="1" x="421"/>
        <item m="1" x="480"/>
        <item m="1" x="488"/>
        <item m="1" x="496"/>
        <item m="1" x="509"/>
        <item m="1" x="524"/>
        <item m="1" x="340"/>
        <item m="1" x="405"/>
        <item m="1" x="175"/>
        <item m="1" x="507"/>
        <item m="1" x="396"/>
        <item x="11"/>
        <item m="1" x="154"/>
        <item m="1" x="133"/>
        <item m="1" x="134"/>
        <item m="1" x="216"/>
        <item m="1" x="187"/>
        <item m="1" x="291"/>
        <item m="1" x="391"/>
        <item m="1" x="320"/>
        <item m="1" x="327"/>
        <item m="1" x="342"/>
        <item m="1" x="304"/>
        <item m="1" x="319"/>
        <item m="1" x="373"/>
        <item m="1" x="214"/>
        <item m="1" x="477"/>
        <item m="1" x="200"/>
        <item m="1" x="366"/>
        <item m="1" x="266"/>
        <item m="1" x="454"/>
        <item m="1" x="433"/>
        <item m="1" x="338"/>
        <item m="1" x="292"/>
        <item m="1" x="392"/>
        <item m="1" x="243"/>
        <item m="1" x="358"/>
        <item m="1" x="399"/>
        <item x="95"/>
        <item m="1" x="257"/>
        <item m="1" x="241"/>
        <item x="74"/>
        <item x="75"/>
        <item m="1" x="278"/>
        <item m="1" x="389"/>
        <item x="12"/>
        <item m="1" x="285"/>
        <item m="1" x="333"/>
        <item m="1" x="267"/>
        <item x="30"/>
        <item x="33"/>
        <item m="1" x="283"/>
        <item m="1" x="179"/>
        <item m="1" x="353"/>
        <item m="1" x="147"/>
        <item m="1" x="429"/>
        <item x="31"/>
        <item x="26"/>
        <item m="1" x="170"/>
        <item m="1" x="261"/>
        <item m="1" x="233"/>
        <item m="1" x="368"/>
        <item m="1" x="313"/>
        <item m="1" x="523"/>
        <item m="1" x="265"/>
        <item x="32"/>
        <item m="1" x="302"/>
        <item m="1" x="171"/>
        <item m="1" x="485"/>
        <item m="1" x="274"/>
        <item m="1" x="288"/>
        <item m="1" x="189"/>
        <item m="1" x="190"/>
        <item x="25"/>
        <item m="1" x="188"/>
        <item m="1" x="362"/>
        <item m="1" x="324"/>
        <item m="1" x="144"/>
        <item x="29"/>
        <item m="1" x="238"/>
        <item m="1" x="271"/>
        <item m="1" x="520"/>
        <item m="1" x="185"/>
        <item m="1" x="192"/>
        <item m="1" x="194"/>
        <item m="1" x="209"/>
        <item m="1" x="212"/>
        <item m="1" x="193"/>
        <item m="1" x="199"/>
        <item m="1" x="290"/>
        <item m="1" x="255"/>
        <item x="69"/>
        <item m="1" x="295"/>
        <item m="1" x="215"/>
        <item m="1" x="219"/>
        <item x="64"/>
        <item x="84"/>
        <item m="1" x="282"/>
        <item m="1" x="268"/>
        <item m="1" x="146"/>
        <item x="5"/>
        <item x="91"/>
        <item x="92"/>
        <item x="40"/>
        <item x="68"/>
        <item x="28"/>
        <item x="81"/>
        <item x="82"/>
        <item x="56"/>
        <item x="54"/>
        <item x="55"/>
        <item x="104"/>
        <item x="35"/>
        <item x="41"/>
        <item x="106"/>
        <item x="38"/>
        <item x="71"/>
        <item x="87"/>
        <item x="48"/>
        <item m="1" x="206"/>
        <item x="37"/>
        <item x="85"/>
        <item x="99"/>
        <item x="98"/>
        <item x="88"/>
        <item x="122"/>
        <item x="62"/>
        <item x="63"/>
        <item x="94"/>
        <item x="114"/>
        <item x="93"/>
        <item x="42"/>
        <item x="58"/>
        <item x="116"/>
        <item x="46"/>
        <item x="108"/>
        <item x="111"/>
        <item x="112"/>
        <item x="47"/>
        <item x="57"/>
        <item x="67"/>
        <item x="78"/>
        <item x="102"/>
        <item x="109"/>
        <item x="36"/>
        <item x="73"/>
        <item x="77"/>
        <item x="83"/>
        <item x="97"/>
        <item x="105"/>
        <item x="115"/>
        <item x="39"/>
        <item x="43"/>
        <item x="44"/>
        <item x="45"/>
        <item x="51"/>
        <item x="52"/>
        <item x="59"/>
        <item x="65"/>
        <item x="76"/>
        <item x="79"/>
        <item x="80"/>
        <item x="86"/>
        <item x="89"/>
        <item x="101"/>
        <item x="103"/>
        <item x="110"/>
        <item x="113"/>
        <item x="117"/>
        <item x="119"/>
        <item x="120"/>
        <item x="123"/>
        <item x="49"/>
        <item x="50"/>
        <item x="53"/>
        <item x="60"/>
        <item x="61"/>
        <item x="66"/>
        <item x="70"/>
        <item x="72"/>
        <item x="90"/>
        <item x="96"/>
        <item x="100"/>
        <item x="107"/>
        <item x="118"/>
        <item x="1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37">
        <item m="1" x="228"/>
        <item x="0"/>
        <item x="2"/>
        <item m="1" x="637"/>
        <item m="1" x="227"/>
        <item m="1" x="880"/>
        <item m="1" x="1110"/>
        <item m="1" x="798"/>
        <item m="1" x="765"/>
        <item m="1" x="815"/>
        <item m="1" x="866"/>
        <item m="1" x="1030"/>
        <item m="1" x="471"/>
        <item m="1" x="472"/>
        <item m="1" x="1027"/>
        <item m="1" x="338"/>
        <item x="68"/>
        <item x="69"/>
        <item m="1" x="1087"/>
        <item m="1" x="520"/>
        <item m="1" x="420"/>
        <item m="1" x="1104"/>
        <item m="1" x="1105"/>
        <item m="1" x="1121"/>
        <item m="1" x="796"/>
        <item m="1" x="855"/>
        <item m="1" x="793"/>
        <item m="1" x="717"/>
        <item m="1" x="713"/>
        <item m="1" x="1020"/>
        <item m="1" x="844"/>
        <item m="1" x="768"/>
        <item m="1" x="897"/>
        <item x="82"/>
        <item m="1" x="341"/>
        <item x="99"/>
        <item x="93"/>
        <item x="74"/>
        <item x="75"/>
        <item x="84"/>
        <item m="1" x="251"/>
        <item x="96"/>
        <item m="1" x="220"/>
        <item m="1" x="938"/>
        <item m="1" x="429"/>
        <item m="1" x="668"/>
        <item m="1" x="702"/>
        <item m="1" x="619"/>
        <item m="1" x="196"/>
        <item m="1" x="198"/>
        <item m="1" x="602"/>
        <item x="104"/>
        <item x="106"/>
        <item x="110"/>
        <item x="108"/>
        <item x="111"/>
        <item x="112"/>
        <item m="1" x="514"/>
        <item m="1" x="882"/>
        <item m="1" x="888"/>
        <item m="1" x="1049"/>
        <item m="1" x="740"/>
        <item m="1" x="654"/>
        <item m="1" x="769"/>
        <item m="1" x="210"/>
        <item x="119"/>
        <item m="1" x="739"/>
        <item m="1" x="373"/>
        <item m="1" x="406"/>
        <item m="1" x="817"/>
        <item m="1" x="891"/>
        <item m="1" x="840"/>
        <item m="1" x="1128"/>
        <item m="1" x="732"/>
        <item m="1" x="588"/>
        <item m="1" x="1037"/>
        <item m="1" x="1085"/>
        <item m="1" x="421"/>
        <item m="1" x="852"/>
        <item m="1" x="1115"/>
        <item m="1" x="1005"/>
        <item m="1" x="226"/>
        <item m="1" x="956"/>
        <item m="1" x="299"/>
        <item x="81"/>
        <item x="95"/>
        <item m="1" x="506"/>
        <item x="88"/>
        <item x="87"/>
        <item x="97"/>
        <item m="1" x="181"/>
        <item x="76"/>
        <item x="77"/>
        <item x="78"/>
        <item m="1" x="993"/>
        <item m="1" x="596"/>
        <item m="1" x="854"/>
        <item m="1" x="606"/>
        <item m="1" x="947"/>
        <item m="1" x="399"/>
        <item m="1" x="776"/>
        <item m="1" x="306"/>
        <item m="1" x="833"/>
        <item m="1" x="538"/>
        <item m="1" x="521"/>
        <item m="1" x="405"/>
        <item m="1" x="445"/>
        <item m="1" x="878"/>
        <item m="1" x="1045"/>
        <item m="1" x="703"/>
        <item m="1" x="179"/>
        <item x="71"/>
        <item m="1" x="969"/>
        <item m="1" x="965"/>
        <item m="1" x="261"/>
        <item m="1" x="359"/>
        <item m="1" x="343"/>
        <item m="1" x="260"/>
        <item m="1" x="305"/>
        <item x="6"/>
        <item x="102"/>
        <item m="1" x="197"/>
        <item m="1" x="627"/>
        <item m="1" x="867"/>
        <item m="1" x="807"/>
        <item m="1" x="861"/>
        <item m="1" x="170"/>
        <item m="1" x="284"/>
        <item m="1" x="242"/>
        <item m="1" x="285"/>
        <item m="1" x="900"/>
        <item m="1" x="928"/>
        <item m="1" x="929"/>
        <item m="1" x="683"/>
        <item m="1" x="660"/>
        <item m="1" x="139"/>
        <item x="21"/>
        <item m="1" x="743"/>
        <item x="113"/>
        <item m="1" x="555"/>
        <item m="1" x="1043"/>
        <item x="20"/>
        <item x="19"/>
        <item m="1" x="919"/>
        <item m="1" x="396"/>
        <item m="1" x="248"/>
        <item m="1" x="186"/>
        <item m="1" x="342"/>
        <item m="1" x="811"/>
        <item m="1" x="635"/>
        <item m="1" x="662"/>
        <item m="1" x="892"/>
        <item m="1" x="648"/>
        <item m="1" x="829"/>
        <item m="1" x="498"/>
        <item m="1" x="1134"/>
        <item m="1" x="444"/>
        <item m="1" x="561"/>
        <item m="1" x="1126"/>
        <item m="1" x="1103"/>
        <item m="1" x="887"/>
        <item m="1" x="351"/>
        <item m="1" x="307"/>
        <item m="1" x="350"/>
        <item m="1" x="1130"/>
        <item m="1" x="951"/>
        <item m="1" x="695"/>
        <item m="1" x="569"/>
        <item m="1" x="1070"/>
        <item m="1" x="955"/>
        <item m="1" x="797"/>
        <item m="1" x="795"/>
        <item m="1" x="691"/>
        <item m="1" x="212"/>
        <item m="1" x="1135"/>
        <item m="1" x="789"/>
        <item m="1" x="194"/>
        <item m="1" x="200"/>
        <item x="101"/>
        <item m="1" x="195"/>
        <item m="1" x="774"/>
        <item m="1" x="545"/>
        <item m="1" x="193"/>
        <item m="1" x="480"/>
        <item m="1" x="645"/>
        <item m="1" x="886"/>
        <item m="1" x="1054"/>
        <item m="1" x="814"/>
        <item m="1" x="298"/>
        <item m="1" x="916"/>
        <item m="1" x="1086"/>
        <item m="1" x="694"/>
        <item m="1" x="1072"/>
        <item m="1" x="1068"/>
        <item m="1" x="788"/>
        <item m="1" x="623"/>
        <item m="1" x="584"/>
        <item x="22"/>
        <item m="1" x="141"/>
        <item m="1" x="748"/>
        <item m="1" x="541"/>
        <item m="1" x="583"/>
        <item m="1" x="1122"/>
        <item m="1" x="315"/>
        <item m="1" x="124"/>
        <item x="4"/>
        <item x="73"/>
        <item m="1" x="1093"/>
        <item m="1" x="830"/>
        <item m="1" x="721"/>
        <item m="1" x="219"/>
        <item x="1"/>
        <item m="1" x="345"/>
        <item x="85"/>
        <item x="94"/>
        <item m="1" x="842"/>
        <item x="83"/>
        <item m="1" x="250"/>
        <item m="1" x="389"/>
        <item m="1" x="672"/>
        <item x="24"/>
        <item m="1" x="792"/>
        <item m="1" x="943"/>
        <item m="1" x="221"/>
        <item m="1" x="211"/>
        <item m="1" x="202"/>
        <item m="1" x="301"/>
        <item x="100"/>
        <item m="1" x="760"/>
        <item x="103"/>
        <item m="1" x="292"/>
        <item m="1" x="872"/>
        <item m="1" x="808"/>
        <item m="1" x="870"/>
        <item x="35"/>
        <item m="1" x="813"/>
        <item m="1" x="705"/>
        <item m="1" x="858"/>
        <item m="1" x="1081"/>
        <item m="1" x="1108"/>
        <item m="1" x="990"/>
        <item m="1" x="232"/>
        <item m="1" x="143"/>
        <item m="1" x="231"/>
        <item m="1" x="142"/>
        <item m="1" x="1018"/>
        <item m="1" x="822"/>
        <item m="1" x="657"/>
        <item m="1" x="1013"/>
        <item x="80"/>
        <item m="1" x="1102"/>
        <item m="1" x="750"/>
        <item m="1" x="1117"/>
        <item m="1" x="907"/>
        <item m="1" x="758"/>
        <item x="14"/>
        <item m="1" x="213"/>
        <item m="1" x="126"/>
        <item m="1" x="757"/>
        <item m="1" x="726"/>
        <item m="1" x="680"/>
        <item m="1" x="983"/>
        <item m="1" x="140"/>
        <item m="1" x="230"/>
        <item m="1" x="894"/>
        <item m="1" x="316"/>
        <item m="1" x="773"/>
        <item m="1" x="735"/>
        <item x="109"/>
        <item m="1" x="1055"/>
        <item m="1" x="354"/>
        <item m="1" x="355"/>
        <item m="1" x="402"/>
        <item m="1" x="497"/>
        <item m="1" x="252"/>
        <item x="89"/>
        <item m="1" x="1065"/>
        <item m="1" x="821"/>
        <item m="1" x="869"/>
        <item m="1" x="747"/>
        <item m="1" x="685"/>
        <item m="1" x="267"/>
        <item m="1" x="214"/>
        <item m="1" x="379"/>
        <item m="1" x="1113"/>
        <item m="1" x="192"/>
        <item m="1" x="1116"/>
        <item m="1" x="982"/>
        <item m="1" x="682"/>
        <item m="1" x="1109"/>
        <item m="1" x="270"/>
        <item m="1" x="204"/>
        <item m="1" x="663"/>
        <item m="1" x="1114"/>
        <item m="1" x="693"/>
        <item m="1" x="914"/>
        <item x="3"/>
        <item m="1" x="247"/>
        <item m="1" x="180"/>
        <item x="79"/>
        <item m="1" x="481"/>
        <item m="1" x="249"/>
        <item m="1" x="187"/>
        <item m="1" x="1001"/>
        <item m="1" x="492"/>
        <item m="1" x="508"/>
        <item m="1" x="423"/>
        <item m="1" x="889"/>
        <item m="1" x="994"/>
        <item m="1" x="1064"/>
        <item m="1" x="137"/>
        <item m="1" x="457"/>
        <item m="1" x="459"/>
        <item m="1" x="1033"/>
        <item m="1" x="578"/>
        <item m="1" x="879"/>
        <item m="1" x="358"/>
        <item m="1" x="996"/>
        <item m="1" x="655"/>
        <item m="1" x="1044"/>
        <item m="1" x="229"/>
        <item m="1" x="784"/>
        <item m="1" x="828"/>
        <item m="1" x="805"/>
        <item m="1" x="742"/>
        <item m="1" x="1107"/>
        <item m="1" x="314"/>
        <item m="1" x="313"/>
        <item m="1" x="859"/>
        <item m="1" x="1080"/>
        <item m="1" x="1008"/>
        <item m="1" x="493"/>
        <item m="1" x="1012"/>
        <item m="1" x="422"/>
        <item m="1" x="677"/>
        <item m="1" x="598"/>
        <item m="1" x="699"/>
        <item m="1" x="749"/>
        <item m="1" x="412"/>
        <item m="1" x="522"/>
        <item m="1" x="959"/>
        <item m="1" x="317"/>
        <item m="1" x="303"/>
        <item m="1" x="558"/>
        <item m="1" x="138"/>
        <item m="1" x="361"/>
        <item m="1" x="676"/>
        <item m="1" x="184"/>
        <item x="86"/>
        <item x="90"/>
        <item m="1" x="972"/>
        <item m="1" x="678"/>
        <item m="1" x="460"/>
        <item m="1" x="461"/>
        <item m="1" x="618"/>
        <item m="1" x="539"/>
        <item m="1" x="1129"/>
        <item m="1" x="921"/>
        <item m="1" x="827"/>
        <item m="1" x="977"/>
        <item m="1" x="978"/>
        <item m="1" x="945"/>
        <item m="1" x="896"/>
        <item m="1" x="1041"/>
        <item m="1" x="741"/>
        <item m="1" x="257"/>
        <item m="1" x="256"/>
        <item m="1" x="1079"/>
        <item m="1" x="909"/>
        <item m="1" x="330"/>
        <item m="1" x="895"/>
        <item m="1" x="871"/>
        <item m="1" x="818"/>
        <item m="1" x="525"/>
        <item m="1" x="752"/>
        <item m="1" x="616"/>
        <item m="1" x="671"/>
        <item m="1" x="507"/>
        <item m="1" x="1112"/>
        <item m="1" x="779"/>
        <item m="1" x="368"/>
        <item m="1" x="674"/>
        <item m="1" x="136"/>
        <item m="1" x="411"/>
        <item m="1" x="499"/>
        <item m="1" x="950"/>
        <item m="1" x="1082"/>
        <item m="1" x="846"/>
        <item m="1" x="759"/>
        <item m="1" x="669"/>
        <item m="1" x="611"/>
        <item m="1" x="976"/>
        <item m="1" x="182"/>
        <item m="1" x="804"/>
        <item m="1" x="1017"/>
        <item m="1" x="566"/>
        <item m="1" x="1100"/>
        <item m="1" x="985"/>
        <item m="1" x="764"/>
        <item m="1" x="300"/>
        <item m="1" x="775"/>
        <item m="1" x="812"/>
        <item m="1" x="438"/>
        <item m="1" x="404"/>
        <item m="1" x="851"/>
        <item m="1" x="963"/>
        <item m="1" x="802"/>
        <item m="1" x="597"/>
        <item m="1" x="258"/>
        <item m="1" x="727"/>
        <item m="1" x="430"/>
        <item m="1" x="1011"/>
        <item m="1" x="1000"/>
        <item m="1" x="772"/>
        <item m="1" x="791"/>
        <item m="1" x="158"/>
        <item m="1" x="159"/>
        <item m="1" x="160"/>
        <item m="1" x="323"/>
        <item m="1" x="167"/>
        <item x="62"/>
        <item x="64"/>
        <item m="1" x="661"/>
        <item m="1" x="843"/>
        <item m="1" x="932"/>
        <item m="1" x="183"/>
        <item x="98"/>
        <item m="1" x="737"/>
        <item m="1" x="365"/>
        <item x="43"/>
        <item m="1" x="149"/>
        <item m="1" x="1053"/>
        <item m="1" x="700"/>
        <item m="1" x="322"/>
        <item m="1" x="934"/>
        <item m="1" x="824"/>
        <item m="1" x="787"/>
        <item m="1" x="268"/>
        <item m="1" x="729"/>
        <item m="1" x="780"/>
        <item m="1" x="165"/>
        <item m="1" x="166"/>
        <item m="1" x="719"/>
        <item m="1" x="786"/>
        <item m="1" x="730"/>
        <item m="1" x="185"/>
        <item m="1" x="728"/>
        <item m="1" x="745"/>
        <item m="1" x="222"/>
        <item m="1" x="293"/>
        <item m="1" x="877"/>
        <item m="1" x="324"/>
        <item m="1" x="1034"/>
        <item m="1" x="1125"/>
        <item m="1" x="419"/>
        <item m="1" x="904"/>
        <item m="1" x="382"/>
        <item m="1" x="374"/>
        <item m="1" x="642"/>
        <item m="1" x="1078"/>
        <item m="1" x="1031"/>
        <item m="1" x="706"/>
        <item m="1" x="783"/>
        <item x="36"/>
        <item m="1" x="948"/>
        <item m="1" x="841"/>
        <item m="1" x="357"/>
        <item m="1" x="1111"/>
        <item m="1" x="1036"/>
        <item m="1" x="679"/>
        <item m="1" x="585"/>
        <item m="1" x="599"/>
        <item m="1" x="594"/>
        <item m="1" x="148"/>
        <item m="1" x="767"/>
        <item m="1" x="863"/>
        <item m="1" x="281"/>
        <item m="1" x="162"/>
        <item m="1" x="908"/>
        <item m="1" x="781"/>
        <item x="38"/>
        <item m="1" x="1066"/>
        <item m="1" x="905"/>
        <item m="1" x="832"/>
        <item m="1" x="369"/>
        <item m="1" x="559"/>
        <item m="1" x="474"/>
        <item m="1" x="309"/>
        <item m="1" x="1057"/>
        <item m="1" x="652"/>
        <item m="1" x="850"/>
        <item m="1" x="860"/>
        <item m="1" x="528"/>
        <item m="1" x="845"/>
        <item m="1" x="564"/>
        <item m="1" x="190"/>
        <item m="1" x="755"/>
        <item m="1" x="736"/>
        <item m="1" x="237"/>
        <item m="1" x="823"/>
        <item m="1" x="646"/>
        <item m="1" x="1052"/>
        <item m="1" x="479"/>
        <item x="17"/>
        <item x="16"/>
        <item m="1" x="576"/>
        <item m="1" x="825"/>
        <item m="1" x="640"/>
        <item x="63"/>
        <item m="1" x="754"/>
        <item m="1" x="1131"/>
        <item m="1" x="494"/>
        <item m="1" x="319"/>
        <item m="1" x="936"/>
        <item m="1" x="384"/>
        <item m="1" x="240"/>
        <item m="1" x="356"/>
        <item m="1" x="981"/>
        <item m="1" x="1050"/>
        <item m="1" x="720"/>
        <item m="1" x="156"/>
        <item m="1" x="651"/>
        <item m="1" x="1091"/>
        <item x="55"/>
        <item x="54"/>
        <item x="56"/>
        <item m="1" x="710"/>
        <item m="1" x="353"/>
        <item x="66"/>
        <item m="1" x="1058"/>
        <item m="1" x="946"/>
        <item m="1" x="157"/>
        <item m="1" x="1092"/>
        <item m="1" x="366"/>
        <item m="1" x="337"/>
        <item x="58"/>
        <item x="57"/>
        <item m="1" x="613"/>
        <item m="1" x="1061"/>
        <item m="1" x="241"/>
        <item m="1" x="1056"/>
        <item x="65"/>
        <item m="1" x="282"/>
        <item m="1" x="862"/>
        <item x="42"/>
        <item m="1" x="553"/>
        <item m="1" x="1002"/>
        <item m="1" x="634"/>
        <item m="1" x="589"/>
        <item x="39"/>
        <item x="40"/>
        <item m="1" x="1035"/>
        <item m="1" x="458"/>
        <item m="1" x="150"/>
        <item m="1" x="658"/>
        <item m="1" x="328"/>
        <item m="1" x="647"/>
        <item m="1" x="911"/>
        <item m="1" x="335"/>
        <item m="1" x="424"/>
        <item m="1" x="238"/>
        <item m="1" x="592"/>
        <item m="1" x="915"/>
        <item m="1" x="469"/>
        <item m="1" x="164"/>
        <item m="1" x="574"/>
        <item m="1" x="898"/>
        <item m="1" x="696"/>
        <item m="1" x="168"/>
        <item m="1" x="1048"/>
        <item m="1" x="958"/>
        <item m="1" x="949"/>
        <item m="1" x="991"/>
        <item x="7"/>
        <item m="1" x="712"/>
        <item m="1" x="490"/>
        <item m="1" x="517"/>
        <item m="1" x="272"/>
        <item m="1" x="431"/>
        <item m="1" x="604"/>
        <item x="37"/>
        <item m="1" x="1060"/>
        <item m="1" x="848"/>
        <item m="1" x="643"/>
        <item m="1" x="593"/>
        <item x="59"/>
        <item m="1" x="601"/>
        <item m="1" x="1015"/>
        <item m="1" x="838"/>
        <item m="1" x="834"/>
        <item m="1" x="770"/>
        <item m="1" x="734"/>
        <item m="1" x="968"/>
        <item m="1" x="681"/>
        <item m="1" x="1099"/>
        <item m="1" x="289"/>
        <item m="1" x="744"/>
        <item m="1" x="532"/>
        <item m="1" x="1095"/>
        <item m="1" x="1042"/>
        <item m="1" x="995"/>
        <item m="1" x="1089"/>
        <item m="1" x="239"/>
        <item m="1" x="997"/>
        <item m="1" x="917"/>
        <item m="1" x="849"/>
        <item m="1" x="777"/>
        <item m="1" x="766"/>
        <item m="1" x="128"/>
        <item m="1" x="675"/>
        <item m="1" x="1069"/>
        <item m="1" x="664"/>
        <item m="1" x="132"/>
        <item m="1" x="269"/>
        <item m="1" x="223"/>
        <item x="10"/>
        <item m="1" x="224"/>
        <item m="1" x="129"/>
        <item m="1" x="287"/>
        <item m="1" x="1024"/>
        <item m="1" x="847"/>
        <item m="1" x="1077"/>
        <item m="1" x="1094"/>
        <item m="1" x="874"/>
        <item m="1" x="922"/>
        <item m="1" x="1038"/>
        <item m="1" x="960"/>
        <item m="1" x="961"/>
        <item m="1" x="910"/>
        <item m="1" x="364"/>
        <item m="1" x="1084"/>
        <item m="1" x="670"/>
        <item m="1" x="131"/>
        <item m="1" x="130"/>
        <item x="9"/>
        <item m="1" x="708"/>
        <item m="1" x="816"/>
        <item m="1" x="367"/>
        <item m="1" x="1006"/>
        <item m="1" x="692"/>
        <item m="1" x="512"/>
        <item m="1" x="751"/>
        <item m="1" x="462"/>
        <item m="1" x="450"/>
        <item m="1" x="595"/>
        <item m="1" x="486"/>
        <item m="1" x="551"/>
        <item m="1" x="714"/>
        <item m="1" x="1124"/>
        <item x="8"/>
        <item x="34"/>
        <item m="1" x="271"/>
        <item m="1" x="391"/>
        <item x="23"/>
        <item m="1" x="440"/>
        <item x="60"/>
        <item m="1" x="1083"/>
        <item m="1" x="376"/>
        <item m="1" x="1097"/>
        <item m="1" x="944"/>
        <item m="1" x="135"/>
        <item m="1" x="435"/>
        <item m="1" x="1133"/>
        <item m="1" x="1009"/>
        <item m="1" x="475"/>
        <item m="1" x="953"/>
        <item m="1" x="837"/>
        <item m="1" x="941"/>
        <item m="1" x="688"/>
        <item m="1" x="1120"/>
        <item m="1" x="543"/>
        <item m="1" x="778"/>
        <item m="1" x="876"/>
        <item m="1" x="716"/>
        <item m="1" x="687"/>
        <item m="1" x="178"/>
        <item m="1" x="690"/>
        <item m="1" x="155"/>
        <item m="1" x="432"/>
        <item m="1" x="806"/>
        <item m="1" x="620"/>
        <item m="1" x="638"/>
        <item m="1" x="912"/>
        <item m="1" x="686"/>
        <item m="1" x="622"/>
        <item m="1" x="1019"/>
        <item m="1" x="612"/>
        <item m="1" x="161"/>
        <item m="1" x="452"/>
        <item m="1" x="1051"/>
        <item m="1" x="1076"/>
        <item m="1" x="801"/>
        <item m="1" x="653"/>
        <item m="1" x="573"/>
        <item m="1" x="939"/>
        <item m="1" x="509"/>
        <item m="1" x="902"/>
        <item m="1" x="666"/>
        <item m="1" x="856"/>
        <item m="1" x="633"/>
        <item m="1" x="864"/>
        <item m="1" x="1118"/>
        <item m="1" x="868"/>
        <item m="1" x="918"/>
        <item m="1" x="127"/>
        <item m="1" x="626"/>
        <item m="1" x="718"/>
        <item m="1" x="1026"/>
        <item m="1" x="826"/>
        <item m="1" x="433"/>
        <item m="1" x="940"/>
        <item m="1" x="1046"/>
        <item m="1" x="746"/>
        <item m="1" x="989"/>
        <item m="1" x="903"/>
        <item m="1" x="667"/>
        <item m="1" x="434"/>
        <item m="1" x="673"/>
        <item m="1" x="125"/>
        <item m="1" x="988"/>
        <item m="1" x="145"/>
        <item m="1" x="275"/>
        <item x="41"/>
        <item m="1" x="632"/>
        <item m="1" x="966"/>
        <item m="1" x="473"/>
        <item x="122"/>
        <item m="1" x="217"/>
        <item m="1" x="587"/>
        <item m="1" x="1003"/>
        <item m="1" x="291"/>
        <item m="1" x="515"/>
        <item m="1" x="617"/>
        <item m="1" x="562"/>
        <item m="1" x="339"/>
        <item m="1" x="340"/>
        <item m="1" x="546"/>
        <item m="1" x="649"/>
        <item x="123"/>
        <item m="1" x="820"/>
        <item m="1" x="884"/>
        <item m="1" x="810"/>
        <item m="1" x="530"/>
        <item m="1" x="500"/>
        <item m="1" x="665"/>
        <item m="1" x="923"/>
        <item m="1" x="799"/>
        <item m="1" x="715"/>
        <item m="1" x="1088"/>
        <item m="1" x="572"/>
        <item m="1" x="535"/>
        <item x="47"/>
        <item x="46"/>
        <item m="1" x="455"/>
        <item m="1" x="437"/>
        <item m="1" x="937"/>
        <item m="1" x="707"/>
        <item x="61"/>
        <item m="1" x="205"/>
        <item m="1" x="763"/>
        <item m="1" x="295"/>
        <item m="1" x="873"/>
        <item m="1" x="1032"/>
        <item x="92"/>
        <item m="1" x="984"/>
        <item m="1" x="206"/>
        <item m="1" x="207"/>
        <item x="118"/>
        <item m="1" x="639"/>
        <item m="1" x="1127"/>
        <item m="1" x="189"/>
        <item m="1" x="488"/>
        <item m="1" x="516"/>
        <item m="1" x="327"/>
        <item m="1" x="835"/>
        <item m="1" x="208"/>
        <item x="116"/>
        <item m="1" x="209"/>
        <item m="1" x="1007"/>
        <item m="1" x="465"/>
        <item m="1" x="883"/>
        <item m="1" x="1059"/>
        <item m="1" x="408"/>
        <item m="1" x="518"/>
        <item m="1" x="1101"/>
        <item m="1" x="656"/>
        <item x="114"/>
        <item x="115"/>
        <item x="117"/>
        <item m="1" x="577"/>
        <item m="1" x="962"/>
        <item m="1" x="986"/>
        <item m="1" x="785"/>
        <item m="1" x="644"/>
        <item m="1" x="701"/>
        <item m="1" x="697"/>
        <item m="1" x="971"/>
        <item m="1" x="308"/>
        <item m="1" x="477"/>
        <item m="1" x="753"/>
        <item m="1" x="636"/>
        <item m="1" x="881"/>
        <item m="1" x="415"/>
        <item m="1" x="416"/>
        <item m="1" x="529"/>
        <item x="11"/>
        <item m="1" x="225"/>
        <item m="1" x="133"/>
        <item m="1" x="134"/>
        <item m="1" x="401"/>
        <item m="1" x="1014"/>
        <item m="1" x="169"/>
        <item m="1" x="172"/>
        <item m="1" x="243"/>
        <item m="1" x="999"/>
        <item m="1" x="331"/>
        <item m="1" x="550"/>
        <item m="1" x="615"/>
        <item m="1" x="1090"/>
        <item m="1" x="1074"/>
        <item m="1" x="344"/>
        <item m="1" x="360"/>
        <item m="1" x="266"/>
        <item x="13"/>
        <item m="1" x="731"/>
        <item m="1" x="1096"/>
        <item m="1" x="935"/>
        <item m="1" x="933"/>
        <item m="1" x="262"/>
        <item m="1" x="428"/>
        <item m="1" x="603"/>
        <item m="1" x="650"/>
        <item m="1" x="563"/>
        <item m="1" x="614"/>
        <item x="18"/>
        <item m="1" x="392"/>
        <item m="1" x="659"/>
        <item m="1" x="294"/>
        <item m="1" x="957"/>
        <item m="1" x="349"/>
        <item m="1" x="372"/>
        <item m="1" x="1063"/>
        <item m="1" x="575"/>
        <item m="1" x="865"/>
        <item m="1" x="1021"/>
        <item m="1" x="885"/>
        <item m="1" x="600"/>
        <item m="1" x="370"/>
        <item m="1" x="979"/>
        <item m="1" x="1039"/>
        <item x="70"/>
        <item m="1" x="377"/>
        <item m="1" x="417"/>
        <item m="1" x="709"/>
        <item m="1" x="992"/>
        <item m="1" x="485"/>
        <item m="1" x="363"/>
        <item m="1" x="570"/>
        <item m="1" x="722"/>
        <item m="1" x="790"/>
        <item m="1" x="1106"/>
        <item m="1" x="502"/>
        <item m="1" x="1073"/>
        <item m="1" x="853"/>
        <item m="1" x="831"/>
        <item m="1" x="1132"/>
        <item m="1" x="1071"/>
        <item m="1" x="1119"/>
        <item m="1" x="171"/>
        <item m="1" x="1075"/>
        <item m="1" x="836"/>
        <item m="1" x="286"/>
        <item m="1" x="987"/>
        <item m="1" x="188"/>
        <item m="1" x="586"/>
        <item m="1" x="890"/>
        <item m="1" x="970"/>
        <item m="1" x="901"/>
        <item m="1" x="1067"/>
        <item m="1" x="893"/>
        <item m="1" x="857"/>
        <item m="1" x="174"/>
        <item m="1" x="552"/>
        <item m="1" x="875"/>
        <item m="1" x="449"/>
        <item m="1" x="924"/>
        <item m="1" x="173"/>
        <item m="1" x="913"/>
        <item m="1" x="244"/>
        <item m="1" x="1062"/>
        <item m="1" x="724"/>
        <item m="1" x="906"/>
        <item m="1" x="725"/>
        <item m="1" x="927"/>
        <item m="1" x="809"/>
        <item m="1" x="794"/>
        <item m="1" x="974"/>
        <item m="1" x="386"/>
        <item m="1" x="491"/>
        <item m="1" x="446"/>
        <item m="1" x="625"/>
        <item m="1" x="761"/>
        <item m="1" x="467"/>
        <item m="1" x="1047"/>
        <item m="1" x="711"/>
        <item m="1" x="511"/>
        <item m="1" x="523"/>
        <item m="1" x="393"/>
        <item m="1" x="975"/>
        <item m="1" x="1123"/>
        <item m="1" x="288"/>
        <item m="1" x="1016"/>
        <item m="1" x="926"/>
        <item m="1" x="513"/>
        <item m="1" x="1023"/>
        <item m="1" x="762"/>
        <item m="1" x="1025"/>
        <item m="1" x="302"/>
        <item x="12"/>
        <item m="1" x="537"/>
        <item m="1" x="203"/>
        <item m="1" x="1098"/>
        <item m="1" x="624"/>
        <item m="1" x="980"/>
        <item x="30"/>
        <item m="1" x="738"/>
        <item m="1" x="254"/>
        <item m="1" x="409"/>
        <item x="121"/>
        <item m="1" x="920"/>
        <item m="1" x="733"/>
        <item m="1" x="973"/>
        <item x="33"/>
        <item m="1" x="297"/>
        <item m="1" x="451"/>
        <item m="1" x="218"/>
        <item m="1" x="967"/>
        <item m="1" x="470"/>
        <item m="1" x="698"/>
        <item m="1" x="839"/>
        <item m="1" x="1040"/>
        <item m="1" x="534"/>
        <item m="1" x="1004"/>
        <item m="1" x="1022"/>
        <item m="1" x="684"/>
        <item m="1" x="925"/>
        <item m="1" x="536"/>
        <item m="1" x="954"/>
        <item m="1" x="631"/>
        <item m="1" x="942"/>
        <item m="1" x="756"/>
        <item m="1" x="819"/>
        <item m="1" x="1136"/>
        <item m="1" x="952"/>
        <item x="51"/>
        <item x="52"/>
        <item m="1" x="1028"/>
        <item m="1" x="147"/>
        <item m="1" x="259"/>
        <item m="1" x="476"/>
        <item m="1" x="930"/>
        <item m="1" x="771"/>
        <item m="1" x="443"/>
        <item m="1" x="484"/>
        <item x="31"/>
        <item m="1" x="641"/>
        <item x="26"/>
        <item m="1" x="273"/>
        <item m="1" x="495"/>
        <item m="1" x="436"/>
        <item m="1" x="388"/>
        <item m="1" x="554"/>
        <item m="1" x="931"/>
        <item m="1" x="782"/>
        <item m="1" x="426"/>
        <item m="1" x="489"/>
        <item m="1" x="216"/>
        <item m="1" x="590"/>
        <item m="1" x="483"/>
        <item m="1" x="998"/>
        <item m="1" x="501"/>
        <item m="1" x="425"/>
        <item x="32"/>
        <item m="1" x="453"/>
        <item m="1" x="582"/>
        <item m="1" x="899"/>
        <item m="1" x="723"/>
        <item m="1" x="689"/>
        <item m="1" x="560"/>
        <item m="1" x="571"/>
        <item m="1" x="276"/>
        <item m="1" x="277"/>
        <item m="1" x="441"/>
        <item m="1" x="448"/>
        <item m="1" x="482"/>
        <item m="1" x="803"/>
        <item m="1" x="608"/>
        <item m="1" x="800"/>
        <item m="1" x="704"/>
        <item m="1" x="519"/>
        <item x="44"/>
        <item m="1" x="278"/>
        <item x="45"/>
        <item m="1" x="527"/>
        <item m="1" x="279"/>
        <item m="1" x="280"/>
        <item m="1" x="542"/>
        <item m="1" x="333"/>
        <item m="1" x="334"/>
        <item m="1" x="621"/>
        <item m="1" x="1029"/>
        <item x="25"/>
        <item m="1" x="418"/>
        <item m="1" x="380"/>
        <item m="1" x="468"/>
        <item m="1" x="332"/>
        <item m="1" x="964"/>
        <item x="72"/>
        <item m="1" x="263"/>
        <item m="1" x="329"/>
        <item m="1" x="464"/>
        <item m="1" x="215"/>
        <item m="1" x="610"/>
        <item x="15"/>
        <item m="1" x="630"/>
        <item m="1" x="526"/>
        <item m="1" x="234"/>
        <item m="1" x="607"/>
        <item m="1" x="144"/>
        <item m="1" x="454"/>
        <item m="1" x="628"/>
        <item m="1" x="629"/>
        <item x="29"/>
        <item m="1" x="442"/>
        <item m="1" x="176"/>
        <item m="1" x="152"/>
        <item m="1" x="565"/>
        <item m="1" x="557"/>
        <item m="1" x="510"/>
        <item m="1" x="556"/>
        <item m="1" x="398"/>
        <item m="1" x="591"/>
        <item m="1" x="1010"/>
        <item m="1" x="264"/>
        <item m="1" x="320"/>
        <item m="1" x="321"/>
        <item m="1" x="175"/>
        <item m="1" x="413"/>
        <item m="1" x="605"/>
        <item m="1" x="245"/>
        <item m="1" x="505"/>
        <item m="1" x="549"/>
        <item x="27"/>
        <item m="1" x="609"/>
        <item m="1" x="154"/>
        <item m="1" x="151"/>
        <item m="1" x="466"/>
        <item m="1" x="346"/>
        <item m="1" x="348"/>
        <item m="1" x="375"/>
        <item m="1" x="383"/>
        <item m="1" x="503"/>
        <item m="1" x="163"/>
        <item m="1" x="283"/>
        <item m="1" x="310"/>
        <item m="1" x="311"/>
        <item m="1" x="201"/>
        <item m="1" x="385"/>
        <item m="1" x="547"/>
        <item m="1" x="381"/>
        <item m="1" x="347"/>
        <item m="1" x="362"/>
        <item m="1" x="274"/>
        <item m="1" x="544"/>
        <item m="1" x="312"/>
        <item m="1" x="487"/>
        <item m="1" x="581"/>
        <item m="1" x="407"/>
        <item m="1" x="548"/>
        <item m="1" x="580"/>
        <item x="67"/>
        <item m="1" x="579"/>
        <item m="1" x="568"/>
        <item x="48"/>
        <item m="1" x="304"/>
        <item m="1" x="567"/>
        <item m="1" x="400"/>
        <item m="1" x="410"/>
        <item x="49"/>
        <item m="1" x="246"/>
        <item m="1" x="235"/>
        <item m="1" x="177"/>
        <item m="1" x="236"/>
        <item m="1" x="496"/>
        <item m="1" x="199"/>
        <item x="105"/>
        <item x="107"/>
        <item m="1" x="540"/>
        <item m="1" x="390"/>
        <item m="1" x="533"/>
        <item m="1" x="253"/>
        <item m="1" x="439"/>
        <item m="1" x="290"/>
        <item m="1" x="352"/>
        <item m="1" x="478"/>
        <item m="1" x="531"/>
        <item m="1" x="255"/>
        <item m="1" x="378"/>
        <item x="120"/>
        <item x="53"/>
        <item m="1" x="336"/>
        <item m="1" x="524"/>
        <item m="1" x="504"/>
        <item m="1" x="146"/>
        <item x="5"/>
        <item x="91"/>
        <item x="50"/>
        <item m="1" x="447"/>
        <item m="1" x="395"/>
        <item x="28"/>
        <item m="1" x="463"/>
        <item m="1" x="397"/>
        <item m="1" x="403"/>
        <item m="1" x="265"/>
        <item m="1" x="427"/>
        <item m="1" x="456"/>
        <item m="1" x="414"/>
        <item m="1" x="394"/>
        <item m="1" x="191"/>
        <item m="1" x="371"/>
        <item m="1" x="387"/>
        <item m="1" x="326"/>
        <item m="1" x="233"/>
        <item m="1" x="318"/>
        <item m="1" x="325"/>
        <item m="1" x="296"/>
        <item m="1"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4">
    <i>
      <x v="1"/>
      <x v="141"/>
    </i>
    <i>
      <x v="2"/>
      <x v="1"/>
    </i>
    <i>
      <x v="3"/>
      <x v="142"/>
    </i>
    <i>
      <x v="10"/>
      <x v="834"/>
    </i>
    <i>
      <x v="61"/>
      <x v="823"/>
    </i>
    <i>
      <x v="78"/>
      <x v="136"/>
    </i>
    <i>
      <x v="82"/>
      <x v="197"/>
    </i>
    <i>
      <x v="88"/>
      <x v="205"/>
    </i>
    <i>
      <x v="89"/>
      <x v="211"/>
    </i>
    <i>
      <x v="93"/>
      <x v="1023"/>
    </i>
    <i>
      <x v="97"/>
      <x v="220"/>
    </i>
    <i>
      <x v="106"/>
      <x v="119"/>
    </i>
    <i>
      <x v="116"/>
      <x v="255"/>
    </i>
    <i>
      <x v="135"/>
      <x v="615"/>
    </i>
    <i>
      <x v="137"/>
      <x v="634"/>
    </i>
    <i>
      <x v="140"/>
      <x v="296"/>
    </i>
    <i>
      <x v="158"/>
      <x v="653"/>
    </i>
    <i>
      <x v="171"/>
      <x v="2"/>
    </i>
    <i>
      <x v="256"/>
      <x v="503"/>
    </i>
    <i>
      <x v="257"/>
      <x v="504"/>
    </i>
    <i>
      <x v="274"/>
      <x v="573"/>
    </i>
    <i>
      <x v="288"/>
      <x v="649"/>
    </i>
    <i>
      <x v="289"/>
      <x v="650"/>
    </i>
    <i>
      <x v="325"/>
      <x v="1052"/>
    </i>
    <i>
      <x v="350"/>
      <x v="805"/>
    </i>
    <i>
      <x v="377"/>
      <x v="85"/>
    </i>
    <i>
      <x v="380"/>
      <x v="37"/>
    </i>
    <i>
      <x v="381"/>
      <x v="38"/>
    </i>
    <i>
      <x v="384"/>
      <x v="918"/>
    </i>
    <i>
      <x v="388"/>
      <x v="924"/>
    </i>
    <i>
      <x v="389"/>
      <x v="932"/>
    </i>
    <i>
      <x v="395"/>
      <x v="964"/>
    </i>
    <i>
      <x v="396"/>
      <x v="966"/>
    </i>
    <i>
      <x v="404"/>
      <x v="982"/>
    </i>
    <i>
      <x v="412"/>
      <x v="1011"/>
    </i>
    <i>
      <x v="417"/>
      <x v="1032"/>
    </i>
    <i>
      <x v="430"/>
      <x v="17"/>
    </i>
    <i>
      <x v="434"/>
      <x v="421"/>
    </i>
    <i>
      <x v="435"/>
      <x v="39"/>
    </i>
    <i>
      <x v="439"/>
      <x v="1114"/>
    </i>
    <i>
      <x v="440"/>
      <x v="1115"/>
    </i>
    <i>
      <x v="441"/>
      <x v="763"/>
    </i>
    <i>
      <x v="442"/>
      <x v="550"/>
    </i>
    <i>
      <x v="443"/>
      <x v="16"/>
    </i>
    <i>
      <x v="444"/>
      <x v="1119"/>
    </i>
    <i>
      <x v="445"/>
      <x v="84"/>
    </i>
    <i>
      <x v="446"/>
      <x v="33"/>
    </i>
    <i>
      <x v="447"/>
      <x v="525"/>
    </i>
    <i>
      <x v="448"/>
      <x v="524"/>
    </i>
    <i>
      <x v="449"/>
      <x v="523"/>
    </i>
    <i>
      <x v="450"/>
      <x v="51"/>
    </i>
    <i>
      <x v="451"/>
      <x v="234"/>
    </i>
    <i>
      <x v="452"/>
      <x v="722"/>
    </i>
    <i>
      <x v="453"/>
      <x v="52"/>
    </i>
    <i>
      <x v="454"/>
      <x v="480"/>
    </i>
    <i>
      <x v="455"/>
      <x v="111"/>
    </i>
    <i>
      <x v="456"/>
      <x v="88"/>
    </i>
    <i>
      <x v="457"/>
      <x v="1083"/>
    </i>
    <i>
      <x v="459"/>
      <x v="580"/>
    </i>
    <i>
      <x v="460"/>
      <x v="213"/>
    </i>
    <i>
      <x v="461"/>
      <x v="35"/>
    </i>
    <i>
      <x v="462"/>
      <x v="426"/>
    </i>
    <i>
      <x v="463"/>
      <x v="87"/>
    </i>
    <i>
      <x v="464"/>
      <x v="726"/>
    </i>
    <i>
      <x v="465"/>
      <x v="420"/>
    </i>
    <i>
      <x v="466"/>
      <x v="508"/>
    </i>
    <i>
      <x v="467"/>
      <x v="214"/>
    </i>
    <i>
      <x v="468"/>
      <x v="786"/>
    </i>
    <i>
      <x v="469"/>
      <x v="36"/>
    </i>
    <i>
      <x v="470"/>
      <x v="544"/>
    </i>
    <i>
      <x v="471"/>
      <x v="535"/>
    </i>
    <i>
      <x v="472"/>
      <x v="776"/>
    </i>
    <i>
      <x v="473"/>
      <x v="752"/>
    </i>
    <i>
      <x v="474"/>
      <x v="54"/>
    </i>
    <i>
      <x v="475"/>
      <x v="55"/>
    </i>
    <i>
      <x v="476"/>
      <x v="56"/>
    </i>
    <i>
      <x v="477"/>
      <x v="751"/>
    </i>
    <i>
      <x v="478"/>
      <x v="536"/>
    </i>
    <i>
      <x v="479"/>
      <x v="1080"/>
    </i>
    <i>
      <x v="480"/>
      <x v="93"/>
    </i>
    <i>
      <x v="481"/>
      <x v="120"/>
    </i>
    <i>
      <x v="482"/>
      <x v="268"/>
    </i>
    <i>
      <x v="483"/>
      <x v="463"/>
    </i>
    <i>
      <x v="484"/>
      <x v="206"/>
    </i>
    <i>
      <x v="485"/>
      <x v="92"/>
    </i>
    <i>
      <x v="486"/>
      <x v="216"/>
    </i>
    <i>
      <x v="487"/>
      <x v="89"/>
    </i>
    <i>
      <x v="488"/>
      <x v="1095"/>
    </i>
    <i>
      <x v="489"/>
      <x v="787"/>
    </i>
    <i>
      <x v="490"/>
      <x v="549"/>
    </i>
    <i>
      <x v="491"/>
      <x v="429"/>
    </i>
    <i>
      <x v="492"/>
      <x v="1000"/>
    </i>
    <i>
      <x v="493"/>
      <x v="1002"/>
    </i>
    <i>
      <x v="494"/>
      <x v="954"/>
    </i>
    <i>
      <x v="495"/>
      <x v="955"/>
    </i>
    <i>
      <x v="496"/>
      <x v="585"/>
    </i>
    <i>
      <x v="497"/>
      <x v="541"/>
    </i>
    <i>
      <x v="498"/>
      <x v="91"/>
    </i>
    <i>
      <x v="499"/>
      <x v="299"/>
    </i>
    <i>
      <x v="500"/>
      <x v="249"/>
    </i>
    <i>
      <x v="501"/>
      <x v="348"/>
    </i>
    <i>
      <x v="502"/>
      <x v="275"/>
    </i>
    <i>
      <x v="503"/>
      <x v="178"/>
    </i>
    <i>
      <x v="504"/>
      <x v="229"/>
    </i>
    <i>
      <x v="505"/>
      <x v="53"/>
    </i>
    <i>
      <x v="506"/>
      <x v="138"/>
    </i>
    <i>
      <x v="507"/>
      <x v="788"/>
    </i>
    <i>
      <x v="508"/>
      <x v="65"/>
    </i>
    <i>
      <x v="509"/>
      <x v="1108"/>
    </i>
    <i>
      <x v="510"/>
      <x v="738"/>
    </i>
    <i>
      <x v="511"/>
      <x v="1088"/>
    </i>
    <i>
      <x v="512"/>
      <x v="1116"/>
    </i>
    <i>
      <x v="513"/>
      <x v="1109"/>
    </i>
    <i>
      <x v="514"/>
      <x v="655"/>
    </i>
    <i>
      <x v="515"/>
      <x v="757"/>
    </i>
    <i>
      <x v="516"/>
      <x v="528"/>
    </i>
    <i>
      <x v="517"/>
      <x v="850"/>
    </i>
    <i>
      <x v="518"/>
      <x v="1017"/>
    </i>
    <i>
      <x v="519"/>
      <x v="349"/>
    </i>
    <i>
      <x v="520"/>
      <x v="41"/>
    </i>
    <i>
      <x v="521"/>
      <x v="227"/>
    </i>
    <i>
      <x v="522"/>
      <x v="1096"/>
    </i>
    <i>
      <x v="523"/>
      <x v="767"/>
    </i>
    <i>
      <x v="524"/>
      <x v="92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 numFmtId="2"/>
    <dataField name="Suma de Columna5" fld="4" baseField="0" baseItem="0" numFmtId="2"/>
  </dataFields>
  <formats count="1">
    <format dxfId="72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DB473" cacheId="41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47" firstHeaderRow="0" firstDataRow="1" firstDataCol="2"/>
  <pivotFields count="5">
    <pivotField axis="axisRow" compact="0" outline="0" showAll="0" defaultSubtotal="0">
      <items count="562">
        <item x="18"/>
        <item x="0"/>
        <item m="1" x="195"/>
        <item m="1" x="154"/>
        <item m="1" x="394"/>
        <item m="1" x="474"/>
        <item m="1" x="409"/>
        <item m="1" x="362"/>
        <item m="1" x="462"/>
        <item m="1" x="276"/>
        <item m="1" x="378"/>
        <item m="1" x="410"/>
        <item m="1" x="333"/>
        <item m="1" x="288"/>
        <item m="1" x="355"/>
        <item m="1" x="218"/>
        <item m="1" x="302"/>
        <item m="1" x="531"/>
        <item m="1" x="212"/>
        <item m="1" x="230"/>
        <item m="1" x="537"/>
        <item m="1" x="297"/>
        <item m="1" x="314"/>
        <item m="1" x="536"/>
        <item m="1" x="549"/>
        <item m="1" x="499"/>
        <item m="1" x="498"/>
        <item m="1" x="502"/>
        <item m="1" x="495"/>
        <item m="1" x="501"/>
        <item m="1" x="377"/>
        <item m="1" x="432"/>
        <item m="1" x="518"/>
        <item m="1" x="523"/>
        <item m="1" x="529"/>
        <item m="1" x="403"/>
        <item m="1" x="306"/>
        <item m="1" x="229"/>
        <item m="1" x="382"/>
        <item m="1" x="443"/>
        <item m="1" x="299"/>
        <item m="1" x="290"/>
        <item m="1" x="465"/>
        <item m="1" x="244"/>
        <item m="1" x="319"/>
        <item m="1" x="463"/>
        <item m="1" x="492"/>
        <item m="1" x="365"/>
        <item m="1" x="438"/>
        <item m="1" x="470"/>
        <item m="1" x="472"/>
        <item m="1" x="517"/>
        <item m="1" x="527"/>
        <item m="1" x="557"/>
        <item m="1" x="405"/>
        <item m="1" x="486"/>
        <item m="1" x="541"/>
        <item x="10"/>
        <item m="1" x="151"/>
        <item m="1" x="445"/>
        <item m="1" x="437"/>
        <item m="1" x="464"/>
        <item m="1" x="456"/>
        <item m="1" x="459"/>
        <item m="1" x="175"/>
        <item m="1" x="176"/>
        <item m="1" x="180"/>
        <item m="1" x="507"/>
        <item m="1" x="396"/>
        <item m="1" x="512"/>
        <item m="1" x="543"/>
        <item m="1" x="178"/>
        <item m="1" x="400"/>
        <item m="1" x="482"/>
        <item m="1" x="158"/>
        <item m="1" x="372"/>
        <item m="1" x="181"/>
        <item x="21"/>
        <item m="1" x="553"/>
        <item m="1" x="480"/>
        <item m="1" x="323"/>
        <item m="1" x="168"/>
        <item m="1" x="186"/>
        <item m="1" x="185"/>
        <item m="1" x="187"/>
        <item m="1" x="155"/>
        <item m="1" x="147"/>
        <item m="1" x="172"/>
        <item m="1" x="209"/>
        <item x="14"/>
        <item x="16"/>
        <item m="1" x="282"/>
        <item m="1" x="466"/>
        <item m="1" x="525"/>
        <item m="1" x="313"/>
        <item x="11"/>
        <item m="1" x="532"/>
        <item x="12"/>
        <item m="1" x="393"/>
        <item m="1" x="504"/>
        <item m="1" x="404"/>
        <item m="1" x="327"/>
        <item m="1" x="521"/>
        <item m="1" x="326"/>
        <item m="1" x="334"/>
        <item m="1" x="494"/>
        <item m="1" x="450"/>
        <item m="1" x="509"/>
        <item m="1" x="510"/>
        <item m="1" x="426"/>
        <item m="1" x="451"/>
        <item m="1" x="429"/>
        <item m="1" x="433"/>
        <item m="1" x="211"/>
        <item x="3"/>
        <item m="1" x="177"/>
        <item m="1" x="524"/>
        <item m="1" x="149"/>
        <item m="1" x="161"/>
        <item m="1" x="488"/>
        <item m="1" x="383"/>
        <item m="1" x="160"/>
        <item m="1" x="179"/>
        <item m="1" x="439"/>
        <item m="1" x="197"/>
        <item m="1" x="206"/>
        <item m="1" x="146"/>
        <item m="1" x="208"/>
        <item m="1" x="152"/>
        <item m="1" x="360"/>
        <item m="1" x="344"/>
        <item m="1" x="440"/>
        <item m="1" x="233"/>
        <item m="1" x="248"/>
        <item m="1" x="493"/>
        <item m="1" x="220"/>
        <item m="1" x="275"/>
        <item m="1" x="408"/>
        <item m="1" x="380"/>
        <item m="1" x="164"/>
        <item m="1" x="554"/>
        <item m="1" x="235"/>
        <item m="1" x="559"/>
        <item m="1" x="379"/>
        <item x="2"/>
        <item m="1" x="441"/>
        <item m="1" x="424"/>
        <item x="25"/>
        <item m="1" x="223"/>
        <item m="1" x="204"/>
        <item m="1" x="205"/>
        <item x="17"/>
        <item m="1" x="214"/>
        <item m="1" x="264"/>
        <item x="15"/>
        <item m="1" x="350"/>
        <item m="1" x="475"/>
        <item m="1" x="281"/>
        <item m="1" x="238"/>
        <item m="1" x="455"/>
        <item m="1" x="315"/>
        <item x="13"/>
        <item m="1" x="479"/>
        <item m="1" x="335"/>
        <item m="1" x="249"/>
        <item m="1" x="188"/>
        <item m="1" x="530"/>
        <item m="1" x="298"/>
        <item m="1" x="293"/>
        <item m="1" x="467"/>
        <item m="1" x="331"/>
        <item m="1" x="219"/>
        <item m="1" x="552"/>
        <item m="1" x="485"/>
        <item x="1"/>
        <item m="1" x="354"/>
        <item m="1" x="422"/>
        <item m="1" x="364"/>
        <item m="1" x="411"/>
        <item x="19"/>
        <item x="24"/>
        <item m="1" x="419"/>
        <item m="1" x="476"/>
        <item m="1" x="534"/>
        <item m="1" x="224"/>
        <item m="1" x="166"/>
        <item m="1" x="548"/>
        <item m="1" x="245"/>
        <item m="1" x="352"/>
        <item m="1" x="389"/>
        <item m="1" x="343"/>
        <item m="1" x="473"/>
        <item m="1" x="397"/>
        <item m="1" x="184"/>
        <item m="1" x="430"/>
        <item m="1" x="271"/>
        <item m="1" x="273"/>
        <item m="1" x="304"/>
        <item m="1" x="515"/>
        <item m="1" x="373"/>
        <item m="1" x="324"/>
        <item m="1" x="285"/>
        <item m="1" x="412"/>
        <item m="1" x="213"/>
        <item m="1" x="348"/>
        <item m="1" x="328"/>
        <item m="1" x="203"/>
        <item m="1" x="351"/>
        <item m="1" x="533"/>
        <item m="1" x="454"/>
        <item m="1" x="435"/>
        <item m="1" x="255"/>
        <item m="1" x="503"/>
        <item m="1" x="253"/>
        <item x="5"/>
        <item x="23"/>
        <item m="1" x="171"/>
        <item m="1" x="247"/>
        <item m="1" x="398"/>
        <item m="1" x="300"/>
        <item m="1" x="234"/>
        <item m="1" x="217"/>
        <item m="1" x="369"/>
        <item m="1" x="514"/>
        <item m="1" x="159"/>
        <item m="1" x="434"/>
        <item m="1" x="376"/>
        <item m="1" x="402"/>
        <item m="1" x="420"/>
        <item m="1" x="278"/>
        <item m="1" x="484"/>
        <item m="1" x="182"/>
        <item m="1" x="387"/>
        <item m="1" x="341"/>
        <item m="1" x="320"/>
        <item m="1" x="452"/>
        <item m="1" x="386"/>
        <item m="1" x="227"/>
        <item m="1" x="183"/>
        <item m="1" x="167"/>
        <item m="1" x="284"/>
        <item m="1" x="291"/>
        <item m="1" x="370"/>
        <item m="1" x="547"/>
        <item m="1" x="425"/>
        <item m="1" x="157"/>
        <item m="1" x="468"/>
        <item x="22"/>
        <item m="1" x="539"/>
        <item m="1" x="274"/>
        <item m="1" x="277"/>
        <item m="1" x="243"/>
        <item m="1" x="340"/>
        <item m="1" x="221"/>
        <item m="1" x="497"/>
        <item m="1" x="406"/>
        <item m="1" x="148"/>
        <item m="1" x="196"/>
        <item m="1" x="198"/>
        <item m="1" x="150"/>
        <item m="1" x="356"/>
        <item m="1" x="173"/>
        <item m="1" x="256"/>
        <item m="1" x="391"/>
        <item m="1" x="363"/>
        <item m="1" x="444"/>
        <item m="1" x="526"/>
        <item m="1" x="292"/>
        <item m="1" x="555"/>
        <item m="1" x="505"/>
        <item m="1" x="447"/>
        <item m="1" x="199"/>
        <item m="1" x="329"/>
        <item m="1" x="322"/>
        <item m="1" x="165"/>
        <item m="1" x="483"/>
        <item m="1" x="395"/>
        <item m="1" x="516"/>
        <item m="1" x="307"/>
        <item m="1" x="469"/>
        <item m="1" x="460"/>
        <item m="1" x="500"/>
        <item m="1" x="231"/>
        <item m="1" x="236"/>
        <item m="1" x="546"/>
        <item m="1" x="520"/>
        <item m="1" x="513"/>
        <item m="1" x="347"/>
        <item m="1" x="367"/>
        <item m="1" x="496"/>
        <item m="1" x="254"/>
        <item m="1" x="359"/>
        <item x="4"/>
        <item m="1" x="346"/>
        <item m="1" x="522"/>
        <item m="1" x="366"/>
        <item m="1" x="305"/>
        <item m="1" x="374"/>
        <item m="1" x="268"/>
        <item m="1" x="550"/>
        <item m="1" x="418"/>
        <item m="1" x="371"/>
        <item m="1" x="545"/>
        <item m="1" x="286"/>
        <item m="1" x="283"/>
        <item m="1" x="269"/>
        <item m="1" x="272"/>
        <item m="1" x="461"/>
        <item m="1" x="266"/>
        <item m="1" x="316"/>
        <item m="1" x="156"/>
        <item m="1" x="262"/>
        <item m="1" x="417"/>
        <item m="1" x="201"/>
        <item m="1" x="540"/>
        <item m="1" x="216"/>
        <item m="1" x="415"/>
        <item m="1" x="428"/>
        <item x="28"/>
        <item m="1" x="448"/>
        <item m="1" x="401"/>
        <item m="1" x="414"/>
        <item m="1" x="436"/>
        <item m="1" x="407"/>
        <item m="1" x="349"/>
        <item m="1" x="309"/>
        <item m="1" x="330"/>
        <item m="1" x="317"/>
        <item m="1" x="174"/>
        <item m="1" x="388"/>
        <item m="1" x="431"/>
        <item m="1" x="491"/>
        <item m="1" x="478"/>
        <item m="1" x="560"/>
        <item m="1" x="416"/>
        <item m="1" x="449"/>
        <item m="1" x="263"/>
        <item m="1" x="535"/>
        <item m="1" x="490"/>
        <item m="1" x="342"/>
        <item x="29"/>
        <item m="1" x="442"/>
        <item m="1" x="259"/>
        <item m="1" x="458"/>
        <item m="1" x="345"/>
        <item m="1" x="384"/>
        <item m="1" x="191"/>
        <item m="1" x="551"/>
        <item m="1" x="427"/>
        <item m="1" x="446"/>
        <item m="1" x="477"/>
        <item m="1" x="511"/>
        <item m="1" x="544"/>
        <item m="1" x="561"/>
        <item m="1" x="357"/>
        <item m="1" x="528"/>
        <item m="1" x="519"/>
        <item m="1" x="162"/>
        <item m="1" x="192"/>
        <item m="1" x="311"/>
        <item m="1" x="542"/>
        <item m="1" x="508"/>
        <item m="1" x="421"/>
        <item m="1" x="358"/>
        <item m="1" x="163"/>
        <item m="1" x="222"/>
        <item m="1" x="237"/>
        <item x="6"/>
        <item x="7"/>
        <item x="8"/>
        <item m="1" x="225"/>
        <item m="1" x="308"/>
        <item m="1" x="399"/>
        <item m="1" x="538"/>
        <item m="1" x="487"/>
        <item m="1" x="471"/>
        <item m="1" x="207"/>
        <item m="1" x="390"/>
        <item m="1" x="202"/>
        <item m="1" x="338"/>
        <item m="1" x="489"/>
        <item m="1" x="279"/>
        <item m="1" x="361"/>
        <item x="26"/>
        <item m="1" x="312"/>
        <item m="1" x="353"/>
        <item m="1" x="457"/>
        <item m="1" x="336"/>
        <item m="1" x="381"/>
        <item m="1" x="423"/>
        <item m="1" x="321"/>
        <item m="1" x="558"/>
        <item m="1" x="368"/>
        <item m="1" x="267"/>
        <item x="9"/>
        <item m="1" x="301"/>
        <item m="1" x="506"/>
        <item m="1" x="194"/>
        <item x="35"/>
        <item m="1" x="325"/>
        <item m="1" x="296"/>
        <item m="1" x="385"/>
        <item m="1" x="250"/>
        <item m="1" x="375"/>
        <item m="1" x="332"/>
        <item m="1" x="295"/>
        <item m="1" x="339"/>
        <item m="1" x="481"/>
        <item x="34"/>
        <item x="32"/>
        <item m="1" x="210"/>
        <item m="1" x="153"/>
        <item m="1" x="453"/>
        <item m="1" x="270"/>
        <item m="1" x="392"/>
        <item m="1" x="200"/>
        <item x="20"/>
        <item m="1" x="310"/>
        <item m="1" x="413"/>
        <item x="33"/>
        <item m="1" x="337"/>
        <item m="1" x="190"/>
        <item m="1" x="287"/>
        <item m="1" x="241"/>
        <item m="1" x="193"/>
        <item m="1" x="257"/>
        <item m="1" x="318"/>
        <item m="1" x="289"/>
        <item m="1" x="556"/>
        <item x="31"/>
        <item m="1" x="246"/>
        <item m="1" x="242"/>
        <item x="27"/>
        <item m="1" x="240"/>
        <item m="1" x="251"/>
        <item m="1" x="252"/>
        <item m="1" x="170"/>
        <item m="1" x="260"/>
        <item m="1" x="189"/>
        <item x="87"/>
        <item x="89"/>
        <item m="1" x="303"/>
        <item m="1" x="265"/>
        <item x="79"/>
        <item m="1" x="239"/>
        <item x="51"/>
        <item x="38"/>
        <item x="102"/>
        <item x="42"/>
        <item m="1" x="280"/>
        <item m="1" x="169"/>
        <item m="1" x="294"/>
        <item m="1" x="232"/>
        <item x="101"/>
        <item x="85"/>
        <item x="39"/>
        <item x="130"/>
        <item m="1" x="261"/>
        <item x="30"/>
        <item x="105"/>
        <item m="1" x="258"/>
        <item x="92"/>
        <item x="93"/>
        <item x="122"/>
        <item x="136"/>
        <item x="88"/>
        <item x="58"/>
        <item x="59"/>
        <item x="70"/>
        <item x="114"/>
        <item x="95"/>
        <item x="99"/>
        <item x="117"/>
        <item x="96"/>
        <item x="142"/>
        <item m="1" x="228"/>
        <item x="115"/>
        <item x="116"/>
        <item m="1" x="226"/>
        <item x="104"/>
        <item x="134"/>
        <item x="83"/>
        <item x="126"/>
        <item x="128"/>
        <item x="139"/>
        <item x="141"/>
        <item m="1" x="215"/>
        <item x="36"/>
        <item x="50"/>
        <item x="55"/>
        <item x="65"/>
        <item x="78"/>
        <item x="135"/>
        <item x="44"/>
        <item x="45"/>
        <item x="46"/>
        <item x="98"/>
        <item x="113"/>
        <item x="43"/>
        <item x="75"/>
        <item x="106"/>
        <item x="112"/>
        <item x="124"/>
        <item x="47"/>
        <item x="107"/>
        <item x="121"/>
        <item x="132"/>
        <item x="133"/>
        <item x="137"/>
        <item x="143"/>
        <item x="77"/>
        <item x="97"/>
        <item x="100"/>
        <item x="109"/>
        <item x="127"/>
        <item x="37"/>
        <item x="40"/>
        <item x="54"/>
        <item x="56"/>
        <item x="61"/>
        <item x="63"/>
        <item x="67"/>
        <item x="72"/>
        <item x="76"/>
        <item x="80"/>
        <item x="82"/>
        <item x="94"/>
        <item x="108"/>
        <item x="110"/>
        <item x="118"/>
        <item x="119"/>
        <item x="125"/>
        <item x="129"/>
        <item x="41"/>
        <item x="48"/>
        <item x="49"/>
        <item x="52"/>
        <item x="53"/>
        <item x="57"/>
        <item x="60"/>
        <item x="62"/>
        <item x="64"/>
        <item x="66"/>
        <item x="68"/>
        <item x="69"/>
        <item x="71"/>
        <item x="73"/>
        <item x="74"/>
        <item x="81"/>
        <item x="84"/>
        <item x="86"/>
        <item x="90"/>
        <item x="91"/>
        <item x="103"/>
        <item x="111"/>
        <item x="120"/>
        <item x="123"/>
        <item x="131"/>
        <item x="138"/>
        <item x="140"/>
        <item x="144"/>
        <item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71">
        <item x="18"/>
        <item x="17"/>
        <item x="0"/>
        <item m="1" x="339"/>
        <item m="1" x="292"/>
        <item m="1" x="198"/>
        <item m="1" x="619"/>
        <item x="16"/>
        <item m="1" x="490"/>
        <item m="1" x="640"/>
        <item m="1" x="647"/>
        <item m="1" x="595"/>
        <item m="1" x="555"/>
        <item m="1" x="825"/>
        <item m="1" x="682"/>
        <item m="1" x="1131"/>
        <item m="1" x="1057"/>
        <item m="1" x="742"/>
        <item m="1" x="1042"/>
        <item m="1" x="914"/>
        <item m="1" x="167"/>
        <item m="1" x="1055"/>
        <item m="1" x="222"/>
        <item m="1" x="336"/>
        <item m="1" x="166"/>
        <item x="79"/>
        <item m="1" x="631"/>
        <item m="1" x="1119"/>
        <item m="1" x="501"/>
        <item m="1" x="648"/>
        <item m="1" x="393"/>
        <item m="1" x="1136"/>
        <item m="1" x="1137"/>
        <item m="1" x="1155"/>
        <item m="1" x="805"/>
        <item m="1" x="1135"/>
        <item m="1" x="812"/>
        <item m="1" x="714"/>
        <item m="1" x="710"/>
        <item m="1" x="1045"/>
        <item m="1" x="861"/>
        <item m="1" x="775"/>
        <item m="1" x="353"/>
        <item m="1" x="409"/>
        <item x="97"/>
        <item m="1" x="171"/>
        <item m="1" x="230"/>
        <item x="93"/>
        <item m="1" x="338"/>
        <item x="104"/>
        <item x="107"/>
        <item m="1" x="450"/>
        <item x="87"/>
        <item x="88"/>
        <item m="1" x="480"/>
        <item x="95"/>
        <item x="98"/>
        <item x="91"/>
        <item m="1" x="1020"/>
        <item x="106"/>
        <item m="1" x="175"/>
        <item x="100"/>
        <item x="86"/>
        <item m="1" x="782"/>
        <item m="1" x="244"/>
        <item m="1" x="654"/>
        <item x="121"/>
        <item m="1" x="608"/>
        <item m="1" x="695"/>
        <item x="115"/>
        <item x="117"/>
        <item x="116"/>
        <item m="1" x="560"/>
        <item m="1" x="790"/>
        <item x="122"/>
        <item x="126"/>
        <item x="124"/>
        <item x="128"/>
        <item m="1" x="488"/>
        <item m="1" x="902"/>
        <item m="1" x="736"/>
        <item m="1" x="804"/>
        <item m="1" x="994"/>
        <item m="1" x="187"/>
        <item m="1" x="192"/>
        <item x="13"/>
        <item m="1" x="208"/>
        <item m="1" x="708"/>
        <item m="1" x="369"/>
        <item m="1" x="383"/>
        <item m="1" x="856"/>
        <item m="1" x="605"/>
        <item m="1" x="519"/>
        <item m="1" x="1162"/>
        <item m="1" x="403"/>
        <item m="1" x="570"/>
        <item m="1" x="1073"/>
        <item m="1" x="747"/>
        <item m="1" x="694"/>
        <item m="1" x="1032"/>
        <item m="1" x="917"/>
        <item m="1" x="981"/>
        <item m="1" x="705"/>
        <item m="1" x="941"/>
        <item m="1" x="172"/>
        <item m="1" x="391"/>
        <item m="1" x="421"/>
        <item m="1" x="522"/>
        <item m="1" x="168"/>
        <item x="92"/>
        <item m="1" x="174"/>
        <item x="105"/>
        <item m="1" x="281"/>
        <item x="99"/>
        <item m="1" x="169"/>
        <item x="94"/>
        <item m="1" x="1080"/>
        <item x="89"/>
        <item x="90"/>
        <item m="1" x="637"/>
        <item m="1" x="1142"/>
        <item m="1" x="807"/>
        <item m="1" x="772"/>
        <item m="1" x="1004"/>
        <item m="1" x="874"/>
        <item m="1" x="415"/>
        <item m="1" x="989"/>
        <item m="1" x="586"/>
        <item m="1" x="357"/>
        <item m="1" x="668"/>
        <item m="1" x="875"/>
        <item m="1" x="760"/>
        <item m="1" x="1021"/>
        <item m="1" x="1062"/>
        <item m="1" x="907"/>
        <item m="1" x="667"/>
        <item m="1" x="1018"/>
        <item m="1" x="416"/>
        <item m="1" x="333"/>
        <item m="1" x="873"/>
        <item m="1" x="503"/>
        <item m="1" x="727"/>
        <item m="1" x="573"/>
        <item m="1" x="367"/>
        <item m="1" x="763"/>
        <item x="85"/>
        <item x="2"/>
        <item m="1" x="1077"/>
        <item m="1" x="639"/>
        <item m="1" x="806"/>
        <item m="1" x="660"/>
        <item m="1" x="776"/>
        <item m="1" x="681"/>
        <item m="1" x="991"/>
        <item m="1" x="190"/>
        <item m="1" x="193"/>
        <item x="136"/>
        <item m="1" x="638"/>
        <item x="3"/>
        <item m="1" x="247"/>
        <item m="1" x="1169"/>
        <item x="119"/>
        <item m="1" x="1167"/>
        <item m="1" x="620"/>
        <item m="1" x="1115"/>
        <item m="1" x="864"/>
        <item x="113"/>
        <item x="114"/>
        <item m="1" x="178"/>
        <item m="1" x="886"/>
        <item m="1" x="817"/>
        <item m="1" x="818"/>
        <item x="36"/>
        <item m="1" x="1023"/>
        <item m="1" x="697"/>
        <item m="1" x="882"/>
        <item m="1" x="879"/>
        <item m="1" x="274"/>
        <item x="78"/>
        <item m="1" x="871"/>
        <item m="1" x="920"/>
        <item m="1" x="1148"/>
        <item m="1" x="951"/>
        <item m="1" x="1149"/>
        <item m="1" x="952"/>
        <item m="1" x="809"/>
        <item m="1" x="636"/>
        <item m="1" x="1141"/>
        <item m="1" x="908"/>
        <item x="19"/>
        <item m="1" x="253"/>
        <item m="1" x="319"/>
        <item x="21"/>
        <item m="1" x="740"/>
        <item m="1" x="764"/>
        <item m="1" x="1097"/>
        <item m="1" x="641"/>
        <item x="130"/>
        <item m="1" x="707"/>
        <item m="1" x="878"/>
        <item m="1" x="913"/>
        <item m="1" x="961"/>
        <item m="1" x="318"/>
        <item m="1" x="414"/>
        <item x="127"/>
        <item m="1" x="755"/>
        <item m="1" x="779"/>
        <item m="1" x="666"/>
        <item m="1" x="787"/>
        <item m="1" x="852"/>
        <item m="1" x="1124"/>
        <item m="1" x="1017"/>
        <item m="1" x="925"/>
        <item m="1" x="1043"/>
        <item m="1" x="457"/>
        <item m="1" x="232"/>
        <item m="1" x="362"/>
        <item m="1" x="363"/>
        <item m="1" x="664"/>
        <item m="1" x="425"/>
        <item m="1" x="911"/>
        <item m="1" x="842"/>
        <item m="1" x="481"/>
        <item m="1" x="545"/>
        <item m="1" x="343"/>
        <item m="1" x="525"/>
        <item m="1" x="910"/>
        <item m="1" x="771"/>
        <item m="1" x="1064"/>
        <item m="1" x="538"/>
        <item m="1" x="1165"/>
        <item m="1" x="558"/>
        <item m="1" x="1103"/>
        <item m="1" x="737"/>
        <item m="1" x="883"/>
        <item m="1" x="895"/>
        <item m="1" x="992"/>
        <item m="1" x="188"/>
        <item x="137"/>
        <item x="138"/>
        <item m="1" x="698"/>
        <item x="112"/>
        <item m="1" x="355"/>
        <item m="1" x="767"/>
        <item m="1" x="950"/>
        <item x="110"/>
        <item x="111"/>
        <item m="1" x="762"/>
        <item m="1" x="890"/>
        <item m="1" x="888"/>
        <item m="1" x="823"/>
        <item m="1" x="1163"/>
        <item m="1" x="645"/>
        <item m="1" x="1140"/>
        <item m="1" x="1144"/>
        <item m="1" x="212"/>
        <item m="1" x="841"/>
        <item m="1" x="815"/>
        <item m="1" x="738"/>
        <item m="1" x="1044"/>
        <item m="1" x="530"/>
        <item m="1" x="569"/>
        <item m="1" x="642"/>
        <item m="1" x="814"/>
        <item m="1" x="199"/>
        <item m="1" x="147"/>
        <item m="1" x="329"/>
        <item m="1" x="915"/>
        <item m="1" x="843"/>
        <item m="1" x="197"/>
        <item x="14"/>
        <item m="1" x="375"/>
        <item m="1" x="231"/>
        <item m="1" x="743"/>
        <item m="1" x="846"/>
        <item m="1" x="1134"/>
        <item m="1" x="751"/>
        <item m="1" x="474"/>
        <item m="1" x="1160"/>
        <item m="1" x="802"/>
        <item m="1" x="574"/>
        <item m="1" x="847"/>
        <item m="1" x="900"/>
        <item m="1" x="980"/>
        <item m="1" x="151"/>
        <item x="139"/>
        <item m="1" x="191"/>
        <item m="1" x="331"/>
        <item m="1" x="663"/>
        <item m="1" x="182"/>
        <item m="1" x="354"/>
        <item m="1" x="364"/>
        <item m="1" x="356"/>
        <item m="1" x="1146"/>
        <item x="109"/>
        <item m="1" x="275"/>
        <item m="1" x="307"/>
        <item m="1" x="1114"/>
        <item m="1" x="938"/>
        <item m="1" x="683"/>
        <item m="1" x="673"/>
        <item m="1" x="1106"/>
        <item m="1" x="796"/>
        <item m="1" x="1009"/>
        <item m="1" x="1016"/>
        <item m="1" x="294"/>
        <item m="1" x="777"/>
        <item m="1" x="656"/>
        <item m="1" x="146"/>
        <item m="1" x="997"/>
        <item m="1" x="726"/>
        <item m="1" x="769"/>
        <item m="1" x="486"/>
        <item m="1" x="1003"/>
        <item m="1" x="606"/>
        <item m="1" x="378"/>
        <item m="1" x="971"/>
        <item m="1" x="345"/>
        <item m="1" x="478"/>
        <item m="1" x="689"/>
        <item m="1" x="750"/>
        <item m="1" x="260"/>
        <item m="1" x="382"/>
        <item m="1" x="975"/>
        <item m="1" x="792"/>
        <item m="1" x="189"/>
        <item m="1" x="181"/>
        <item m="1" x="692"/>
        <item m="1" x="179"/>
        <item m="1" x="670"/>
        <item m="1" x="1102"/>
        <item x="25"/>
        <item m="1" x="358"/>
        <item m="1" x="1038"/>
        <item m="1" x="317"/>
        <item m="1" x="730"/>
        <item x="125"/>
        <item m="1" x="899"/>
        <item m="1" x="942"/>
        <item m="1" x="459"/>
        <item x="15"/>
        <item x="96"/>
        <item m="1" x="858"/>
        <item m="1" x="387"/>
        <item m="1" x="311"/>
        <item m="1" x="327"/>
        <item m="1" x="1168"/>
        <item m="1" x="715"/>
        <item m="1" x="487"/>
        <item m="1" x="1150"/>
        <item m="1" x="550"/>
        <item m="1" x="661"/>
        <item m="1" x="588"/>
        <item m="1" x="518"/>
        <item m="1" x="508"/>
        <item m="1" x="735"/>
        <item m="1" x="584"/>
        <item m="1" x="344"/>
        <item m="1" x="684"/>
        <item m="1" x="985"/>
        <item m="1" x="675"/>
        <item x="1"/>
        <item x="140"/>
        <item m="1" x="797"/>
        <item m="1" x="312"/>
        <item m="1" x="783"/>
        <item m="1" x="469"/>
        <item m="1" x="723"/>
        <item m="1" x="724"/>
        <item m="1" x="1085"/>
        <item m="1" x="824"/>
        <item m="1" x="1117"/>
        <item m="1" x="1118"/>
        <item x="24"/>
        <item x="129"/>
        <item m="1" x="649"/>
        <item m="1" x="1147"/>
        <item m="1" x="1139"/>
        <item m="1" x="834"/>
        <item m="1" x="784"/>
        <item m="1" x="929"/>
        <item m="1" x="1156"/>
        <item m="1" x="827"/>
        <item m="1" x="1054"/>
        <item m="1" x="788"/>
        <item m="1" x="233"/>
        <item m="1" x="821"/>
        <item m="1" x="880"/>
        <item m="1" x="616"/>
        <item m="1" x="1028"/>
        <item m="1" x="404"/>
        <item m="1" x="970"/>
        <item m="1" x="1060"/>
        <item m="1" x="628"/>
        <item m="1" x="1072"/>
        <item m="1" x="793"/>
        <item m="1" x="748"/>
        <item m="1" x="1145"/>
        <item m="1" x="835"/>
        <item m="1" x="896"/>
        <item m="1" x="733"/>
        <item m="1" x="936"/>
        <item m="1" x="1071"/>
        <item m="1" x="495"/>
        <item m="1" x="621"/>
        <item m="1" x="201"/>
        <item m="1" x="255"/>
        <item x="23"/>
        <item m="1" x="741"/>
        <item m="1" x="840"/>
        <item m="1" x="1113"/>
        <item m="1" x="531"/>
        <item m="1" x="1037"/>
        <item m="1" x="571"/>
        <item m="1" x="785"/>
        <item m="1" x="428"/>
        <item m="1" x="576"/>
        <item m="1" x="300"/>
        <item m="1" x="1010"/>
        <item m="1" x="770"/>
        <item m="1" x="968"/>
        <item m="1" x="186"/>
        <item m="1" x="822"/>
        <item m="1" x="1088"/>
        <item m="1" x="434"/>
        <item m="1" x="1063"/>
        <item m="1" x="909"/>
        <item m="1" x="547"/>
        <item m="1" x="906"/>
        <item m="1" x="1008"/>
        <item m="1" x="1143"/>
        <item m="1" x="523"/>
        <item m="1" x="381"/>
        <item m="1" x="342"/>
        <item m="1" x="672"/>
        <item m="1" x="352"/>
        <item m="1" x="492"/>
        <item m="1" x="1098"/>
        <item m="1" x="483"/>
        <item m="1" x="974"/>
        <item m="1" x="254"/>
        <item m="1" x="719"/>
        <item m="1" x="601"/>
        <item m="1" x="559"/>
        <item m="1" x="753"/>
        <item m="1" x="948"/>
        <item m="1" x="183"/>
        <item m="1" x="211"/>
        <item m="1" x="1094"/>
        <item m="1" x="826"/>
        <item m="1" x="749"/>
        <item m="1" x="1002"/>
        <item m="1" x="1090"/>
        <item m="1" x="1091"/>
        <item m="1" x="494"/>
        <item m="1" x="504"/>
        <item m="1" x="833"/>
        <item m="1" x="774"/>
        <item m="1" x="614"/>
        <item m="1" x="567"/>
        <item x="37"/>
        <item m="1" x="1065"/>
        <item x="22"/>
        <item m="1" x="799"/>
        <item m="1" x="1089"/>
        <item m="1" x="170"/>
        <item m="1" x="423"/>
        <item m="1" x="475"/>
        <item m="1" x="482"/>
        <item m="1" x="400"/>
        <item m="1" x="838"/>
        <item m="1" x="626"/>
        <item m="1" x="830"/>
        <item m="1" x="972"/>
        <item m="1" x="1027"/>
        <item m="1" x="220"/>
        <item m="1" x="334"/>
        <item x="70"/>
        <item m="1" x="699"/>
        <item m="1" x="646"/>
        <item m="1" x="717"/>
        <item m="1" x="759"/>
        <item m="1" x="955"/>
        <item m="1" x="408"/>
        <item m="1" x="328"/>
        <item m="1" x="176"/>
        <item m="1" x="732"/>
        <item m="1" x="346"/>
        <item m="1" x="1164"/>
        <item m="1" x="1123"/>
        <item m="1" x="148"/>
        <item m="1" x="791"/>
        <item m="1" x="301"/>
        <item x="47"/>
        <item x="40"/>
        <item m="1" x="1084"/>
        <item x="38"/>
        <item m="1" x="1111"/>
        <item m="1" x="927"/>
        <item m="1" x="863"/>
        <item m="1" x="396"/>
        <item m="1" x="326"/>
        <item m="1" x="794"/>
        <item m="1" x="795"/>
        <item m="1" x="725"/>
        <item m="1" x="370"/>
        <item x="42"/>
        <item m="1" x="690"/>
        <item m="1" x="932"/>
        <item m="1" x="1036"/>
        <item m="1" x="304"/>
        <item m="1" x="957"/>
        <item m="1" x="881"/>
        <item m="1" x="1058"/>
        <item m="1" x="161"/>
        <item m="1" x="325"/>
        <item x="66"/>
        <item m="1" x="789"/>
        <item x="65"/>
        <item x="69"/>
        <item x="68"/>
        <item x="72"/>
        <item m="1" x="173"/>
        <item m="1" x="245"/>
        <item m="1" x="635"/>
        <item m="1" x="765"/>
        <item m="1" x="897"/>
        <item m="1" x="424"/>
        <item m="1" x="829"/>
        <item m="1" x="1061"/>
        <item m="1" x="926"/>
        <item m="1" x="465"/>
        <item m="1" x="998"/>
        <item m="1" x="506"/>
        <item m="1" x="862"/>
        <item m="1" x="928"/>
        <item m="1" x="568"/>
        <item m="1" x="593"/>
        <item m="1" x="810"/>
        <item m="1" x="650"/>
        <item m="1" x="669"/>
        <item m="1" x="811"/>
        <item m="1" x="219"/>
        <item m="1" x="296"/>
        <item m="1" x="581"/>
        <item m="1" x="564"/>
        <item m="1" x="209"/>
        <item m="1" x="1132"/>
        <item m="1" x="781"/>
        <item m="1" x="859"/>
        <item m="1" x="898"/>
        <item m="1" x="1087"/>
        <item m="1" x="696"/>
        <item m="1" x="868"/>
        <item m="1" x="624"/>
        <item m="1" x="305"/>
        <item m="1" x="159"/>
        <item m="1" x="539"/>
        <item m="1" x="800"/>
        <item x="75"/>
        <item m="1" x="801"/>
        <item m="1" x="1069"/>
        <item x="60"/>
        <item m="1" x="160"/>
        <item m="1" x="505"/>
        <item m="1" x="324"/>
        <item m="1" x="221"/>
        <item m="1" x="845"/>
        <item m="1" x="676"/>
        <item m="1" x="1166"/>
        <item m="1" x="1100"/>
        <item m="1" x="629"/>
        <item m="1" x="1083"/>
        <item m="1" x="1112"/>
        <item x="73"/>
        <item m="1" x="1078"/>
        <item m="1" x="1159"/>
        <item m="1" x="234"/>
        <item m="1" x="1007"/>
        <item m="1" x="433"/>
        <item m="1" x="837"/>
        <item m="1" x="1122"/>
        <item x="4"/>
        <item m="1" x="435"/>
        <item m="1" x="432"/>
        <item x="61"/>
        <item m="1" x="162"/>
        <item m="1" x="1029"/>
        <item m="1" x="854"/>
        <item m="1" x="609"/>
        <item m="1" x="866"/>
        <item x="59"/>
        <item x="58"/>
        <item x="62"/>
        <item x="63"/>
        <item m="1" x="704"/>
        <item m="1" x="918"/>
        <item m="1" x="1093"/>
        <item m="1" x="385"/>
        <item m="1" x="419"/>
        <item m="1" x="532"/>
        <item m="1" x="634"/>
        <item m="1" x="348"/>
        <item x="71"/>
        <item m="1" x="514"/>
        <item m="1" x="857"/>
        <item m="1" x="630"/>
        <item x="43"/>
        <item x="44"/>
        <item x="41"/>
        <item m="1" x="643"/>
        <item x="46"/>
        <item m="1" x="933"/>
        <item x="74"/>
        <item m="1" x="744"/>
        <item m="1" x="919"/>
        <item m="1" x="937"/>
        <item m="1" x="441"/>
        <item m="1" x="685"/>
        <item m="1" x="984"/>
        <item m="1" x="739"/>
        <item m="1" x="1099"/>
        <item m="1" x="870"/>
        <item m="1" x="709"/>
        <item m="1" x="496"/>
        <item m="1" x="493"/>
        <item m="1" x="467"/>
        <item m="1" x="473"/>
        <item m="1" x="979"/>
        <item m="1" x="306"/>
        <item m="1" x="1076"/>
        <item m="1" x="623"/>
        <item m="1" x="463"/>
        <item m="1" x="551"/>
        <item m="1" x="578"/>
        <item x="39"/>
        <item m="1" x="1125"/>
        <item m="1" x="848"/>
        <item m="1" x="1040"/>
        <item m="1" x="406"/>
        <item m="1" x="335"/>
        <item m="1" x="973"/>
        <item m="1" x="1050"/>
        <item m="1" x="1081"/>
        <item m="1" x="778"/>
        <item m="1" x="993"/>
        <item m="1" x="200"/>
        <item m="1" x="729"/>
        <item m="1" x="944"/>
        <item m="1" x="1127"/>
        <item m="1" x="520"/>
        <item m="1" x="440"/>
        <item m="1" x="1154"/>
        <item m="1" x="867"/>
        <item m="1" x="204"/>
        <item m="1" x="250"/>
        <item m="1" x="256"/>
        <item m="1" x="964"/>
        <item m="1" x="986"/>
        <item m="1" x="930"/>
        <item m="1" x="252"/>
        <item m="1" x="205"/>
        <item m="1" x="293"/>
        <item m="1" x="251"/>
        <item m="1" x="202"/>
        <item m="1" x="959"/>
        <item m="1" x="686"/>
        <item m="1" x="1126"/>
        <item m="1" x="892"/>
        <item m="1" x="149"/>
        <item m="1" x="258"/>
        <item m="1" x="257"/>
        <item m="1" x="259"/>
        <item m="1" x="395"/>
        <item m="1" x="773"/>
        <item x="5"/>
        <item m="1" x="1033"/>
        <item m="1" x="1066"/>
        <item m="1" x="1116"/>
        <item m="1" x="657"/>
        <item m="1" x="786"/>
        <item m="1" x="1110"/>
        <item m="1" x="633"/>
        <item m="1" x="203"/>
        <item m="1" x="701"/>
        <item m="1" x="270"/>
        <item m="1" x="1012"/>
        <item m="1" x="713"/>
        <item m="1" x="836"/>
        <item m="1" x="298"/>
        <item m="1" x="943"/>
        <item m="1" x="987"/>
        <item m="1" x="853"/>
        <item m="1" x="1151"/>
        <item m="1" x="731"/>
        <item m="1" x="659"/>
        <item m="1" x="665"/>
        <item m="1" x="341"/>
        <item m="1" x="442"/>
        <item m="1" x="150"/>
        <item m="1" x="602"/>
        <item m="1" x="1024"/>
        <item m="1" x="678"/>
        <item m="1" x="969"/>
        <item m="1" x="277"/>
        <item m="1" x="407"/>
        <item m="1" x="1039"/>
        <item m="1" x="894"/>
        <item m="1" x="758"/>
        <item m="1" x="711"/>
        <item x="28"/>
        <item x="83"/>
        <item m="1" x="752"/>
        <item m="1" x="1059"/>
        <item m="1" x="702"/>
        <item m="1" x="470"/>
        <item m="1" x="158"/>
        <item m="1" x="1129"/>
        <item m="1" x="1034"/>
        <item m="1" x="1158"/>
        <item m="1" x="931"/>
        <item m="1" x="884"/>
        <item m="1" x="248"/>
        <item m="1" x="653"/>
        <item m="1" x="1104"/>
        <item m="1" x="977"/>
        <item m="1" x="249"/>
        <item m="1" x="746"/>
        <item m="1" x="541"/>
        <item m="1" x="680"/>
        <item m="1" x="466"/>
        <item m="1" x="1079"/>
        <item m="1" x="580"/>
        <item m="1" x="891"/>
        <item m="1" x="963"/>
        <item m="1" x="700"/>
        <item m="1" x="582"/>
        <item m="1" x="622"/>
        <item m="1" x="1109"/>
        <item m="1" x="687"/>
        <item m="1" x="246"/>
        <item m="1" x="832"/>
        <item m="1" x="903"/>
        <item m="1" x="820"/>
        <item m="1" x="552"/>
        <item x="67"/>
        <item m="1" x="600"/>
        <item m="1" x="627"/>
        <item m="1" x="1138"/>
        <item m="1" x="869"/>
        <item m="1" x="1153"/>
        <item m="1" x="652"/>
        <item m="1" x="887"/>
        <item m="1" x="1025"/>
        <item m="1" x="1152"/>
        <item m="1" x="1014"/>
        <item m="1" x="1161"/>
        <item m="1" x="449"/>
        <item m="1" x="960"/>
        <item m="1" x="716"/>
        <item m="1" x="1074"/>
        <item m="1" x="745"/>
        <item m="1" x="1053"/>
        <item m="1" x="413"/>
        <item m="1" x="671"/>
        <item m="1" x="1048"/>
        <item m="1" x="267"/>
        <item m="1" x="921"/>
        <item m="1" x="1082"/>
        <item m="1" x="658"/>
        <item m="1" x="756"/>
        <item x="45"/>
        <item m="1" x="453"/>
        <item m="1" x="455"/>
        <item m="1" x="288"/>
        <item m="1" x="1030"/>
        <item m="1" x="1120"/>
        <item m="1" x="904"/>
        <item m="1" x="195"/>
        <item m="1" x="632"/>
        <item m="1" x="916"/>
        <item m="1" x="982"/>
        <item m="1" x="889"/>
        <item m="1" x="515"/>
        <item m="1" x="314"/>
        <item m="1" x="1022"/>
        <item m="1" x="557"/>
        <item m="1" x="386"/>
        <item m="1" x="507"/>
        <item m="1" x="651"/>
        <item x="64"/>
        <item m="1" x="196"/>
        <item m="1" x="604"/>
        <item m="1" x="1086"/>
        <item m="1" x="712"/>
        <item m="1" x="279"/>
        <item m="1" x="280"/>
        <item m="1" x="876"/>
        <item m="1" x="995"/>
        <item m="1" x="922"/>
        <item m="1" x="816"/>
        <item m="1" x="445"/>
        <item m="1" x="1070"/>
        <item m="1" x="718"/>
        <item x="50"/>
        <item m="1" x="155"/>
        <item m="1" x="662"/>
        <item m="1" x="607"/>
        <item m="1" x="768"/>
        <item m="1" x="798"/>
        <item m="1" x="438"/>
        <item x="57"/>
        <item m="1" x="163"/>
        <item m="1" x="1052"/>
        <item m="1" x="1107"/>
        <item m="1" x="1013"/>
        <item x="132"/>
        <item m="1" x="237"/>
        <item m="1" x="185"/>
        <item x="135"/>
        <item m="1" x="610"/>
        <item m="1" x="1133"/>
        <item m="1" x="1092"/>
        <item m="1" x="677"/>
        <item x="102"/>
        <item m="1" x="282"/>
        <item m="1" x="283"/>
        <item x="103"/>
        <item x="131"/>
        <item m="1" x="238"/>
        <item m="1" x="860"/>
        <item m="1" x="263"/>
        <item m="1" x="498"/>
        <item m="1" x="439"/>
        <item x="133"/>
        <item m="1" x="849"/>
        <item m="1" x="534"/>
        <item m="1" x="851"/>
        <item m="1" x="939"/>
        <item m="1" x="239"/>
        <item x="134"/>
        <item m="1" x="940"/>
        <item m="1" x="184"/>
        <item m="1" x="947"/>
        <item m="1" x="562"/>
        <item m="1" x="865"/>
        <item m="1" x="691"/>
        <item m="1" x="206"/>
        <item m="1" x="264"/>
        <item m="1" x="543"/>
        <item m="1" x="828"/>
        <item m="1" x="757"/>
        <item m="1" x="618"/>
        <item m="1" x="839"/>
        <item m="1" x="901"/>
        <item m="1" x="1019"/>
        <item m="1" x="965"/>
        <item m="1" x="1000"/>
        <item m="1" x="207"/>
        <item m="1" x="808"/>
        <item m="1" x="384"/>
        <item x="6"/>
        <item x="7"/>
        <item x="8"/>
        <item m="1" x="422"/>
        <item m="1" x="374"/>
        <item m="1" x="1108"/>
        <item m="1" x="688"/>
        <item m="1" x="224"/>
        <item m="1" x="225"/>
        <item m="1" x="1121"/>
        <item x="77"/>
        <item m="1" x="365"/>
        <item m="1" x="411"/>
        <item m="1" x="289"/>
        <item m="1" x="316"/>
        <item m="1" x="540"/>
        <item x="10"/>
        <item m="1" x="1067"/>
        <item m="1" x="431"/>
        <item m="1" x="242"/>
        <item m="1" x="430"/>
        <item m="1" x="1128"/>
        <item m="1" x="893"/>
        <item m="1" x="536"/>
        <item m="1" x="644"/>
        <item m="1" x="210"/>
        <item m="1" x="372"/>
        <item m="1" x="1046"/>
        <item m="1" x="152"/>
        <item m="1" x="359"/>
        <item m="1" x="924"/>
        <item m="1" x="754"/>
        <item m="1" x="956"/>
        <item m="1" x="983"/>
        <item m="1" x="320"/>
        <item m="1" x="720"/>
        <item m="1" x="958"/>
        <item m="1" x="278"/>
        <item m="1" x="321"/>
        <item m="1" x="299"/>
        <item m="1" x="996"/>
        <item m="1" x="591"/>
        <item m="1" x="905"/>
        <item m="1" x="844"/>
        <item m="1" x="484"/>
        <item m="1" x="1105"/>
        <item m="1" x="464"/>
        <item m="1" x="223"/>
        <item m="1" x="923"/>
        <item m="1" x="472"/>
        <item m="1" x="1005"/>
        <item m="1" x="1096"/>
        <item m="1" x="276"/>
        <item x="26"/>
        <item m="1" x="706"/>
        <item m="1" x="544"/>
        <item m="1" x="227"/>
        <item m="1" x="877"/>
        <item m="1" x="1101"/>
        <item m="1" x="589"/>
        <item m="1" x="872"/>
        <item m="1" x="945"/>
        <item m="1" x="1015"/>
        <item m="1" x="309"/>
        <item m="1" x="935"/>
        <item m="1" x="722"/>
        <item m="1" x="563"/>
        <item m="1" x="966"/>
        <item m="1" x="988"/>
        <item m="1" x="1095"/>
        <item m="1" x="819"/>
        <item m="1" x="390"/>
        <item m="1" x="308"/>
        <item x="84"/>
        <item m="1" x="949"/>
        <item m="1" x="613"/>
        <item m="1" x="703"/>
        <item m="1" x="803"/>
        <item m="1" x="566"/>
        <item m="1" x="226"/>
        <item m="1" x="674"/>
        <item m="1" x="1075"/>
        <item m="1" x="1157"/>
        <item m="1" x="491"/>
        <item m="1" x="471"/>
        <item m="1" x="516"/>
        <item m="1" x="177"/>
        <item x="9"/>
        <item m="1" x="524"/>
        <item m="1" x="236"/>
        <item m="1" x="1041"/>
        <item m="1" x="361"/>
        <item m="1" x="655"/>
        <item m="1" x="1006"/>
        <item m="1" x="734"/>
        <item m="1" x="266"/>
        <item m="1" x="392"/>
        <item m="1" x="728"/>
        <item x="108"/>
        <item m="1" x="194"/>
        <item m="1" x="999"/>
        <item m="1" x="912"/>
        <item m="1" x="376"/>
        <item x="35"/>
        <item m="1" x="350"/>
        <item m="1" x="572"/>
        <item m="1" x="855"/>
        <item m="1" x="1068"/>
        <item m="1" x="511"/>
        <item m="1" x="1031"/>
        <item m="1" x="1047"/>
        <item m="1" x="885"/>
        <item m="1" x="990"/>
        <item m="1" x="592"/>
        <item m="1" x="315"/>
        <item m="1" x="229"/>
        <item m="1" x="978"/>
        <item m="1" x="831"/>
        <item m="1" x="766"/>
        <item m="1" x="597"/>
        <item m="1" x="612"/>
        <item m="1" x="761"/>
        <item m="1" x="1170"/>
        <item m="1" x="585"/>
        <item m="1" x="510"/>
        <item m="1" x="596"/>
        <item m="1" x="693"/>
        <item x="34"/>
        <item m="1" x="976"/>
        <item x="55"/>
        <item x="56"/>
        <item m="1" x="410"/>
        <item m="1" x="313"/>
        <item x="32"/>
        <item m="1" x="330"/>
        <item m="1" x="1130"/>
        <item m="1" x="153"/>
        <item m="1" x="953"/>
        <item m="1" x="468"/>
        <item m="1" x="954"/>
        <item m="1" x="780"/>
        <item x="142"/>
        <item m="1" x="1011"/>
        <item m="1" x="297"/>
        <item m="1" x="477"/>
        <item m="1" x="452"/>
        <item x="20"/>
        <item m="1" x="497"/>
        <item m="1" x="542"/>
        <item m="1" x="1049"/>
        <item m="1" x="553"/>
        <item m="1" x="1056"/>
        <item m="1" x="561"/>
        <item m="1" x="462"/>
        <item m="1" x="1001"/>
        <item x="33"/>
        <item m="1" x="679"/>
        <item m="1" x="479"/>
        <item m="1" x="590"/>
        <item m="1" x="262"/>
        <item m="1" x="499"/>
        <item m="1" x="721"/>
        <item m="1" x="268"/>
        <item m="1" x="813"/>
        <item m="1" x="967"/>
        <item m="1" x="1026"/>
        <item x="48"/>
        <item m="1" x="451"/>
        <item m="1" x="500"/>
        <item m="1" x="218"/>
        <item m="1" x="489"/>
        <item m="1" x="398"/>
        <item m="1" x="598"/>
        <item m="1" x="215"/>
        <item m="1" x="216"/>
        <item m="1" x="217"/>
        <item m="1" x="513"/>
        <item m="1" x="269"/>
        <item m="1" x="337"/>
        <item m="1" x="625"/>
        <item m="1" x="443"/>
        <item m="1" x="556"/>
        <item m="1" x="243"/>
        <item x="143"/>
        <item x="145"/>
        <item m="1" x="412"/>
        <item m="1" x="351"/>
        <item m="1" x="241"/>
        <item m="1" x="502"/>
        <item m="1" x="1035"/>
        <item m="1" x="1051"/>
        <item m="1" x="934"/>
        <item x="12"/>
        <item m="1" x="587"/>
        <item m="1" x="611"/>
        <item m="1" x="512"/>
        <item m="1" x="332"/>
        <item m="1" x="548"/>
        <item x="82"/>
        <item x="31"/>
        <item m="1" x="405"/>
        <item m="1" x="399"/>
        <item x="27"/>
        <item m="1" x="397"/>
        <item m="1" x="426"/>
        <item m="1" x="427"/>
        <item m="1" x="302"/>
        <item m="1" x="962"/>
        <item m="1" x="537"/>
        <item x="49"/>
        <item m="1" x="946"/>
        <item m="1" x="517"/>
        <item m="1" x="322"/>
        <item x="80"/>
        <item m="1" x="615"/>
        <item m="1" x="603"/>
        <item m="1" x="214"/>
        <item m="1" x="154"/>
        <item m="1" x="456"/>
        <item m="1" x="290"/>
        <item x="81"/>
        <item m="1" x="291"/>
        <item m="1" x="617"/>
        <item m="1" x="850"/>
        <item m="1" x="271"/>
        <item m="1" x="164"/>
        <item m="1" x="272"/>
        <item m="1" x="583"/>
        <item m="1" x="273"/>
        <item m="1" x="446"/>
        <item m="1" x="261"/>
        <item m="1" x="437"/>
        <item m="1" x="418"/>
        <item m="1" x="577"/>
        <item x="29"/>
        <item m="1" x="599"/>
        <item m="1" x="165"/>
        <item m="1" x="454"/>
        <item m="1" x="303"/>
        <item m="1" x="323"/>
        <item m="1" x="347"/>
        <item m="1" x="360"/>
        <item m="1" x="373"/>
        <item m="1" x="535"/>
        <item x="120"/>
        <item m="1" x="371"/>
        <item m="1" x="594"/>
        <item m="1" x="265"/>
        <item m="1" x="526"/>
        <item m="1" x="460"/>
        <item m="1" x="533"/>
        <item m="1" x="417"/>
        <item m="1" x="554"/>
        <item x="76"/>
        <item m="1" x="575"/>
        <item m="1" x="579"/>
        <item m="1" x="565"/>
        <item m="1" x="394"/>
        <item x="51"/>
        <item x="52"/>
        <item x="53"/>
        <item m="1" x="528"/>
        <item m="1" x="529"/>
        <item m="1" x="156"/>
        <item m="1" x="461"/>
        <item m="1" x="401"/>
        <item m="1" x="228"/>
        <item m="1" x="549"/>
        <item m="1" x="448"/>
        <item m="1" x="546"/>
        <item m="1" x="476"/>
        <item m="1" x="284"/>
        <item x="118"/>
        <item m="1" x="180"/>
        <item x="123"/>
        <item m="1" x="527"/>
        <item m="1" x="235"/>
        <item m="1" x="285"/>
        <item m="1" x="521"/>
        <item m="1" x="240"/>
        <item m="1" x="287"/>
        <item m="1" x="436"/>
        <item m="1" x="286"/>
        <item x="54"/>
        <item m="1" x="157"/>
        <item m="1" x="485"/>
        <item m="1" x="213"/>
        <item m="1" x="509"/>
        <item x="141"/>
        <item m="1" x="349"/>
        <item m="1" x="377"/>
        <item x="101"/>
        <item m="1" x="402"/>
        <item m="1" x="458"/>
        <item m="1" x="447"/>
        <item x="30"/>
        <item m="1" x="444"/>
        <item m="1" x="388"/>
        <item m="1" x="389"/>
        <item m="1" x="429"/>
        <item m="1" x="420"/>
        <item x="144"/>
        <item m="1" x="310"/>
        <item m="1" x="379"/>
        <item m="1" x="380"/>
        <item m="1" x="368"/>
        <item m="1" x="366"/>
        <item m="1" x="340"/>
        <item x="11"/>
        <item m="1" x="2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46">
    <i>
      <x/>
      <x/>
    </i>
    <i>
      <x v="1"/>
      <x v="2"/>
    </i>
    <i>
      <x v="57"/>
      <x v="877"/>
    </i>
    <i>
      <x v="77"/>
      <x v="192"/>
    </i>
    <i>
      <x v="89"/>
      <x v="270"/>
    </i>
    <i>
      <x v="90"/>
      <x v="7"/>
    </i>
    <i>
      <x v="95"/>
      <x v="1169"/>
    </i>
    <i>
      <x v="97"/>
      <x v="1053"/>
    </i>
    <i>
      <x v="114"/>
      <x v="158"/>
    </i>
    <i>
      <x v="144"/>
      <x v="146"/>
    </i>
    <i>
      <x v="147"/>
      <x v="331"/>
    </i>
    <i>
      <x v="151"/>
      <x v="1"/>
    </i>
    <i>
      <x v="154"/>
      <x v="340"/>
    </i>
    <i>
      <x v="161"/>
      <x v="85"/>
    </i>
    <i>
      <x v="174"/>
      <x v="361"/>
    </i>
    <i>
      <x v="179"/>
      <x v="189"/>
    </i>
    <i>
      <x v="180"/>
      <x v="373"/>
    </i>
    <i>
      <x v="214"/>
      <x v="675"/>
    </i>
    <i>
      <x v="215"/>
      <x v="407"/>
    </i>
    <i>
      <x v="247"/>
      <x v="462"/>
    </i>
    <i>
      <x v="292"/>
      <x v="582"/>
    </i>
    <i>
      <x v="318"/>
      <x v="710"/>
    </i>
    <i>
      <x v="340"/>
      <x v="1095"/>
    </i>
    <i>
      <x v="367"/>
      <x v="861"/>
    </i>
    <i>
      <x v="368"/>
      <x v="862"/>
    </i>
    <i>
      <x v="369"/>
      <x v="863"/>
    </i>
    <i>
      <x v="383"/>
      <x v="914"/>
    </i>
    <i>
      <x v="394"/>
      <x v="948"/>
    </i>
    <i>
      <x v="398"/>
      <x v="964"/>
    </i>
    <i>
      <x v="408"/>
      <x v="988"/>
    </i>
    <i>
      <x v="409"/>
      <x v="994"/>
    </i>
    <i>
      <x v="416"/>
      <x v="1007"/>
    </i>
    <i>
      <x v="419"/>
      <x v="1016"/>
    </i>
    <i>
      <x v="429"/>
      <x v="1060"/>
    </i>
    <i>
      <x v="432"/>
      <x v="1063"/>
    </i>
    <i>
      <x v="439"/>
      <x v="52"/>
    </i>
    <i>
      <x v="440"/>
      <x v="117"/>
    </i>
    <i>
      <x v="443"/>
      <x v="25"/>
    </i>
    <i>
      <x v="445"/>
      <x v="1119"/>
    </i>
    <i>
      <x v="446"/>
      <x v="496"/>
    </i>
    <i>
      <x v="447"/>
      <x v="824"/>
    </i>
    <i>
      <x v="448"/>
      <x v="506"/>
    </i>
    <i>
      <x v="453"/>
      <x v="1152"/>
    </i>
    <i>
      <x v="454"/>
      <x v="145"/>
    </i>
    <i>
      <x v="455"/>
      <x v="635"/>
    </i>
    <i>
      <x v="456"/>
      <x v="197"/>
    </i>
    <i>
      <x v="458"/>
      <x v="1156"/>
    </i>
    <i>
      <x v="459"/>
      <x v="111"/>
    </i>
    <i>
      <x v="461"/>
      <x v="109"/>
    </i>
    <i>
      <x v="462"/>
      <x v="47"/>
    </i>
    <i>
      <x v="463"/>
      <x v="74"/>
    </i>
    <i>
      <x v="464"/>
      <x v="156"/>
    </i>
    <i>
      <x v="465"/>
      <x v="53"/>
    </i>
    <i>
      <x v="466"/>
      <x v="592"/>
    </i>
    <i>
      <x v="467"/>
      <x v="591"/>
    </i>
    <i>
      <x v="468"/>
      <x v="477"/>
    </i>
    <i>
      <x v="469"/>
      <x v="167"/>
    </i>
    <i>
      <x v="470"/>
      <x v="55"/>
    </i>
    <i>
      <x v="471"/>
      <x v="113"/>
    </i>
    <i>
      <x v="472"/>
      <x v="70"/>
    </i>
    <i>
      <x v="473"/>
      <x v="341"/>
    </i>
    <i>
      <x v="474"/>
      <x v="1002"/>
    </i>
    <i>
      <x v="476"/>
      <x v="69"/>
    </i>
    <i>
      <x v="477"/>
      <x v="71"/>
    </i>
    <i>
      <x v="479"/>
      <x v="49"/>
    </i>
    <i>
      <x v="480"/>
      <x v="840"/>
    </i>
    <i>
      <x v="481"/>
      <x v="711"/>
    </i>
    <i>
      <x v="482"/>
      <x v="75"/>
    </i>
    <i>
      <x v="483"/>
      <x v="77"/>
    </i>
    <i>
      <x v="484"/>
      <x v="285"/>
    </i>
    <i>
      <x v="485"/>
      <x v="1149"/>
    </i>
    <i>
      <x v="487"/>
      <x v="172"/>
    </i>
    <i>
      <x v="488"/>
      <x v="804"/>
    </i>
    <i>
      <x v="489"/>
      <x v="990"/>
    </i>
    <i>
      <x v="490"/>
      <x v="518"/>
    </i>
    <i>
      <x v="491"/>
      <x v="178"/>
    </i>
    <i>
      <x v="492"/>
      <x v="819"/>
    </i>
    <i>
      <x v="493"/>
      <x v="608"/>
    </i>
    <i>
      <x v="494"/>
      <x v="771"/>
    </i>
    <i>
      <x v="495"/>
      <x v="611"/>
    </i>
    <i>
      <x v="496"/>
      <x v="56"/>
    </i>
    <i>
      <x v="497"/>
      <x v="166"/>
    </i>
    <i>
      <x v="498"/>
      <x v="607"/>
    </i>
    <i>
      <x v="499"/>
      <x v="559"/>
    </i>
    <i>
      <x v="500"/>
      <x v="59"/>
    </i>
    <i>
      <x v="501"/>
      <x v="241"/>
    </i>
    <i>
      <x v="502"/>
      <x v="76"/>
    </i>
    <i>
      <x v="503"/>
      <x v="493"/>
    </i>
    <i>
      <x v="504"/>
      <x v="50"/>
    </i>
    <i>
      <x v="505"/>
      <x v="66"/>
    </i>
    <i>
      <x v="506"/>
      <x v="816"/>
    </i>
    <i>
      <x v="507"/>
      <x v="834"/>
    </i>
    <i>
      <x v="508"/>
      <x v="238"/>
    </i>
    <i>
      <x v="509"/>
      <x v="1044"/>
    </i>
    <i>
      <x v="510"/>
      <x v="871"/>
    </i>
    <i>
      <x v="511"/>
      <x v="44"/>
    </i>
    <i>
      <x v="512"/>
      <x v="61"/>
    </i>
    <i>
      <x v="513"/>
      <x v="294"/>
    </i>
    <i>
      <x v="514"/>
      <x v="204"/>
    </i>
    <i>
      <x v="515"/>
      <x v="460"/>
    </i>
    <i>
      <x v="516"/>
      <x v="494"/>
    </i>
    <i>
      <x v="517"/>
      <x v="1144"/>
    </i>
    <i>
      <x v="518"/>
      <x v="991"/>
    </i>
    <i>
      <x v="519"/>
      <x v="585"/>
    </i>
    <i>
      <x v="520"/>
      <x v="594"/>
    </i>
    <i>
      <x v="521"/>
      <x v="745"/>
    </i>
    <i>
      <x v="522"/>
      <x v="521"/>
    </i>
    <i>
      <x v="523"/>
      <x v="1114"/>
    </i>
    <i>
      <x v="524"/>
      <x v="1074"/>
    </i>
    <i>
      <x v="525"/>
      <x v="1059"/>
    </i>
    <i>
      <x v="526"/>
      <x v="115"/>
    </i>
    <i>
      <x v="527"/>
      <x v="959"/>
    </i>
    <i>
      <x v="528"/>
      <x v="245"/>
    </i>
    <i>
      <x v="529"/>
      <x v="1133"/>
    </i>
    <i>
      <x v="530"/>
      <x v="161"/>
    </i>
    <i>
      <x v="531"/>
      <x v="336"/>
    </i>
    <i>
      <x v="532"/>
      <x v="374"/>
    </i>
    <i>
      <x v="533"/>
      <x v="609"/>
    </i>
    <i>
      <x v="534"/>
      <x v="1027"/>
    </i>
    <i>
      <x v="535"/>
      <x v="1070"/>
    </i>
    <i>
      <x v="536"/>
      <x v="1120"/>
    </i>
    <i>
      <x v="537"/>
      <x v="1121"/>
    </i>
    <i>
      <x v="538"/>
      <x v="811"/>
    </i>
    <i>
      <x v="539"/>
      <x v="562"/>
    </i>
    <i>
      <x v="540"/>
      <x v="593"/>
    </i>
    <i>
      <x v="541"/>
      <x v="790"/>
    </i>
    <i>
      <x v="542"/>
      <x v="516"/>
    </i>
    <i>
      <x v="543"/>
      <x v="520"/>
    </i>
    <i>
      <x v="544"/>
      <x v="519"/>
    </i>
    <i>
      <x v="545"/>
      <x v="603"/>
    </i>
    <i>
      <x v="546"/>
      <x v="574"/>
    </i>
    <i>
      <x v="547"/>
      <x v="613"/>
    </i>
    <i>
      <x v="548"/>
      <x v="1081"/>
    </i>
    <i>
      <x v="549"/>
      <x v="934"/>
    </i>
    <i>
      <x v="550"/>
      <x v="62"/>
    </i>
    <i>
      <x v="551"/>
      <x v="118"/>
    </i>
    <i>
      <x v="552"/>
      <x v="57"/>
    </i>
    <i>
      <x v="553"/>
      <x v="827"/>
    </i>
    <i>
      <x v="554"/>
      <x v="246"/>
    </i>
    <i>
      <x v="555"/>
      <x v="1105"/>
    </i>
    <i>
      <x v="556"/>
      <x v="1135"/>
    </i>
    <i>
      <x v="557"/>
      <x v="828"/>
    </i>
    <i>
      <x v="558"/>
      <x v="239"/>
    </i>
    <i>
      <x v="559"/>
      <x v="362"/>
    </i>
    <i>
      <x v="560"/>
      <x v="1162"/>
    </i>
    <i>
      <x v="561"/>
      <x v="104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 numFmtId="2"/>
    <dataField name="Suma de Columna5" fld="4" baseField="0" baseItem="0" numFmtId="2"/>
  </dataFields>
  <formats count="1">
    <format dxfId="69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DB474" cacheId="41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55" firstHeaderRow="0" firstDataRow="1" firstDataCol="2"/>
  <pivotFields count="5">
    <pivotField axis="axisRow" compact="0" outline="0" showAll="0" defaultSubtotal="0">
      <items count="553">
        <item x="26"/>
        <item x="0"/>
        <item x="2"/>
        <item x="1"/>
        <item m="1" x="154"/>
        <item m="1" x="469"/>
        <item m="1" x="218"/>
        <item m="1" x="365"/>
        <item m="1" x="441"/>
        <item m="1" x="363"/>
        <item m="1" x="457"/>
        <item m="1" x="303"/>
        <item m="1" x="354"/>
        <item m="1" x="298"/>
        <item m="1" x="544"/>
        <item m="1" x="251"/>
        <item m="1" x="217"/>
        <item m="1" x="233"/>
        <item m="1" x="532"/>
        <item m="1" x="302"/>
        <item m="1" x="321"/>
        <item x="22"/>
        <item m="1" x="531"/>
        <item m="1" x="391"/>
        <item m="1" x="470"/>
        <item m="1" x="494"/>
        <item m="1" x="491"/>
        <item m="1" x="378"/>
        <item m="1" x="427"/>
        <item m="1" x="518"/>
        <item m="1" x="524"/>
        <item m="1" x="547"/>
        <item m="1" x="525"/>
        <item m="1" x="238"/>
        <item m="1" x="383"/>
        <item m="1" x="440"/>
        <item m="1" x="299"/>
        <item m="1" x="460"/>
        <item m="1" x="239"/>
        <item m="1" x="327"/>
        <item m="1" x="550"/>
        <item m="1" x="546"/>
        <item m="1" x="481"/>
        <item m="1" x="458"/>
        <item m="1" x="488"/>
        <item m="1" x="367"/>
        <item m="1" x="335"/>
        <item m="1" x="434"/>
        <item m="1" x="465"/>
        <item m="1" x="209"/>
        <item m="1" x="447"/>
        <item m="1" x="512"/>
        <item m="1" x="522"/>
        <item m="1" x="549"/>
        <item m="1" x="401"/>
        <item x="19"/>
        <item x="20"/>
        <item m="1" x="433"/>
        <item m="1" x="459"/>
        <item m="1" x="454"/>
        <item x="7"/>
        <item m="1" x="185"/>
        <item x="12"/>
        <item x="11"/>
        <item x="13"/>
        <item x="10"/>
        <item m="1" x="479"/>
        <item m="1" x="215"/>
        <item x="29"/>
        <item x="28"/>
        <item x="31"/>
        <item m="1" x="340"/>
        <item m="1" x="477"/>
        <item m="1" x="314"/>
        <item m="1" x="163"/>
        <item m="1" x="164"/>
        <item m="1" x="176"/>
        <item x="4"/>
        <item m="1" x="213"/>
        <item m="1" x="206"/>
        <item x="3"/>
        <item m="1" x="207"/>
        <item m="1" x="183"/>
        <item m="1" x="208"/>
        <item m="1" x="260"/>
        <item m="1" x="429"/>
        <item x="23"/>
        <item m="1" x="406"/>
        <item m="1" x="272"/>
        <item m="1" x="279"/>
        <item m="1" x="471"/>
        <item m="1" x="343"/>
        <item m="1" x="250"/>
        <item m="1" x="527"/>
        <item m="1" x="500"/>
        <item m="1" x="498"/>
        <item m="1" x="499"/>
        <item m="1" x="497"/>
        <item m="1" x="187"/>
        <item m="1" x="266"/>
        <item m="1" x="267"/>
        <item m="1" x="332"/>
        <item m="1" x="234"/>
        <item m="1" x="252"/>
        <item m="1" x="295"/>
        <item m="1" x="315"/>
        <item m="1" x="373"/>
        <item m="1" x="508"/>
        <item m="1" x="410"/>
        <item m="1" x="170"/>
        <item m="1" x="490"/>
        <item m="1" x="358"/>
        <item m="1" x="482"/>
        <item m="1" x="504"/>
        <item m="1" x="421"/>
        <item m="1" x="448"/>
        <item m="1" x="424"/>
        <item m="1" x="428"/>
        <item m="1" x="241"/>
        <item m="1" x="172"/>
        <item m="1" x="366"/>
        <item m="1" x="435"/>
        <item x="30"/>
        <item m="1" x="190"/>
        <item m="1" x="173"/>
        <item m="1" x="472"/>
        <item m="1" x="425"/>
        <item m="1" x="222"/>
        <item m="1" x="203"/>
        <item m="1" x="212"/>
        <item m="1" x="278"/>
        <item m="1" x="248"/>
        <item m="1" x="379"/>
        <item m="1" x="292"/>
        <item m="1" x="489"/>
        <item m="1" x="405"/>
        <item m="1" x="381"/>
        <item m="1" x="224"/>
        <item m="1" x="253"/>
        <item m="1" x="169"/>
        <item m="1" x="442"/>
        <item m="1" x="415"/>
        <item m="1" x="437"/>
        <item m="1" x="451"/>
        <item x="6"/>
        <item m="1" x="484"/>
        <item m="1" x="538"/>
        <item m="1" x="419"/>
        <item x="9"/>
        <item m="1" x="159"/>
        <item m="1" x="175"/>
        <item m="1" x="174"/>
        <item x="5"/>
        <item x="25"/>
        <item m="1" x="291"/>
        <item m="1" x="225"/>
        <item m="1" x="412"/>
        <item m="1" x="300"/>
        <item m="1" x="462"/>
        <item m="1" x="509"/>
        <item m="1" x="536"/>
        <item m="1" x="393"/>
        <item m="1" x="417"/>
        <item m="1" x="177"/>
        <item m="1" x="461"/>
        <item m="1" x="162"/>
        <item m="1" x="386"/>
        <item m="1" x="404"/>
        <item m="1" x="436"/>
        <item m="1" x="394"/>
        <item m="1" x="254"/>
        <item m="1" x="306"/>
        <item m="1" x="347"/>
        <item m="1" x="351"/>
        <item m="1" x="505"/>
        <item m="1" x="171"/>
        <item m="1" x="231"/>
        <item m="1" x="230"/>
        <item m="1" x="165"/>
        <item m="1" x="189"/>
        <item m="1" x="191"/>
        <item m="1" x="249"/>
        <item m="1" x="510"/>
        <item m="1" x="535"/>
        <item m="1" x="188"/>
        <item m="1" x="293"/>
        <item m="1" x="342"/>
        <item m="1" x="305"/>
        <item m="1" x="262"/>
        <item m="1" x="528"/>
        <item m="1" x="450"/>
        <item m="1" x="507"/>
        <item m="1" x="384"/>
        <item x="27"/>
        <item x="24"/>
        <item m="1" x="543"/>
        <item m="1" x="344"/>
        <item m="1" x="201"/>
        <item m="1" x="388"/>
        <item m="1" x="455"/>
        <item m="1" x="496"/>
        <item m="1" x="348"/>
        <item m="1" x="529"/>
        <item x="21"/>
        <item m="1" x="339"/>
        <item m="1" x="244"/>
        <item m="1" x="516"/>
        <item m="1" x="355"/>
        <item m="1" x="158"/>
        <item m="1" x="202"/>
        <item m="1" x="534"/>
        <item m="1" x="377"/>
        <item m="1" x="407"/>
        <item m="1" x="398"/>
        <item m="1" x="513"/>
        <item m="1" x="329"/>
        <item m="1" x="476"/>
        <item m="1" x="313"/>
        <item m="1" x="286"/>
        <item m="1" x="521"/>
        <item m="1" x="276"/>
        <item m="1" x="280"/>
        <item m="1" x="341"/>
        <item m="1" x="483"/>
        <item m="1" x="268"/>
        <item m="1" x="320"/>
        <item m="1" x="526"/>
        <item m="1" x="161"/>
        <item m="1" x="495"/>
        <item m="1" x="221"/>
        <item m="1" x="359"/>
        <item m="1" x="166"/>
        <item m="1" x="337"/>
        <item m="1" x="235"/>
        <item m="1" x="501"/>
        <item m="1" x="265"/>
        <item m="1" x="288"/>
        <item m="1" x="227"/>
        <item m="1" x="263"/>
        <item m="1" x="374"/>
        <item m="1" x="309"/>
        <item m="1" x="178"/>
        <item m="1" x="413"/>
        <item m="1" x="311"/>
        <item x="14"/>
        <item m="1" x="468"/>
        <item m="1" x="493"/>
        <item m="1" x="200"/>
        <item m="1" x="392"/>
        <item m="1" x="432"/>
        <item x="8"/>
        <item m="1" x="463"/>
        <item m="1" x="408"/>
        <item m="1" x="368"/>
        <item m="1" x="473"/>
        <item m="1" x="520"/>
        <item m="1" x="548"/>
        <item m="1" x="179"/>
        <item m="1" x="449"/>
        <item m="1" x="519"/>
        <item m="1" x="467"/>
        <item m="1" x="542"/>
        <item m="1" x="414"/>
        <item m="1" x="446"/>
        <item m="1" x="326"/>
        <item m="1" x="316"/>
        <item m="1" x="356"/>
        <item m="1" x="264"/>
        <item m="1" x="223"/>
        <item m="1" x="237"/>
        <item m="1" x="242"/>
        <item m="1" x="277"/>
        <item m="1" x="515"/>
        <item m="1" x="439"/>
        <item m="1" x="361"/>
        <item m="1" x="545"/>
        <item m="1" x="396"/>
        <item m="1" x="402"/>
        <item m="1" x="333"/>
        <item m="1" x="540"/>
        <item m="1" x="541"/>
        <item m="1" x="375"/>
        <item m="1" x="399"/>
        <item m="1" x="517"/>
        <item m="1" x="193"/>
        <item m="1" x="192"/>
        <item m="1" x="346"/>
        <item m="1" x="492"/>
        <item m="1" x="323"/>
        <item m="1" x="480"/>
        <item m="1" x="195"/>
        <item m="1" x="194"/>
        <item m="1" x="345"/>
        <item m="1" x="400"/>
        <item m="1" x="464"/>
        <item m="1" x="155"/>
        <item m="1" x="385"/>
        <item m="1" x="372"/>
        <item m="1" x="198"/>
        <item m="1" x="270"/>
        <item m="1" x="423"/>
        <item m="1" x="444"/>
        <item m="1" x="438"/>
        <item m="1" x="453"/>
        <item m="1" x="318"/>
        <item m="1" x="403"/>
        <item m="1" x="387"/>
        <item m="1" x="426"/>
        <item m="1" x="487"/>
        <item m="1" x="336"/>
        <item m="1" x="331"/>
        <item m="1" x="197"/>
        <item m="1" x="205"/>
        <item m="1" x="349"/>
        <item m="1" x="397"/>
        <item m="1" x="364"/>
        <item m="1" x="420"/>
        <item m="1" x="551"/>
        <item m="1" x="352"/>
        <item m="1" x="486"/>
        <item m="1" x="416"/>
        <item m="1" x="431"/>
        <item m="1" x="456"/>
        <item m="1" x="338"/>
        <item m="1" x="322"/>
        <item m="1" x="369"/>
        <item m="1" x="445"/>
        <item m="1" x="287"/>
        <item m="1" x="312"/>
        <item m="1" x="275"/>
        <item m="1" x="181"/>
        <item m="1" x="411"/>
        <item m="1" x="246"/>
        <item m="1" x="430"/>
        <item m="1" x="511"/>
        <item x="32"/>
        <item m="1" x="184"/>
        <item m="1" x="257"/>
        <item m="1" x="503"/>
        <item m="1" x="325"/>
        <item m="1" x="422"/>
        <item m="1" x="506"/>
        <item m="1" x="474"/>
        <item m="1" x="539"/>
        <item m="1" x="552"/>
        <item m="1" x="360"/>
        <item m="1" x="530"/>
        <item m="1" x="475"/>
        <item m="1" x="443"/>
        <item m="1" x="523"/>
        <item m="1" x="271"/>
        <item m="1" x="533"/>
        <item m="1" x="514"/>
        <item m="1" x="537"/>
        <item m="1" x="371"/>
        <item x="15"/>
        <item x="17"/>
        <item m="1" x="160"/>
        <item x="16"/>
        <item m="1" x="243"/>
        <item m="1" x="269"/>
        <item m="1" x="328"/>
        <item m="1" x="229"/>
        <item m="1" x="245"/>
        <item m="1" x="319"/>
        <item m="1" x="370"/>
        <item m="1" x="211"/>
        <item m="1" x="294"/>
        <item m="1" x="216"/>
        <item m="1" x="485"/>
        <item m="1" x="232"/>
        <item m="1" x="389"/>
        <item m="1" x="395"/>
        <item m="1" x="452"/>
        <item m="1" x="362"/>
        <item m="1" x="418"/>
        <item m="1" x="382"/>
        <item m="1" x="285"/>
        <item m="1" x="353"/>
        <item x="96"/>
        <item m="1" x="226"/>
        <item m="1" x="380"/>
        <item m="1" x="274"/>
        <item m="1" x="301"/>
        <item m="1" x="330"/>
        <item m="1" x="247"/>
        <item x="18"/>
        <item m="1" x="308"/>
        <item m="1" x="258"/>
        <item m="1" x="334"/>
        <item m="1" x="283"/>
        <item m="1" x="204"/>
        <item m="1" x="199"/>
        <item x="37"/>
        <item m="1" x="357"/>
        <item m="1" x="255"/>
        <item m="1" x="376"/>
        <item x="36"/>
        <item m="1" x="168"/>
        <item m="1" x="180"/>
        <item m="1" x="196"/>
        <item m="1" x="350"/>
        <item m="1" x="281"/>
        <item m="1" x="214"/>
        <item m="1" x="307"/>
        <item m="1" x="390"/>
        <item x="35"/>
        <item x="38"/>
        <item m="1" x="409"/>
        <item m="1" x="220"/>
        <item m="1" x="317"/>
        <item m="1" x="282"/>
        <item m="1" x="284"/>
        <item m="1" x="478"/>
        <item m="1" x="167"/>
        <item m="1" x="297"/>
        <item m="1" x="156"/>
        <item m="1" x="157"/>
        <item m="1" x="210"/>
        <item m="1" x="219"/>
        <item m="1" x="324"/>
        <item m="1" x="466"/>
        <item m="1" x="256"/>
        <item x="34"/>
        <item m="1" x="228"/>
        <item m="1" x="502"/>
        <item m="1" x="259"/>
        <item m="1" x="304"/>
        <item x="97"/>
        <item m="1" x="310"/>
        <item m="1" x="273"/>
        <item x="82"/>
        <item x="46"/>
        <item m="1" x="261"/>
        <item x="41"/>
        <item x="116"/>
        <item m="1" x="289"/>
        <item m="1" x="182"/>
        <item m="1" x="296"/>
        <item x="51"/>
        <item m="1" x="240"/>
        <item m="1" x="290"/>
        <item x="111"/>
        <item x="112"/>
        <item x="93"/>
        <item x="132"/>
        <item x="33"/>
        <item x="56"/>
        <item x="127"/>
        <item x="131"/>
        <item x="130"/>
        <item x="57"/>
        <item m="1" x="186"/>
        <item x="71"/>
        <item x="80"/>
        <item x="81"/>
        <item x="125"/>
        <item x="108"/>
        <item x="109"/>
        <item m="1" x="236"/>
        <item x="101"/>
        <item x="102"/>
        <item x="104"/>
        <item x="44"/>
        <item x="98"/>
        <item x="115"/>
        <item x="48"/>
        <item x="135"/>
        <item x="68"/>
        <item x="75"/>
        <item x="76"/>
        <item x="148"/>
        <item x="47"/>
        <item x="87"/>
        <item x="103"/>
        <item x="152"/>
        <item x="55"/>
        <item x="54"/>
        <item x="140"/>
        <item x="39"/>
        <item x="40"/>
        <item x="42"/>
        <item x="43"/>
        <item x="45"/>
        <item x="49"/>
        <item x="117"/>
        <item x="118"/>
        <item x="133"/>
        <item x="145"/>
        <item x="146"/>
        <item x="150"/>
        <item x="50"/>
        <item x="60"/>
        <item x="62"/>
        <item x="63"/>
        <item x="64"/>
        <item x="65"/>
        <item x="67"/>
        <item x="73"/>
        <item x="78"/>
        <item x="88"/>
        <item x="89"/>
        <item x="95"/>
        <item x="128"/>
        <item x="136"/>
        <item x="141"/>
        <item x="142"/>
        <item x="143"/>
        <item x="151"/>
        <item x="52"/>
        <item x="53"/>
        <item x="58"/>
        <item x="59"/>
        <item x="61"/>
        <item x="66"/>
        <item x="69"/>
        <item x="70"/>
        <item x="72"/>
        <item x="74"/>
        <item x="77"/>
        <item x="79"/>
        <item x="83"/>
        <item x="84"/>
        <item x="85"/>
        <item x="86"/>
        <item x="90"/>
        <item x="91"/>
        <item x="92"/>
        <item x="94"/>
        <item x="99"/>
        <item x="100"/>
        <item x="105"/>
        <item x="106"/>
        <item x="107"/>
        <item x="110"/>
        <item x="113"/>
        <item x="114"/>
        <item x="119"/>
        <item x="120"/>
        <item x="121"/>
        <item x="122"/>
        <item x="123"/>
        <item x="124"/>
        <item x="126"/>
        <item x="129"/>
        <item x="134"/>
        <item x="137"/>
        <item x="138"/>
        <item x="139"/>
        <item x="144"/>
        <item x="147"/>
        <item x="149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37">
        <item x="26"/>
        <item x="25"/>
        <item x="0"/>
        <item x="2"/>
        <item x="1"/>
        <item m="1" x="154"/>
        <item m="1" x="629"/>
        <item x="24"/>
        <item m="1" x="342"/>
        <item m="1" x="650"/>
        <item m="1" x="656"/>
        <item m="1" x="594"/>
        <item m="1" x="452"/>
        <item m="1" x="824"/>
        <item m="1" x="689"/>
        <item m="1" x="1101"/>
        <item m="1" x="1025"/>
        <item m="1" x="746"/>
        <item m="1" x="382"/>
        <item m="1" x="904"/>
        <item m="1" x="221"/>
        <item m="1" x="1023"/>
        <item m="1" x="216"/>
        <item m="1" x="339"/>
        <item m="1" x="297"/>
        <item x="82"/>
        <item m="1" x="641"/>
        <item m="1" x="1087"/>
        <item m="1" x="507"/>
        <item m="1" x="657"/>
        <item m="1" x="404"/>
        <item m="1" x="1105"/>
        <item m="1" x="1106"/>
        <item m="1" x="1121"/>
        <item m="1" x="803"/>
        <item m="1" x="1104"/>
        <item m="1" x="811"/>
        <item m="1" x="717"/>
        <item m="1" x="713"/>
        <item m="1" x="1015"/>
        <item m="1" x="853"/>
        <item m="1" x="772"/>
        <item m="1" x="182"/>
        <item m="1" x="490"/>
        <item x="106"/>
        <item x="105"/>
        <item m="1" x="364"/>
        <item x="102"/>
        <item m="1" x="341"/>
        <item x="115"/>
        <item x="121"/>
        <item m="1" x="535"/>
        <item x="96"/>
        <item x="97"/>
        <item m="1" x="487"/>
        <item x="103"/>
        <item x="108"/>
        <item x="100"/>
        <item m="1" x="993"/>
        <item x="118"/>
        <item x="117"/>
        <item m="1" x="466"/>
        <item x="95"/>
        <item m="1" x="780"/>
        <item m="1" x="332"/>
        <item m="1" x="662"/>
        <item x="134"/>
        <item m="1" x="614"/>
        <item m="1" x="700"/>
        <item x="130"/>
        <item x="132"/>
        <item x="131"/>
        <item m="1" x="560"/>
        <item m="1" x="785"/>
        <item x="135"/>
        <item x="141"/>
        <item x="139"/>
        <item x="143"/>
        <item m="1" x="496"/>
        <item m="1" x="891"/>
        <item m="1" x="741"/>
        <item m="1" x="802"/>
        <item m="1" x="969"/>
        <item m="1" x="195"/>
        <item m="1" x="239"/>
        <item m="1" x="375"/>
        <item m="1" x="410"/>
        <item m="1" x="711"/>
        <item m="1" x="379"/>
        <item m="1" x="391"/>
        <item m="1" x="850"/>
        <item m="1" x="600"/>
        <item m="1" x="520"/>
        <item m="1" x="1127"/>
        <item m="1" x="411"/>
        <item m="1" x="543"/>
        <item m="1" x="1041"/>
        <item m="1" x="750"/>
        <item m="1" x="699"/>
        <item m="1" x="1005"/>
        <item m="1" x="454"/>
        <item m="1" x="304"/>
        <item m="1" x="365"/>
        <item x="104"/>
        <item x="114"/>
        <item x="116"/>
        <item m="1" x="499"/>
        <item x="109"/>
        <item x="119"/>
        <item m="1" x="179"/>
        <item m="1" x="180"/>
        <item x="98"/>
        <item m="1" x="480"/>
        <item m="1" x="840"/>
        <item m="1" x="889"/>
        <item m="1" x="820"/>
        <item m="1" x="805"/>
        <item m="1" x="769"/>
        <item m="1" x="864"/>
        <item m="1" x="900"/>
        <item m="1" x="463"/>
        <item m="1" x="836"/>
        <item m="1" x="718"/>
        <item m="1" x="548"/>
        <item m="1" x="950"/>
        <item m="1" x="1030"/>
        <item m="1" x="1032"/>
        <item m="1" x="609"/>
        <item m="1" x="267"/>
        <item m="1" x="842"/>
        <item m="1" x="733"/>
        <item m="1" x="588"/>
        <item m="1" x="547"/>
        <item m="1" x="555"/>
        <item m="1" x="960"/>
        <item m="1" x="763"/>
        <item x="93"/>
        <item m="1" x="198"/>
        <item m="1" x="199"/>
        <item m="1" x="1045"/>
        <item m="1" x="649"/>
        <item m="1" x="804"/>
        <item m="1" x="773"/>
        <item m="1" x="966"/>
        <item m="1" x="235"/>
        <item m="1" x="237"/>
        <item m="1" x="238"/>
        <item m="1" x="233"/>
        <item x="6"/>
        <item m="1" x="1135"/>
        <item m="1" x="189"/>
        <item x="137"/>
        <item m="1" x="330"/>
        <item m="1" x="229"/>
        <item m="1" x="875"/>
        <item m="1" x="816"/>
        <item m="1" x="817"/>
        <item x="39"/>
        <item m="1" x="996"/>
        <item m="1" x="703"/>
        <item m="1" x="870"/>
        <item m="1" x="867"/>
        <item m="1" x="728"/>
        <item m="1" x="823"/>
        <item m="1" x="298"/>
        <item x="81"/>
        <item m="1" x="1085"/>
        <item m="1" x="690"/>
        <item m="1" x="862"/>
        <item m="1" x="1117"/>
        <item m="1" x="1109"/>
        <item m="1" x="678"/>
        <item m="1" x="982"/>
        <item x="29"/>
        <item x="28"/>
        <item m="1" x="845"/>
        <item m="1" x="722"/>
        <item x="142"/>
        <item m="1" x="709"/>
        <item m="1" x="775"/>
        <item m="1" x="783"/>
        <item m="1" x="990"/>
        <item m="1" x="1008"/>
        <item m="1" x="1013"/>
        <item m="1" x="302"/>
        <item m="1" x="303"/>
        <item m="1" x="178"/>
        <item m="1" x="972"/>
        <item m="1" x="517"/>
        <item m="1" x="1134"/>
        <item m="1" x="747"/>
        <item m="1" x="407"/>
        <item m="1" x="865"/>
        <item m="1" x="898"/>
        <item m="1" x="800"/>
        <item m="1" x="778"/>
        <item m="1" x="994"/>
        <item m="1" x="166"/>
        <item m="1" x="1130"/>
        <item m="1" x="509"/>
        <item m="1" x="384"/>
        <item m="1" x="570"/>
        <item m="1" x="953"/>
        <item m="1" x="691"/>
        <item m="1" x="1068"/>
        <item m="1" x="742"/>
        <item m="1" x="618"/>
        <item m="1" x="315"/>
        <item m="1" x="957"/>
        <item m="1" x="967"/>
        <item m="1" x="234"/>
        <item x="7"/>
        <item m="1" x="251"/>
        <item m="1" x="670"/>
        <item x="125"/>
        <item m="1" x="280"/>
        <item m="1" x="306"/>
        <item m="1" x="765"/>
        <item x="123"/>
        <item x="124"/>
        <item m="1" x="187"/>
        <item m="1" x="605"/>
        <item m="1" x="762"/>
        <item m="1" x="542"/>
        <item x="126"/>
        <item m="1" x="228"/>
        <item m="1" x="879"/>
        <item m="1" x="822"/>
        <item m="1" x="299"/>
        <item m="1" x="1116"/>
        <item m="1" x="793"/>
        <item m="1" x="646"/>
        <item x="31"/>
        <item m="1" x="596"/>
        <item m="1" x="745"/>
        <item m="1" x="163"/>
        <item m="1" x="164"/>
        <item m="1" x="205"/>
        <item m="1" x="1014"/>
        <item m="1" x="566"/>
        <item x="4"/>
        <item m="1" x="312"/>
        <item x="3"/>
        <item m="1" x="313"/>
        <item m="1" x="939"/>
        <item m="1" x="314"/>
        <item m="1" x="430"/>
        <item m="1" x="837"/>
        <item x="153"/>
        <item m="1" x="1039"/>
        <item x="23"/>
        <item x="101"/>
        <item m="1" x="472"/>
        <item m="1" x="603"/>
        <item m="1" x="1125"/>
        <item m="1" x="1031"/>
        <item m="1" x="253"/>
        <item m="1" x="445"/>
        <item m="1" x="446"/>
        <item m="1" x="575"/>
        <item m="1" x="502"/>
        <item m="1" x="1063"/>
        <item m="1" x="828"/>
        <item m="1" x="876"/>
        <item m="1" x="888"/>
        <item x="20"/>
        <item m="1" x="236"/>
        <item m="1" x="240"/>
        <item m="1" x="390"/>
        <item m="1" x="704"/>
        <item m="1" x="1133"/>
        <item m="1" x="630"/>
        <item x="138"/>
        <item m="1" x="895"/>
        <item m="1" x="217"/>
        <item m="1" x="923"/>
        <item m="1" x="989"/>
        <item x="30"/>
        <item m="1" x="835"/>
        <item m="1" x="663"/>
        <item m="1" x="951"/>
        <item m="1" x="202"/>
        <item m="1" x="971"/>
        <item m="1" x="458"/>
        <item m="1" x="527"/>
        <item m="1" x="352"/>
        <item x="99"/>
        <item m="1" x="834"/>
        <item m="1" x="627"/>
        <item m="1" x="1111"/>
        <item m="1" x="1081"/>
        <item m="1" x="754"/>
        <item m="1" x="402"/>
        <item m="1" x="964"/>
        <item m="1" x="497"/>
        <item m="1" x="694"/>
        <item m="1" x="753"/>
        <item m="1" x="357"/>
        <item m="1" x="417"/>
        <item m="1" x="383"/>
        <item m="1" x="354"/>
        <item m="1" x="465"/>
        <item m="1" x="319"/>
        <item m="1" x="636"/>
        <item m="1" x="1082"/>
        <item m="1" x="676"/>
        <item m="1" x="679"/>
        <item m="1" x="654"/>
        <item m="1" x="1066"/>
        <item m="1" x="204"/>
        <item m="1" x="203"/>
        <item m="1" x="752"/>
        <item x="5"/>
        <item m="1" x="736"/>
        <item x="140"/>
        <item m="1" x="723"/>
        <item m="1" x="906"/>
        <item m="1" x="276"/>
        <item m="1" x="492"/>
        <item m="1" x="358"/>
        <item m="1" x="987"/>
        <item m="1" x="510"/>
        <item m="1" x="740"/>
        <item m="1" x="680"/>
        <item m="1" x="666"/>
        <item m="1" x="687"/>
        <item m="1" x="241"/>
        <item m="1" x="794"/>
        <item m="1" x="697"/>
        <item m="1" x="372"/>
        <item m="1" x="1114"/>
        <item m="1" x="729"/>
        <item m="1" x="1050"/>
        <item m="1" x="206"/>
        <item m="1" x="658"/>
        <item m="1" x="1115"/>
        <item m="1" x="191"/>
        <item m="1" x="732"/>
        <item m="1" x="767"/>
        <item m="1" x="329"/>
        <item m="1" x="977"/>
        <item m="1" x="1007"/>
        <item m="1" x="978"/>
        <item m="1" x="1001"/>
        <item m="1" x="1112"/>
        <item m="1" x="412"/>
        <item m="1" x="523"/>
        <item m="1" x="610"/>
        <item m="1" x="449"/>
        <item x="151"/>
        <item m="1" x="1083"/>
        <item m="1" x="638"/>
        <item m="1" x="1128"/>
        <item m="1" x="1040"/>
        <item m="1" x="368"/>
        <item m="1" x="367"/>
        <item m="1" x="789"/>
        <item m="1" x="813"/>
        <item m="1" x="743"/>
        <item m="1" x="1058"/>
        <item m="1" x="884"/>
        <item m="1" x="821"/>
        <item m="1" x="1054"/>
        <item m="1" x="809"/>
        <item m="1" x="1055"/>
        <item m="1" x="440"/>
        <item m="1" x="896"/>
        <item m="1" x="632"/>
        <item m="1" x="536"/>
        <item x="27"/>
        <item m="1" x="403"/>
        <item m="1" x="488"/>
        <item m="1" x="183"/>
        <item m="1" x="671"/>
        <item m="1" x="277"/>
        <item m="1" x="508"/>
        <item m="1" x="1070"/>
        <item m="1" x="1018"/>
        <item m="1" x="1010"/>
        <item m="1" x="920"/>
        <item m="1" x="254"/>
        <item m="1" x="500"/>
        <item m="1" x="435"/>
        <item m="1" x="768"/>
        <item m="1" x="946"/>
        <item x="127"/>
        <item m="1" x="877"/>
        <item m="1" x="931"/>
        <item m="1" x="1072"/>
        <item m="1" x="278"/>
        <item m="1" x="606"/>
        <item m="1" x="1028"/>
        <item m="1" x="799"/>
        <item m="1" x="1037"/>
        <item m="1" x="897"/>
        <item m="1" x="1057"/>
        <item m="1" x="615"/>
        <item m="1" x="631"/>
        <item m="1" x="1064"/>
        <item m="1" x="921"/>
        <item m="1" x="868"/>
        <item m="1" x="356"/>
        <item m="1" x="595"/>
        <item m="1" x="397"/>
        <item m="1" x="985"/>
        <item m="1" x="981"/>
        <item m="1" x="1110"/>
        <item m="1" x="1053"/>
        <item x="110"/>
        <item m="1" x="532"/>
        <item m="1" x="1062"/>
        <item m="1" x="832"/>
        <item m="1" x="668"/>
        <item m="1" x="538"/>
        <item m="1" x="604"/>
        <item m="1" x="546"/>
        <item m="1" x="737"/>
        <item x="145"/>
        <item m="1" x="764"/>
        <item m="1" x="976"/>
        <item m="1" x="438"/>
        <item m="1" x="647"/>
        <item m="1" x="469"/>
        <item m="1" x="473"/>
        <item m="1" x="599"/>
        <item m="1" x="914"/>
        <item m="1" x="812"/>
        <item m="1" x="674"/>
        <item m="1" x="161"/>
        <item m="1" x="760"/>
        <item m="1" x="345"/>
        <item m="1" x="905"/>
        <item m="1" x="926"/>
        <item m="1" x="387"/>
        <item m="1" x="376"/>
        <item m="1" x="1108"/>
        <item m="1" x="781"/>
        <item m="1" x="1009"/>
        <item m="1" x="705"/>
        <item m="1" x="655"/>
        <item m="1" x="721"/>
        <item m="1" x="759"/>
        <item m="1" x="912"/>
        <item m="1" x="353"/>
        <item m="1" x="181"/>
        <item x="120"/>
        <item m="1" x="483"/>
        <item m="1" x="738"/>
        <item m="1" x="675"/>
        <item m="1" x="444"/>
        <item m="1" x="484"/>
        <item m="1" x="361"/>
        <item m="1" x="437"/>
        <item x="44"/>
        <item m="1" x="290"/>
        <item x="42"/>
        <item m="1" x="1049"/>
        <item m="1" x="635"/>
        <item m="1" x="885"/>
        <item m="1" x="779"/>
        <item m="1" x="797"/>
        <item x="69"/>
        <item x="68"/>
        <item m="1" x="213"/>
        <item m="1" x="792"/>
        <item m="1" x="730"/>
        <item m="1" x="360"/>
        <item m="1" x="830"/>
        <item m="1" x="1079"/>
        <item m="1" x="903"/>
        <item x="62"/>
        <item m="1" x="869"/>
        <item m="1" x="1026"/>
        <item x="65"/>
        <item m="1" x="791"/>
        <item x="49"/>
        <item x="40"/>
        <item m="1" x="1093"/>
        <item m="1" x="393"/>
        <item m="1" x="296"/>
        <item m="1" x="682"/>
        <item m="1" x="851"/>
        <item m="1" x="933"/>
        <item m="1" x="1129"/>
        <item m="1" x="829"/>
        <item m="1" x="831"/>
        <item m="1" x="266"/>
        <item m="1" x="887"/>
        <item x="8"/>
        <item m="1" x="1033"/>
        <item m="1" x="1086"/>
        <item m="1" x="916"/>
        <item m="1" x="731"/>
        <item m="1" x="911"/>
        <item x="60"/>
        <item x="61"/>
        <item m="1" x="871"/>
        <item m="1" x="491"/>
        <item m="1" x="1113"/>
        <item m="1" x="915"/>
        <item m="1" x="1080"/>
        <item m="1" x="295"/>
        <item m="1" x="409"/>
        <item m="1" x="659"/>
        <item m="1" x="208"/>
        <item m="1" x="755"/>
        <item m="1" x="872"/>
        <item m="1" x="771"/>
        <item m="1" x="1000"/>
        <item x="74"/>
        <item m="1" x="744"/>
        <item m="1" x="688"/>
        <item m="1" x="569"/>
        <item x="63"/>
        <item x="64"/>
        <item x="75"/>
        <item x="76"/>
        <item m="1" x="1021"/>
        <item m="1" x="948"/>
        <item m="1" x="1052"/>
        <item m="1" x="854"/>
        <item m="1" x="645"/>
        <item m="1" x="695"/>
        <item m="1" x="860"/>
        <item m="1" x="935"/>
        <item x="78"/>
        <item x="107"/>
        <item m="1" x="1131"/>
        <item m="1" x="231"/>
        <item m="1" x="504"/>
        <item m="1" x="470"/>
        <item m="1" x="839"/>
        <item m="1" x="639"/>
        <item m="1" x="1046"/>
        <item m="1" x="913"/>
        <item m="1" x="937"/>
        <item m="1" x="1048"/>
        <item m="1" x="886"/>
        <item m="1" x="648"/>
        <item m="1" x="305"/>
        <item m="1" x="1029"/>
        <item m="1" x="949"/>
        <item m="1" x="798"/>
        <item x="59"/>
        <item m="1" x="1091"/>
        <item m="1" x="489"/>
        <item m="1" x="1123"/>
        <item m="1" x="1092"/>
        <item m="1" x="431"/>
        <item m="1" x="273"/>
        <item x="66"/>
        <item m="1" x="579"/>
        <item m="1" x="861"/>
        <item x="67"/>
        <item m="1" x="788"/>
        <item m="1" x="293"/>
        <item m="1" x="322"/>
        <item x="77"/>
        <item m="1" x="814"/>
        <item m="1" x="968"/>
        <item m="1" x="338"/>
        <item m="1" x="784"/>
        <item m="1" x="626"/>
        <item m="1" x="405"/>
        <item m="1" x="294"/>
        <item x="45"/>
        <item m="1" x="918"/>
        <item m="1" x="909"/>
        <item m="1" x="498"/>
        <item m="1" x="857"/>
        <item x="56"/>
        <item m="1" x="408"/>
        <item m="1" x="1011"/>
        <item m="1" x="677"/>
        <item m="1" x="640"/>
        <item x="57"/>
        <item m="1" x="991"/>
        <item m="1" x="652"/>
        <item x="48"/>
        <item x="58"/>
        <item m="1" x="907"/>
        <item m="1" x="922"/>
        <item x="46"/>
        <item m="1" x="858"/>
        <item m="1" x="363"/>
        <item m="1" x="692"/>
        <item m="1" x="959"/>
        <item x="43"/>
        <item m="1" x="176"/>
        <item m="1" x="1067"/>
        <item m="1" x="712"/>
        <item m="1" x="259"/>
        <item m="1" x="258"/>
        <item m="1" x="908"/>
        <item m="1" x="952"/>
        <item m="1" x="796"/>
        <item m="1" x="347"/>
        <item m="1" x="350"/>
        <item m="1" x="980"/>
        <item m="1" x="561"/>
        <item m="1" x="1102"/>
        <item m="1" x="581"/>
        <item m="1" x="448"/>
        <item x="41"/>
        <item m="1" x="261"/>
        <item m="1" x="260"/>
        <item m="1" x="1094"/>
        <item m="1" x="644"/>
        <item m="1" x="843"/>
        <item m="1" x="1012"/>
        <item m="1" x="453"/>
        <item m="1" x="495"/>
        <item m="1" x="457"/>
        <item m="1" x="214"/>
        <item m="1" x="1044"/>
        <item m="1" x="608"/>
        <item m="1" x="673"/>
        <item m="1" x="681"/>
        <item m="1" x="848"/>
        <item m="1" x="852"/>
        <item m="1" x="155"/>
        <item m="1" x="521"/>
        <item m="1" x="1096"/>
        <item m="1" x="1006"/>
        <item m="1" x="1019"/>
        <item m="1" x="859"/>
        <item x="12"/>
        <item x="11"/>
        <item x="13"/>
        <item m="1" x="782"/>
        <item m="1" x="770"/>
        <item x="9"/>
        <item m="1" x="184"/>
        <item m="1" x="159"/>
        <item m="1" x="286"/>
        <item m="1" x="1078"/>
        <item m="1" x="683"/>
        <item m="1" x="881"/>
        <item m="1" x="961"/>
        <item m="1" x="962"/>
        <item m="1" x="334"/>
        <item m="1" x="943"/>
        <item m="1" x="1084"/>
        <item m="1" x="274"/>
        <item m="1" x="774"/>
        <item m="1" x="165"/>
        <item m="1" x="256"/>
        <item m="1" x="255"/>
        <item m="1" x="257"/>
        <item m="1" x="321"/>
        <item m="1" x="716"/>
        <item m="1" x="664"/>
        <item x="10"/>
        <item m="1" x="577"/>
        <item m="1" x="927"/>
        <item m="1" x="158"/>
        <item m="1" x="847"/>
        <item m="1" x="1120"/>
        <item m="1" x="461"/>
        <item m="1" x="643"/>
        <item m="1" x="1095"/>
        <item m="1" x="928"/>
        <item m="1" x="385"/>
        <item m="1" x="924"/>
        <item m="1" x="1089"/>
        <item m="1" x="917"/>
        <item m="1" x="714"/>
        <item x="14"/>
        <item m="1" x="707"/>
        <item m="1" x="219"/>
        <item m="1" x="443"/>
        <item m="1" x="355"/>
        <item m="1" x="686"/>
        <item m="1" x="494"/>
        <item m="1" x="1038"/>
        <item m="1" x="938"/>
        <item m="1" x="1051"/>
        <item m="1" x="590"/>
        <item m="1" x="1100"/>
        <item m="1" x="995"/>
        <item m="1" x="1027"/>
        <item m="1" x="735"/>
        <item m="1" x="380"/>
        <item m="1" x="815"/>
        <item m="1" x="684"/>
        <item m="1" x="669"/>
        <item m="1" x="552"/>
        <item m="1" x="200"/>
        <item m="1" x="201"/>
        <item m="1" x="827"/>
        <item m="1" x="892"/>
        <item m="1" x="819"/>
        <item m="1" x="586"/>
        <item m="1" x="633"/>
        <item m="1" x="806"/>
        <item m="1" x="289"/>
        <item m="1" x="611"/>
        <item m="1" x="947"/>
        <item m="1" x="598"/>
        <item m="1" x="942"/>
        <item m="1" x="925"/>
        <item m="1" x="1076"/>
        <item m="1" x="616"/>
        <item m="1" x="622"/>
        <item m="1" x="612"/>
        <item m="1" x="1077"/>
        <item m="1" x="833"/>
        <item m="1" x="880"/>
        <item m="1" x="706"/>
        <item m="1" x="574"/>
        <item m="1" x="576"/>
        <item m="1" x="878"/>
        <item m="1" x="776"/>
        <item m="1" x="997"/>
        <item m="1" x="998"/>
        <item m="1" x="215"/>
        <item m="1" x="955"/>
        <item m="1" x="1047"/>
        <item m="1" x="766"/>
        <item m="1" x="941"/>
        <item m="1" x="661"/>
        <item m="1" x="1118"/>
        <item m="1" x="720"/>
        <item m="1" x="1022"/>
        <item m="1" x="637"/>
        <item m="1" x="988"/>
        <item m="1" x="416"/>
        <item m="1" x="873"/>
        <item m="1" x="1042"/>
        <item m="1" x="748"/>
        <item m="1" x="893"/>
        <item m="1" x="758"/>
        <item m="1" x="623"/>
        <item m="1" x="1034"/>
        <item m="1" x="749"/>
        <item m="1" x="825"/>
        <item m="1" x="665"/>
        <item m="1" x="642"/>
        <item m="1" x="1074"/>
        <item m="1" x="634"/>
        <item m="1" x="592"/>
        <item m="1" x="558"/>
        <item m="1" x="1126"/>
        <item m="1" x="481"/>
        <item m="1" x="537"/>
        <item m="1" x="984"/>
        <item m="1" x="460"/>
        <item m="1" x="268"/>
        <item x="47"/>
        <item m="1" x="196"/>
        <item m="1" x="308"/>
        <item m="1" x="468"/>
        <item m="1" x="210"/>
        <item m="1" x="323"/>
        <item m="1" x="883"/>
        <item m="1" x="1002"/>
        <item m="1" x="223"/>
        <item m="1" x="224"/>
        <item m="1" x="1075"/>
        <item m="1" x="540"/>
        <item m="1" x="373"/>
        <item m="1" x="399"/>
        <item m="1" x="807"/>
        <item m="1" x="808"/>
        <item m="1" x="790"/>
        <item m="1" x="1124"/>
        <item m="1" x="702"/>
        <item m="1" x="715"/>
        <item m="1" x="856"/>
        <item m="1" x="426"/>
        <item m="1" x="531"/>
        <item m="1" x="309"/>
        <item m="1" x="250"/>
        <item m="1" x="172"/>
        <item x="50"/>
        <item m="1" x="419"/>
        <item m="1" x="660"/>
        <item m="1" x="568"/>
        <item m="1" x="432"/>
        <item m="1" x="544"/>
        <item m="1" x="910"/>
        <item m="1" x="556"/>
        <item x="146"/>
        <item m="1" x="601"/>
        <item x="112"/>
        <item m="1" x="751"/>
        <item m="1" x="983"/>
        <item m="1" x="844"/>
        <item x="148"/>
        <item m="1" x="232"/>
        <item m="1" x="992"/>
        <item m="1" x="511"/>
        <item m="1" x="349"/>
        <item m="1" x="974"/>
        <item x="113"/>
        <item m="1" x="226"/>
        <item m="1" x="192"/>
        <item x="150"/>
        <item m="1" x="563"/>
        <item m="1" x="193"/>
        <item m="1" x="455"/>
        <item m="1" x="970"/>
        <item m="1" x="719"/>
        <item m="1" x="307"/>
        <item x="149"/>
        <item x="147"/>
        <item m="1" x="194"/>
        <item m="1" x="246"/>
        <item m="1" x="1132"/>
        <item m="1" x="1061"/>
        <item m="1" x="425"/>
        <item m="1" x="1003"/>
        <item m="1" x="1119"/>
        <item m="1" x="696"/>
        <item m="1" x="846"/>
        <item m="1" x="462"/>
        <item m="1" x="986"/>
        <item m="1" x="882"/>
        <item m="1" x="826"/>
        <item m="1" x="963"/>
        <item m="1" x="757"/>
        <item m="1" x="890"/>
        <item m="1" x="1056"/>
        <item m="1" x="628"/>
        <item m="1" x="340"/>
        <item m="1" x="414"/>
        <item x="15"/>
        <item x="17"/>
        <item m="1" x="160"/>
        <item x="16"/>
        <item m="1" x="392"/>
        <item m="1" x="929"/>
        <item m="1" x="456"/>
        <item m="1" x="571"/>
        <item m="1" x="651"/>
        <item x="80"/>
        <item x="84"/>
        <item m="1" x="429"/>
        <item m="1" x="311"/>
        <item m="1" x="944"/>
        <item m="1" x="366"/>
        <item m="1" x="283"/>
        <item m="1" x="874"/>
        <item m="1" x="248"/>
        <item m="1" x="398"/>
        <item m="1" x="553"/>
        <item x="85"/>
        <item m="1" x="1090"/>
        <item m="1" x="436"/>
        <item m="1" x="427"/>
        <item x="19"/>
        <item m="1" x="1099"/>
        <item m="1" x="515"/>
        <item m="1" x="863"/>
        <item m="1" x="934"/>
        <item m="1" x="162"/>
        <item m="1" x="317"/>
        <item m="1" x="653"/>
        <item m="1" x="1016"/>
        <item m="1" x="287"/>
        <item m="1" x="318"/>
        <item m="1" x="378"/>
        <item m="1" x="693"/>
        <item m="1" x="667"/>
        <item m="1" x="936"/>
        <item m="1" x="1043"/>
        <item m="1" x="958"/>
        <item m="1" x="501"/>
        <item m="1" x="222"/>
        <item m="1" x="327"/>
        <item m="1" x="335"/>
        <item m="1" x="708"/>
        <item m="1" x="894"/>
        <item m="1" x="838"/>
        <item m="1" x="1071"/>
        <item m="1" x="979"/>
        <item m="1" x="572"/>
        <item m="1" x="1073"/>
        <item x="83"/>
        <item m="1" x="901"/>
        <item m="1" x="301"/>
        <item m="1" x="1107"/>
        <item m="1" x="369"/>
        <item m="1" x="471"/>
        <item m="1" x="346"/>
        <item m="1" x="300"/>
        <item m="1" x="724"/>
        <item m="1" x="899"/>
        <item m="1" x="482"/>
        <item m="1" x="225"/>
        <item m="1" x="1035"/>
        <item m="1" x="1065"/>
        <item m="1" x="1060"/>
        <item m="1" x="818"/>
        <item m="1" x="218"/>
        <item m="1" x="565"/>
        <item m="1" x="1059"/>
        <item m="1" x="726"/>
        <item x="86"/>
        <item m="1" x="919"/>
        <item m="1" x="479"/>
        <item m="1" x="325"/>
        <item m="1" x="591"/>
        <item m="1" x="177"/>
        <item m="1" x="810"/>
        <item m="1" x="359"/>
        <item m="1" x="710"/>
        <item m="1" x="786"/>
        <item m="1" x="512"/>
        <item m="1" x="493"/>
        <item m="1" x="727"/>
        <item m="1" x="467"/>
        <item m="1" x="513"/>
        <item m="1" x="573"/>
        <item m="1" x="400"/>
        <item x="92"/>
        <item m="1" x="275"/>
        <item m="1" x="1122"/>
        <item m="1" x="930"/>
        <item m="1" x="186"/>
        <item x="18"/>
        <item m="1" x="529"/>
        <item m="1" x="190"/>
        <item m="1" x="423"/>
        <item m="1" x="739"/>
        <item m="1" x="580"/>
        <item m="1" x="220"/>
        <item m="1" x="477"/>
        <item m="1" x="288"/>
        <item m="1" x="265"/>
        <item m="1" x="621"/>
        <item m="1" x="281"/>
        <item m="1" x="734"/>
        <item m="1" x="245"/>
        <item m="1" x="973"/>
        <item x="37"/>
        <item m="1" x="1098"/>
        <item m="1" x="415"/>
        <item m="1" x="1069"/>
        <item m="1" x="1004"/>
        <item m="1" x="866"/>
        <item m="1" x="1017"/>
        <item m="1" x="956"/>
        <item m="1" x="587"/>
        <item m="1" x="1103"/>
        <item m="1" x="849"/>
        <item m="1" x="1036"/>
        <item m="1" x="331"/>
        <item m="1" x="672"/>
        <item m="1" x="761"/>
        <item m="1" x="1136"/>
        <item x="36"/>
        <item m="1" x="954"/>
        <item m="1" x="505"/>
        <item m="1" x="174"/>
        <item x="54"/>
        <item m="1" x="1024"/>
        <item x="144"/>
        <item m="1" x="450"/>
        <item m="1" x="168"/>
        <item m="1" x="518"/>
        <item m="1" x="777"/>
        <item m="1" x="902"/>
        <item m="1" x="525"/>
        <item m="1" x="395"/>
        <item m="1" x="209"/>
        <item m="1" x="262"/>
        <item m="1" x="582"/>
        <item m="1" x="625"/>
        <item m="1" x="441"/>
        <item m="1" x="624"/>
        <item m="1" x="474"/>
        <item m="1" x="333"/>
        <item m="1" x="701"/>
        <item x="152"/>
        <item m="1" x="1020"/>
        <item m="1" x="451"/>
        <item m="1" x="932"/>
        <item x="35"/>
        <item m="1" x="326"/>
        <item m="1" x="541"/>
        <item m="1" x="685"/>
        <item m="1" x="787"/>
        <item m="1" x="583"/>
        <item x="38"/>
        <item m="1" x="975"/>
        <item m="1" x="344"/>
        <item m="1" x="551"/>
        <item m="1" x="476"/>
        <item m="1" x="478"/>
        <item m="1" x="698"/>
        <item m="1" x="589"/>
        <item m="1" x="725"/>
        <item m="1" x="169"/>
        <item m="1" x="291"/>
        <item m="1" x="522"/>
        <item m="1" x="945"/>
        <item m="1" x="999"/>
        <item m="1" x="801"/>
        <item m="1" x="965"/>
        <item m="1" x="447"/>
        <item m="1" x="593"/>
        <item m="1" x="401"/>
        <item m="1" x="506"/>
        <item m="1" x="170"/>
        <item m="1" x="269"/>
        <item m="1" x="171"/>
        <item m="1" x="516"/>
        <item m="1" x="270"/>
        <item m="1" x="271"/>
        <item m="1" x="156"/>
        <item m="1" x="157"/>
        <item m="1" x="316"/>
        <item m="1" x="343"/>
        <item m="1" x="528"/>
        <item m="1" x="562"/>
        <item m="1" x="249"/>
        <item m="1" x="396"/>
        <item m="1" x="550"/>
        <item m="1" x="284"/>
        <item m="1" x="422"/>
        <item m="1" x="433"/>
        <item x="94"/>
        <item m="1" x="282"/>
        <item m="1" x="756"/>
        <item x="22"/>
        <item m="1" x="619"/>
        <item m="1" x="620"/>
        <item m="1" x="617"/>
        <item m="1" x="418"/>
        <item m="1" x="514"/>
        <item m="1" x="336"/>
        <item m="1" x="855"/>
        <item m="1" x="557"/>
        <item x="89"/>
        <item m="1" x="613"/>
        <item m="1" x="585"/>
        <item x="34"/>
        <item m="1" x="841"/>
        <item m="1" x="362"/>
        <item m="1" x="940"/>
        <item m="1" x="1088"/>
        <item m="1" x="545"/>
        <item m="1" x="1097"/>
        <item m="1" x="272"/>
        <item m="1" x="424"/>
        <item m="1" x="320"/>
        <item m="1" x="607"/>
        <item m="1" x="197"/>
        <item m="1" x="439"/>
        <item m="1" x="584"/>
        <item m="1" x="428"/>
        <item m="1" x="795"/>
        <item m="1" x="519"/>
        <item x="87"/>
        <item x="70"/>
        <item x="71"/>
        <item x="72"/>
        <item m="1" x="381"/>
        <item x="73"/>
        <item m="1" x="370"/>
        <item m="1" x="292"/>
        <item m="1" x="247"/>
        <item x="88"/>
        <item m="1" x="534"/>
        <item x="32"/>
        <item m="1" x="597"/>
        <item m="1" x="348"/>
        <item m="1" x="602"/>
        <item m="1" x="230"/>
        <item m="1" x="554"/>
        <item m="1" x="559"/>
        <item m="1" x="285"/>
        <item m="1" x="263"/>
        <item m="1" x="374"/>
        <item m="1" x="549"/>
        <item m="1" x="567"/>
        <item m="1" x="167"/>
        <item m="1" x="533"/>
        <item m="1" x="464"/>
        <item m="1" x="413"/>
        <item m="1" x="539"/>
        <item m="1" x="578"/>
        <item m="1" x="324"/>
        <item x="79"/>
        <item m="1" x="564"/>
        <item x="51"/>
        <item m="1" x="175"/>
        <item m="1" x="394"/>
        <item m="1" x="434"/>
        <item x="90"/>
        <item m="1" x="173"/>
        <item x="52"/>
        <item x="53"/>
        <item m="1" x="475"/>
        <item x="91"/>
        <item m="1" x="459"/>
        <item m="1" x="530"/>
        <item m="1" x="279"/>
        <item x="136"/>
        <item m="1" x="524"/>
        <item x="133"/>
        <item m="1" x="242"/>
        <item m="1" x="243"/>
        <item m="1" x="526"/>
        <item m="1" x="185"/>
        <item m="1" x="227"/>
        <item m="1" x="264"/>
        <item x="55"/>
        <item m="1" x="485"/>
        <item m="1" x="212"/>
        <item m="1" x="244"/>
        <item m="1" x="211"/>
        <item x="129"/>
        <item x="128"/>
        <item m="1" x="188"/>
        <item m="1" x="503"/>
        <item m="1" x="389"/>
        <item m="1" x="486"/>
        <item x="111"/>
        <item m="1" x="310"/>
        <item m="1" x="406"/>
        <item x="33"/>
        <item m="1" x="388"/>
        <item m="1" x="442"/>
        <item m="1" x="371"/>
        <item m="1" x="421"/>
        <item m="1" x="328"/>
        <item m="1" x="351"/>
        <item m="1" x="420"/>
        <item m="1" x="252"/>
        <item m="1" x="386"/>
        <item m="1" x="377"/>
        <item m="1" x="207"/>
        <item x="21"/>
        <item m="1" x="337"/>
        <item x="1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54">
    <i>
      <x/>
      <x/>
    </i>
    <i>
      <x v="1"/>
      <x v="2"/>
    </i>
    <i>
      <x v="2"/>
      <x v="3"/>
    </i>
    <i>
      <x v="3"/>
      <x v="4"/>
    </i>
    <i>
      <x v="21"/>
      <x v="1025"/>
    </i>
    <i>
      <x v="55"/>
      <x v="850"/>
    </i>
    <i>
      <x v="56"/>
      <x v="265"/>
    </i>
    <i>
      <x v="60"/>
      <x v="211"/>
    </i>
    <i>
      <x v="62"/>
      <x v="626"/>
    </i>
    <i>
      <x v="63"/>
      <x v="627"/>
    </i>
    <i>
      <x v="64"/>
      <x v="628"/>
    </i>
    <i>
      <x v="65"/>
      <x v="652"/>
    </i>
    <i>
      <x v="68"/>
      <x v="173"/>
    </i>
    <i>
      <x v="69"/>
      <x v="174"/>
    </i>
    <i>
      <x v="70"/>
      <x v="232"/>
    </i>
    <i>
      <x v="77"/>
      <x v="240"/>
    </i>
    <i>
      <x v="80"/>
      <x v="242"/>
    </i>
    <i>
      <x v="86"/>
      <x v="250"/>
    </i>
    <i>
      <x v="122"/>
      <x v="277"/>
    </i>
    <i>
      <x v="144"/>
      <x v="148"/>
    </i>
    <i>
      <x v="148"/>
      <x v="631"/>
    </i>
    <i>
      <x v="152"/>
      <x v="312"/>
    </i>
    <i>
      <x v="153"/>
      <x v="1"/>
    </i>
    <i>
      <x v="193"/>
      <x v="369"/>
    </i>
    <i>
      <x v="194"/>
      <x v="7"/>
    </i>
    <i>
      <x v="203"/>
      <x v="1134"/>
    </i>
    <i>
      <x v="244"/>
      <x v="667"/>
    </i>
    <i>
      <x v="250"/>
      <x v="488"/>
    </i>
    <i>
      <x v="335"/>
      <x v="1065"/>
    </i>
    <i>
      <x v="355"/>
      <x v="826"/>
    </i>
    <i>
      <x v="356"/>
      <x v="827"/>
    </i>
    <i>
      <x v="358"/>
      <x v="829"/>
    </i>
    <i>
      <x v="379"/>
      <x v="52"/>
    </i>
    <i>
      <x v="386"/>
      <x v="920"/>
    </i>
    <i>
      <x v="393"/>
      <x v="935"/>
    </i>
    <i>
      <x v="397"/>
      <x v="951"/>
    </i>
    <i>
      <x v="406"/>
      <x v="978"/>
    </i>
    <i>
      <x v="407"/>
      <x v="984"/>
    </i>
    <i>
      <x v="423"/>
      <x v="1037"/>
    </i>
    <i>
      <x v="428"/>
      <x v="53"/>
    </i>
    <i>
      <x v="431"/>
      <x v="25"/>
    </i>
    <i>
      <x v="432"/>
      <x v="582"/>
    </i>
    <i>
      <x v="434"/>
      <x v="603"/>
    </i>
    <i>
      <x v="435"/>
      <x v="105"/>
    </i>
    <i>
      <x v="439"/>
      <x v="1086"/>
    </i>
    <i>
      <x v="442"/>
      <x v="1119"/>
    </i>
    <i>
      <x v="443"/>
      <x v="784"/>
    </i>
    <i>
      <x v="444"/>
      <x v="136"/>
    </i>
    <i>
      <x v="445"/>
      <x v="70"/>
    </i>
    <i>
      <x v="446"/>
      <x v="1122"/>
    </i>
    <i>
      <x v="447"/>
      <x v="570"/>
    </i>
    <i>
      <x v="448"/>
      <x v="385"/>
    </i>
    <i>
      <x v="449"/>
      <x v="71"/>
    </i>
    <i>
      <x v="450"/>
      <x v="69"/>
    </i>
    <i>
      <x v="451"/>
      <x v="575"/>
    </i>
    <i>
      <x v="453"/>
      <x v="1056"/>
    </i>
    <i>
      <x v="454"/>
      <x v="835"/>
    </i>
    <i>
      <x v="455"/>
      <x v="165"/>
    </i>
    <i>
      <x v="456"/>
      <x v="214"/>
    </i>
    <i>
      <x v="457"/>
      <x v="56"/>
    </i>
    <i>
      <x v="458"/>
      <x v="107"/>
    </i>
    <i>
      <x v="460"/>
      <x v="251"/>
    </i>
    <i>
      <x v="461"/>
      <x v="47"/>
    </i>
    <i>
      <x v="462"/>
      <x v="103"/>
    </i>
    <i>
      <x v="463"/>
      <x v="453"/>
    </i>
    <i>
      <x v="464"/>
      <x v="111"/>
    </i>
    <i>
      <x v="465"/>
      <x v="49"/>
    </i>
    <i>
      <x v="466"/>
      <x v="578"/>
    </i>
    <i>
      <x v="467"/>
      <x v="74"/>
    </i>
    <i>
      <x v="468"/>
      <x v="462"/>
    </i>
    <i>
      <x v="469"/>
      <x v="515"/>
    </i>
    <i>
      <x v="470"/>
      <x v="516"/>
    </i>
    <i>
      <x v="471"/>
      <x v="788"/>
    </i>
    <i>
      <x v="472"/>
      <x v="748"/>
    </i>
    <i>
      <x v="473"/>
      <x v="1054"/>
    </i>
    <i>
      <x v="474"/>
      <x v="55"/>
    </i>
    <i>
      <x v="475"/>
      <x v="974"/>
    </i>
    <i>
      <x v="476"/>
      <x v="1108"/>
    </i>
    <i>
      <x v="477"/>
      <x v="955"/>
    </i>
    <i>
      <x v="478"/>
      <x v="314"/>
    </i>
    <i>
      <x v="479"/>
      <x v="157"/>
    </i>
    <i>
      <x v="480"/>
      <x v="476"/>
    </i>
    <i>
      <x v="481"/>
      <x v="455"/>
    </i>
    <i>
      <x v="482"/>
      <x v="587"/>
    </i>
    <i>
      <x v="483"/>
      <x v="565"/>
    </i>
    <i>
      <x v="484"/>
      <x v="475"/>
    </i>
    <i>
      <x v="485"/>
      <x v="60"/>
    </i>
    <i>
      <x v="486"/>
      <x v="59"/>
    </i>
    <i>
      <x v="487"/>
      <x v="1101"/>
    </i>
    <i>
      <x v="488"/>
      <x v="417"/>
    </i>
    <i>
      <x v="489"/>
      <x v="782"/>
    </i>
    <i>
      <x v="490"/>
      <x v="797"/>
    </i>
    <i>
      <x v="491"/>
      <x v="774"/>
    </i>
    <i>
      <x v="492"/>
      <x v="494"/>
    </i>
    <i>
      <x v="493"/>
      <x v="470"/>
    </i>
    <i>
      <x v="494"/>
      <x v="513"/>
    </i>
    <i>
      <x v="495"/>
      <x v="514"/>
    </i>
    <i>
      <x v="496"/>
      <x v="473"/>
    </i>
    <i>
      <x v="497"/>
      <x v="553"/>
    </i>
    <i>
      <x v="498"/>
      <x v="1059"/>
    </i>
    <i>
      <x v="499"/>
      <x v="525"/>
    </i>
    <i>
      <x v="500"/>
      <x v="1063"/>
    </i>
    <i>
      <x v="501"/>
      <x v="1034"/>
    </i>
    <i>
      <x v="502"/>
      <x v="62"/>
    </i>
    <i>
      <x v="503"/>
      <x v="1114"/>
    </i>
    <i>
      <x v="504"/>
      <x v="1099"/>
    </i>
    <i>
      <x v="505"/>
      <x v="75"/>
    </i>
    <i>
      <x v="506"/>
      <x v="177"/>
    </i>
    <i>
      <x v="507"/>
      <x v="77"/>
    </i>
    <i>
      <x v="508"/>
      <x v="349"/>
    </i>
    <i>
      <x v="509"/>
      <x v="1092"/>
    </i>
    <i>
      <x v="510"/>
      <x v="1093"/>
    </i>
    <i>
      <x v="511"/>
      <x v="579"/>
    </i>
    <i>
      <x v="512"/>
      <x v="543"/>
    </i>
    <i>
      <x v="513"/>
      <x v="495"/>
    </i>
    <i>
      <x v="514"/>
      <x v="550"/>
    </i>
    <i>
      <x v="515"/>
      <x v="461"/>
    </i>
    <i>
      <x v="516"/>
      <x v="1055"/>
    </i>
    <i>
      <x v="517"/>
      <x v="1057"/>
    </i>
    <i>
      <x v="518"/>
      <x v="509"/>
    </i>
    <i>
      <x v="519"/>
      <x v="557"/>
    </i>
    <i>
      <x v="520"/>
      <x v="1084"/>
    </i>
    <i>
      <x v="521"/>
      <x v="878"/>
    </i>
    <i>
      <x v="522"/>
      <x v="836"/>
    </i>
    <i>
      <x v="523"/>
      <x v="846"/>
    </i>
    <i>
      <x v="524"/>
      <x v="898"/>
    </i>
    <i>
      <x v="525"/>
      <x v="1090"/>
    </i>
    <i>
      <x v="526"/>
      <x v="1095"/>
    </i>
    <i>
      <x v="527"/>
      <x v="915"/>
    </i>
    <i>
      <x v="528"/>
      <x v="1022"/>
    </i>
    <i>
      <x v="529"/>
      <x v="286"/>
    </i>
    <i>
      <x v="530"/>
      <x v="57"/>
    </i>
    <i>
      <x v="531"/>
      <x v="45"/>
    </i>
    <i>
      <x v="532"/>
      <x v="44"/>
    </i>
    <i>
      <x v="533"/>
      <x v="526"/>
    </i>
    <i>
      <x v="534"/>
      <x v="408"/>
    </i>
    <i>
      <x v="535"/>
      <x v="794"/>
    </i>
    <i>
      <x v="536"/>
      <x v="104"/>
    </i>
    <i>
      <x v="537"/>
      <x v="108"/>
    </i>
    <i>
      <x v="538"/>
      <x v="445"/>
    </i>
    <i>
      <x v="539"/>
      <x v="50"/>
    </i>
    <i>
      <x v="540"/>
      <x v="1136"/>
    </i>
    <i>
      <x v="541"/>
      <x v="218"/>
    </i>
    <i>
      <x v="542"/>
      <x v="219"/>
    </i>
    <i>
      <x v="543"/>
      <x v="224"/>
    </i>
    <i>
      <x v="544"/>
      <x v="1113"/>
    </i>
    <i>
      <x v="545"/>
      <x v="66"/>
    </i>
    <i>
      <x v="546"/>
      <x v="151"/>
    </i>
    <i>
      <x v="547"/>
      <x v="272"/>
    </i>
    <i>
      <x v="548"/>
      <x v="76"/>
    </i>
    <i>
      <x v="549"/>
      <x v="957"/>
    </i>
    <i>
      <x v="550"/>
      <x v="805"/>
    </i>
    <i>
      <x v="551"/>
      <x v="804"/>
    </i>
    <i>
      <x v="552"/>
      <x v="24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 numFmtId="165"/>
    <dataField name="Suma de Columna5" fld="4" baseField="0" baseItem="0" numFmtId="165"/>
  </dataFields>
  <formats count="1">
    <format dxfId="66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DB475" cacheId="42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34" firstHeaderRow="0" firstDataRow="1" firstDataCol="2"/>
  <pivotFields count="5">
    <pivotField axis="axisRow" compact="0" outline="0" showAll="0" defaultSubtotal="0">
      <items count="525">
        <item m="1" x="507"/>
        <item x="0"/>
        <item m="1" x="134"/>
        <item m="1" x="133"/>
        <item m="1" x="453"/>
        <item m="1" x="160"/>
        <item m="1" x="455"/>
        <item m="1" x="394"/>
        <item m="1" x="348"/>
        <item m="1" x="442"/>
        <item m="1" x="266"/>
        <item m="1" x="275"/>
        <item m="1" x="516"/>
        <item m="1" x="467"/>
        <item m="1" x="238"/>
        <item m="1" x="210"/>
        <item m="1" x="212"/>
        <item m="1" x="283"/>
        <item m="1" x="291"/>
        <item m="1" x="504"/>
        <item m="1" x="476"/>
        <item m="1" x="363"/>
        <item m="1" x="415"/>
        <item m="1" x="493"/>
        <item m="1" x="498"/>
        <item m="1" x="174"/>
        <item m="1" x="519"/>
        <item m="1" x="499"/>
        <item m="1" x="205"/>
        <item m="1" x="368"/>
        <item m="1" x="426"/>
        <item m="1" x="276"/>
        <item m="1" x="224"/>
        <item x="15"/>
        <item m="1" x="407"/>
        <item m="1" x="153"/>
        <item m="1" x="147"/>
        <item x="22"/>
        <item m="1" x="135"/>
        <item x="3"/>
        <item m="1" x="168"/>
        <item x="19"/>
        <item x="1"/>
        <item x="18"/>
        <item m="1" x="144"/>
        <item m="1" x="496"/>
        <item m="1" x="175"/>
        <item m="1" x="189"/>
        <item m="1" x="514"/>
        <item m="1" x="281"/>
        <item m="1" x="485"/>
        <item m="1" x="364"/>
        <item m="1" x="215"/>
        <item m="1" x="505"/>
        <item x="17"/>
        <item m="1" x="379"/>
        <item m="1" x="477"/>
        <item m="1" x="475"/>
        <item m="1" x="469"/>
        <item m="1" x="312"/>
        <item m="1" x="389"/>
        <item m="1" x="376"/>
        <item m="1" x="279"/>
        <item m="1" x="209"/>
        <item m="1" x="445"/>
        <item m="1" x="314"/>
        <item m="1" x="277"/>
        <item m="1" x="518"/>
        <item m="1" x="351"/>
        <item m="1" x="182"/>
        <item m="1" x="170"/>
        <item m="1" x="343"/>
        <item m="1" x="521"/>
        <item m="1" x="484"/>
        <item m="1" x="382"/>
        <item x="16"/>
        <item m="1" x="480"/>
        <item m="1" x="428"/>
        <item m="1" x="409"/>
        <item m="1" x="433"/>
        <item m="1" x="439"/>
        <item m="1" x="416"/>
        <item m="1" x="136"/>
        <item m="1" x="184"/>
        <item x="4"/>
        <item m="1" x="245"/>
        <item m="1" x="141"/>
        <item m="1" x="139"/>
        <item m="1" x="138"/>
        <item m="1" x="207"/>
        <item m="1" x="422"/>
        <item x="21"/>
        <item x="20"/>
        <item m="1" x="338"/>
        <item m="1" x="459"/>
        <item m="1" x="305"/>
        <item m="1" x="196"/>
        <item m="1" x="156"/>
        <item m="1" x="201"/>
        <item m="1" x="203"/>
        <item m="1" x="180"/>
        <item m="1" x="181"/>
        <item m="1" x="228"/>
        <item m="1" x="262"/>
        <item m="1" x="267"/>
        <item m="1" x="232"/>
        <item m="1" x="471"/>
        <item m="1" x="474"/>
        <item m="1" x="458"/>
        <item m="1" x="355"/>
        <item m="1" x="466"/>
        <item m="1" x="479"/>
        <item x="6"/>
        <item m="1" x="197"/>
        <item x="23"/>
        <item m="1" x="214"/>
        <item m="1" x="177"/>
        <item m="1" x="339"/>
        <item x="2"/>
        <item m="1" x="169"/>
        <item m="1" x="191"/>
        <item m="1" x="145"/>
        <item m="1" x="329"/>
        <item m="1" x="452"/>
        <item m="1" x="512"/>
        <item m="1" x="322"/>
        <item m="1" x="468"/>
        <item m="1" x="487"/>
        <item m="1" x="506"/>
        <item m="1" x="405"/>
        <item x="10"/>
        <item m="1" x="140"/>
        <item m="1" x="202"/>
        <item m="1" x="298"/>
        <item m="1" x="236"/>
        <item m="1" x="327"/>
        <item m="1" x="328"/>
        <item m="1" x="374"/>
        <item m="1" x="286"/>
        <item m="1" x="443"/>
        <item m="1" x="161"/>
        <item m="1" x="420"/>
        <item m="1" x="424"/>
        <item m="1" x="502"/>
        <item m="1" x="413"/>
        <item m="1" x="208"/>
        <item m="1" x="460"/>
        <item m="1" x="462"/>
        <item m="1" x="369"/>
        <item m="1" x="143"/>
        <item m="1" x="271"/>
        <item m="1" x="488"/>
        <item m="1" x="491"/>
        <item m="1" x="333"/>
        <item m="1" x="231"/>
        <item m="1" x="158"/>
        <item m="1" x="421"/>
        <item m="1" x="509"/>
        <item x="9"/>
        <item m="1" x="146"/>
        <item m="1" x="261"/>
        <item m="1" x="250"/>
        <item m="1" x="239"/>
        <item m="1" x="331"/>
        <item m="1" x="383"/>
        <item m="1" x="457"/>
        <item m="1" x="387"/>
        <item m="1" x="392"/>
        <item m="1" x="315"/>
        <item m="1" x="163"/>
        <item m="1" x="434"/>
        <item m="1" x="308"/>
        <item m="1" x="137"/>
        <item m="1" x="213"/>
        <item m="1" x="523"/>
        <item m="1" x="260"/>
        <item m="1" x="515"/>
        <item m="1" x="472"/>
        <item m="1" x="247"/>
        <item m="1" x="309"/>
        <item m="1" x="326"/>
        <item m="1" x="340"/>
        <item m="1" x="402"/>
        <item m="1" x="447"/>
        <item m="1" x="337"/>
        <item m="1" x="451"/>
        <item m="1" x="482"/>
        <item m="1" x="500"/>
        <item m="1" x="356"/>
        <item m="1" x="513"/>
        <item m="1" x="399"/>
        <item m="1" x="200"/>
        <item m="1" x="346"/>
        <item x="37"/>
        <item m="1" x="263"/>
        <item m="1" x="206"/>
        <item m="1" x="292"/>
        <item m="1" x="395"/>
        <item m="1" x="246"/>
        <item x="36"/>
        <item m="1" x="256"/>
        <item m="1" x="173"/>
        <item m="1" x="230"/>
        <item x="11"/>
        <item m="1" x="418"/>
        <item m="1" x="306"/>
        <item m="1" x="427"/>
        <item m="1" x="446"/>
        <item m="1" x="381"/>
        <item m="1" x="494"/>
        <item m="1" x="162"/>
        <item m="1" x="148"/>
        <item m="1" x="268"/>
        <item m="1" x="324"/>
        <item m="1" x="483"/>
        <item m="1" x="172"/>
        <item m="1" x="448"/>
        <item m="1" x="511"/>
        <item m="1" x="350"/>
        <item m="1" x="396"/>
        <item m="1" x="495"/>
        <item m="1" x="280"/>
        <item m="1" x="478"/>
        <item m="1" x="440"/>
        <item m="1" x="223"/>
        <item m="1" x="403"/>
        <item m="1" x="311"/>
        <item m="1" x="520"/>
        <item m="1" x="372"/>
        <item m="1" x="164"/>
        <item m="1" x="178"/>
        <item m="1" x="352"/>
        <item m="1" x="370"/>
        <item m="1" x="217"/>
        <item m="1" x="296"/>
        <item m="1" x="225"/>
        <item m="1" x="265"/>
        <item m="1" x="176"/>
        <item x="25"/>
        <item m="1" x="204"/>
        <item m="1" x="380"/>
        <item m="1" x="490"/>
        <item m="1" x="517"/>
        <item m="1" x="316"/>
        <item m="1" x="417"/>
        <item m="1" x="332"/>
        <item m="1" x="423"/>
        <item m="1" x="325"/>
        <item m="1" x="159"/>
        <item m="1" x="242"/>
        <item m="1" x="390"/>
        <item m="1" x="270"/>
        <item m="1" x="349"/>
        <item m="1" x="366"/>
        <item m="1" x="318"/>
        <item x="39"/>
        <item m="1" x="243"/>
        <item m="1" x="341"/>
        <item m="1" x="303"/>
        <item m="1" x="388"/>
        <item m="1" x="248"/>
        <item m="1" x="185"/>
        <item m="1" x="278"/>
        <item m="1" x="253"/>
        <item m="1" x="199"/>
        <item m="1" x="234"/>
        <item m="1" x="244"/>
        <item m="1" x="492"/>
        <item m="1" x="307"/>
        <item m="1" x="360"/>
        <item m="1" x="330"/>
        <item m="1" x="473"/>
        <item x="5"/>
        <item m="1" x="501"/>
        <item m="1" x="449"/>
        <item m="1" x="187"/>
        <item x="29"/>
        <item m="1" x="150"/>
        <item m="1" x="284"/>
        <item m="1" x="320"/>
        <item m="1" x="398"/>
        <item m="1" x="438"/>
        <item m="1" x="470"/>
        <item m="1" x="411"/>
        <item m="1" x="450"/>
        <item m="1" x="362"/>
        <item m="1" x="419"/>
        <item m="1" x="486"/>
        <item m="1" x="386"/>
        <item m="1" x="401"/>
        <item m="1" x="233"/>
        <item m="1" x="317"/>
        <item m="1" x="358"/>
        <item m="1" x="302"/>
        <item m="1" x="408"/>
        <item m="1" x="425"/>
        <item m="1" x="391"/>
        <item m="1" x="357"/>
        <item m="1" x="334"/>
        <item m="1" x="295"/>
        <item m="1" x="149"/>
        <item m="1" x="171"/>
        <item m="1" x="258"/>
        <item m="1" x="373"/>
        <item m="1" x="414"/>
        <item m="1" x="465"/>
        <item m="1" x="359"/>
        <item m="1" x="464"/>
        <item m="1" x="503"/>
        <item m="1" x="294"/>
        <item m="1" x="198"/>
        <item x="31"/>
        <item m="1" x="229"/>
        <item m="1" x="430"/>
        <item m="1" x="454"/>
        <item m="1" x="345"/>
        <item m="1" x="429"/>
        <item m="1" x="481"/>
        <item m="1" x="510"/>
        <item m="1" x="524"/>
        <item m="1" x="410"/>
        <item m="1" x="463"/>
        <item m="1" x="344"/>
        <item m="1" x="436"/>
        <item m="1" x="456"/>
        <item m="1" x="489"/>
        <item x="38"/>
        <item m="1" x="154"/>
        <item m="1" x="288"/>
        <item m="1" x="497"/>
        <item m="1" x="259"/>
        <item m="1" x="319"/>
        <item m="1" x="508"/>
        <item m="1" x="461"/>
        <item m="1" x="441"/>
        <item m="1" x="404"/>
        <item m="1" x="155"/>
        <item x="13"/>
        <item m="1" x="142"/>
        <item m="1" x="226"/>
        <item m="1" x="444"/>
        <item x="12"/>
        <item m="1" x="287"/>
        <item m="1" x="432"/>
        <item m="1" x="157"/>
        <item m="1" x="183"/>
        <item m="1" x="354"/>
        <item m="1" x="522"/>
        <item m="1" x="293"/>
        <item m="1" x="336"/>
        <item x="24"/>
        <item m="1" x="254"/>
        <item m="1" x="412"/>
        <item m="1" x="310"/>
        <item m="1" x="377"/>
        <item m="1" x="385"/>
        <item m="1" x="269"/>
        <item m="1" x="165"/>
        <item m="1" x="323"/>
        <item m="1" x="188"/>
        <item m="1" x="375"/>
        <item m="1" x="347"/>
        <item m="1" x="289"/>
        <item m="1" x="365"/>
        <item m="1" x="384"/>
        <item m="1" x="342"/>
        <item m="1" x="437"/>
        <item m="1" x="431"/>
        <item m="1" x="353"/>
        <item x="30"/>
        <item m="1" x="406"/>
        <item m="1" x="397"/>
        <item m="1" x="400"/>
        <item m="1" x="367"/>
        <item m="1" x="257"/>
        <item m="1" x="393"/>
        <item x="84"/>
        <item m="1" x="190"/>
        <item m="1" x="272"/>
        <item x="85"/>
        <item m="1" x="282"/>
        <item m="1" x="221"/>
        <item m="1" x="299"/>
        <item x="14"/>
        <item m="1" x="186"/>
        <item m="1" x="300"/>
        <item m="1" x="297"/>
        <item m="1" x="273"/>
        <item x="35"/>
        <item m="1" x="222"/>
        <item m="1" x="192"/>
        <item m="1" x="235"/>
        <item m="1" x="361"/>
        <item m="1" x="167"/>
        <item x="33"/>
        <item m="1" x="194"/>
        <item m="1" x="285"/>
        <item m="1" x="151"/>
        <item m="1" x="195"/>
        <item x="26"/>
        <item x="27"/>
        <item m="1" x="255"/>
        <item m="1" x="435"/>
        <item x="34"/>
        <item m="1" x="321"/>
        <item m="1" x="378"/>
        <item m="1" x="371"/>
        <item m="1" x="166"/>
        <item m="1" x="274"/>
        <item m="1" x="193"/>
        <item m="1" x="227"/>
        <item m="1" x="335"/>
        <item m="1" x="240"/>
        <item x="7"/>
        <item x="28"/>
        <item m="1" x="152"/>
        <item x="8"/>
        <item m="1" x="251"/>
        <item m="1" x="301"/>
        <item m="1" x="220"/>
        <item m="1" x="219"/>
        <item x="91"/>
        <item m="1" x="290"/>
        <item m="1" x="252"/>
        <item m="1" x="313"/>
        <item x="71"/>
        <item m="1" x="304"/>
        <item m="1" x="249"/>
        <item m="1" x="237"/>
        <item m="1" x="218"/>
        <item x="102"/>
        <item m="1" x="264"/>
        <item m="1" x="179"/>
        <item m="1" x="241"/>
        <item x="98"/>
        <item x="99"/>
        <item x="32"/>
        <item x="90"/>
        <item x="81"/>
        <item x="54"/>
        <item x="56"/>
        <item m="1" x="216"/>
        <item x="89"/>
        <item x="92"/>
        <item x="114"/>
        <item m="1" x="211"/>
        <item x="101"/>
        <item x="86"/>
        <item x="57"/>
        <item x="61"/>
        <item x="55"/>
        <item x="66"/>
        <item x="58"/>
        <item x="100"/>
        <item x="131"/>
        <item x="42"/>
        <item x="80"/>
        <item x="94"/>
        <item x="111"/>
        <item x="115"/>
        <item x="50"/>
        <item x="65"/>
        <item x="40"/>
        <item x="47"/>
        <item x="49"/>
        <item x="51"/>
        <item x="62"/>
        <item x="83"/>
        <item x="117"/>
        <item x="120"/>
        <item x="123"/>
        <item x="127"/>
        <item x="132"/>
        <item x="43"/>
        <item x="46"/>
        <item x="48"/>
        <item x="53"/>
        <item x="70"/>
        <item x="82"/>
        <item x="105"/>
        <item x="108"/>
        <item x="110"/>
        <item x="121"/>
        <item x="124"/>
        <item x="125"/>
        <item x="128"/>
        <item x="41"/>
        <item x="44"/>
        <item x="45"/>
        <item x="52"/>
        <item x="59"/>
        <item x="60"/>
        <item x="63"/>
        <item x="64"/>
        <item x="67"/>
        <item x="68"/>
        <item x="69"/>
        <item x="72"/>
        <item x="73"/>
        <item x="74"/>
        <item x="75"/>
        <item x="76"/>
        <item x="77"/>
        <item x="78"/>
        <item x="79"/>
        <item x="87"/>
        <item x="88"/>
        <item x="93"/>
        <item x="95"/>
        <item x="96"/>
        <item x="97"/>
        <item x="103"/>
        <item x="104"/>
        <item x="106"/>
        <item x="107"/>
        <item x="109"/>
        <item x="112"/>
        <item x="113"/>
        <item x="116"/>
        <item x="118"/>
        <item x="119"/>
        <item x="122"/>
        <item x="126"/>
        <item x="129"/>
        <item x="1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4">
        <item m="1" x="145"/>
        <item x="0"/>
        <item x="1"/>
        <item m="1" x="632"/>
        <item m="1" x="144"/>
        <item m="1" x="870"/>
        <item m="1" x="1087"/>
        <item m="1" x="794"/>
        <item m="1" x="761"/>
        <item m="1" x="810"/>
        <item m="1" x="857"/>
        <item m="1" x="420"/>
        <item m="1" x="447"/>
        <item m="1" x="448"/>
        <item m="1" x="1004"/>
        <item m="1" x="323"/>
        <item x="70"/>
        <item x="71"/>
        <item m="1" x="1067"/>
        <item m="1" x="500"/>
        <item m="1" x="396"/>
        <item m="1" x="1081"/>
        <item m="1" x="1082"/>
        <item m="1" x="1098"/>
        <item m="1" x="792"/>
        <item m="1" x="847"/>
        <item m="1" x="789"/>
        <item m="1" x="711"/>
        <item m="1" x="708"/>
        <item m="1" x="997"/>
        <item m="1" x="837"/>
        <item m="1" x="764"/>
        <item m="1" x="886"/>
        <item x="90"/>
        <item m="1" x="324"/>
        <item x="103"/>
        <item x="100"/>
        <item x="84"/>
        <item x="85"/>
        <item x="91"/>
        <item m="1" x="170"/>
        <item m="1" x="212"/>
        <item m="1" x="249"/>
        <item m="1" x="922"/>
        <item m="1" x="395"/>
        <item m="1" x="661"/>
        <item m="1" x="694"/>
        <item m="1" x="615"/>
        <item x="113"/>
        <item x="115"/>
        <item m="1" x="536"/>
        <item x="111"/>
        <item x="119"/>
        <item x="125"/>
        <item x="123"/>
        <item x="126"/>
        <item x="127"/>
        <item m="1" x="489"/>
        <item m="1" x="872"/>
        <item m="1" x="877"/>
        <item m="1" x="1026"/>
        <item m="1" x="734"/>
        <item m="1" x="650"/>
        <item m="1" x="765"/>
        <item m="1" x="286"/>
        <item m="1" x="285"/>
        <item m="1" x="733"/>
        <item m="1" x="357"/>
        <item m="1" x="383"/>
        <item m="1" x="811"/>
        <item m="1" x="880"/>
        <item m="1" x="833"/>
        <item m="1" x="1104"/>
        <item m="1" x="726"/>
        <item m="1" x="578"/>
        <item m="1" x="1014"/>
        <item m="1" x="1065"/>
        <item m="1" x="347"/>
        <item m="1" x="845"/>
        <item m="1" x="1093"/>
        <item m="1" x="984"/>
        <item m="1" x="133"/>
        <item x="18"/>
        <item m="1" x="226"/>
        <item m="1" x="940"/>
        <item m="1" x="705"/>
        <item m="1" x="884"/>
        <item x="95"/>
        <item m="1" x="373"/>
        <item x="92"/>
        <item x="89"/>
        <item x="101"/>
        <item x="102"/>
        <item m="1" x="481"/>
        <item x="97"/>
        <item x="96"/>
        <item m="1" x="311"/>
        <item x="86"/>
        <item x="87"/>
        <item x="88"/>
        <item m="1" x="975"/>
        <item m="1" x="174"/>
        <item m="1" x="452"/>
        <item m="1" x="1061"/>
        <item m="1" x="961"/>
        <item m="1" x="932"/>
        <item m="1" x="798"/>
        <item m="1" x="1013"/>
        <item m="1" x="974"/>
        <item m="1" x="600"/>
        <item m="1" x="1107"/>
        <item m="1" x="519"/>
        <item m="1" x="382"/>
        <item m="1" x="502"/>
        <item m="1" x="686"/>
        <item m="1" x="571"/>
        <item m="1" x="540"/>
        <item m="1" x="777"/>
        <item x="39"/>
        <item m="1" x="944"/>
        <item m="1" x="277"/>
        <item m="1" x="753"/>
        <item x="81"/>
        <item m="1" x="953"/>
        <item m="1" x="950"/>
        <item m="1" x="247"/>
        <item m="1" x="359"/>
        <item m="1" x="314"/>
        <item x="4"/>
        <item m="1" x="313"/>
        <item m="1" x="859"/>
        <item m="1" x="802"/>
        <item m="1" x="803"/>
        <item m="1" x="861"/>
        <item x="40"/>
        <item m="1" x="699"/>
        <item m="1" x="853"/>
        <item m="1" x="850"/>
        <item m="1" x="722"/>
        <item m="1" x="1031"/>
        <item m="1" x="809"/>
        <item m="1" x="674"/>
        <item m="1" x="655"/>
        <item m="1" x="783"/>
        <item m="1" x="1085"/>
        <item m="1" x="608"/>
        <item m="1" x="283"/>
        <item m="1" x="933"/>
        <item m="1" x="807"/>
        <item m="1" x="134"/>
        <item m="1" x="307"/>
        <item m="1" x="806"/>
        <item m="1" x="881"/>
        <item m="1" x="644"/>
        <item m="1" x="822"/>
        <item m="1" x="485"/>
        <item m="1" x="738"/>
        <item m="1" x="417"/>
        <item m="1" x="1080"/>
        <item m="1" x="878"/>
        <item m="1" x="1012"/>
        <item m="1" x="255"/>
        <item x="25"/>
        <item x="37"/>
        <item m="1" x="348"/>
        <item m="1" x="501"/>
        <item x="110"/>
        <item m="1" x="633"/>
        <item m="1" x="862"/>
        <item m="1" x="808"/>
        <item m="1" x="276"/>
        <item m="1" x="274"/>
        <item m="1" x="1047"/>
        <item m="1" x="967"/>
        <item m="1" x="147"/>
        <item x="22"/>
        <item m="1" x="799"/>
        <item m="1" x="135"/>
        <item x="3"/>
        <item x="83"/>
        <item m="1" x="909"/>
        <item m="1" x="823"/>
        <item m="1" x="319"/>
        <item x="19"/>
        <item m="1" x="352"/>
        <item x="94"/>
        <item x="93"/>
        <item m="1" x="648"/>
        <item m="1" x="745"/>
        <item m="1" x="511"/>
        <item m="1" x="990"/>
        <item m="1" x="948"/>
        <item m="1" x="364"/>
        <item m="1" x="1011"/>
        <item m="1" x="572"/>
        <item m="1" x="669"/>
        <item m="1" x="812"/>
        <item m="1" x="508"/>
        <item m="1" x="695"/>
        <item m="1" x="626"/>
        <item m="1" x="293"/>
        <item m="1" x="251"/>
        <item m="1" x="664"/>
        <item m="1" x="682"/>
        <item x="16"/>
        <item m="1" x="329"/>
        <item m="1" x="287"/>
        <item m="1" x="288"/>
        <item m="1" x="289"/>
        <item m="1" x="136"/>
        <item m="1" x="295"/>
        <item m="1" x="1112"/>
        <item m="1" x="700"/>
        <item m="1" x="667"/>
        <item x="117"/>
        <item m="1" x="1111"/>
        <item m="1" x="282"/>
        <item x="106"/>
        <item m="1" x="1090"/>
        <item m="1" x="176"/>
        <item x="109"/>
        <item x="112"/>
        <item x="114"/>
        <item m="1" x="616"/>
        <item m="1" x="770"/>
        <item m="1" x="537"/>
        <item x="108"/>
        <item m="1" x="175"/>
        <item m="1" x="641"/>
        <item m="1" x="723"/>
        <item m="1" x="875"/>
        <item m="1" x="205"/>
        <item m="1" x="905"/>
        <item m="1" x="1094"/>
        <item m="1" x="673"/>
        <item m="1" x="972"/>
        <item x="21"/>
        <item x="20"/>
        <item m="1" x="617"/>
        <item m="1" x="737"/>
        <item m="1" x="562"/>
        <item m="1" x="333"/>
        <item m="1" x="192"/>
        <item m="1" x="800"/>
        <item m="1" x="736"/>
        <item m="1" x="291"/>
        <item m="1" x="292"/>
        <item m="1" x="769"/>
        <item m="1" x="1072"/>
        <item m="1" x="885"/>
        <item m="1" x="716"/>
        <item m="1" x="209"/>
        <item m="1" x="389"/>
        <item m="1" x="477"/>
        <item m="1" x="488"/>
        <item m="1" x="976"/>
        <item m="1" x="665"/>
        <item m="1" x="587"/>
        <item m="1" x="740"/>
        <item m="1" x="180"/>
        <item m="1" x="179"/>
        <item m="1" x="340"/>
        <item m="1" x="218"/>
        <item m="1" x="275"/>
        <item m="1" x="1062"/>
        <item m="1" x="1105"/>
        <item m="1" x="334"/>
        <item x="23"/>
        <item m="1" x="363"/>
        <item m="1" x="258"/>
        <item m="1" x="628"/>
        <item x="2"/>
        <item m="1" x="250"/>
        <item m="1" x="684"/>
        <item m="1" x="729"/>
        <item x="124"/>
        <item m="1" x="1059"/>
        <item m="1" x="773"/>
        <item m="1" x="973"/>
        <item m="1" x="605"/>
        <item m="1" x="676"/>
        <item m="1" x="869"/>
        <item m="1" x="222"/>
        <item m="1" x="977"/>
        <item m="1" x="240"/>
        <item m="1" x="671"/>
        <item m="1" x="821"/>
        <item x="128"/>
        <item m="1" x="996"/>
        <item m="1" x="658"/>
        <item m="1" x="1091"/>
        <item m="1" x="525"/>
        <item x="129"/>
        <item m="1" x="575"/>
        <item m="1" x="593"/>
        <item m="1" x="308"/>
        <item m="1" x="980"/>
        <item m="1" x="554"/>
        <item m="1" x="409"/>
        <item m="1" x="604"/>
        <item m="1" x="1009"/>
        <item m="1" x="1022"/>
        <item m="1" x="227"/>
        <item m="1" x="487"/>
        <item m="1" x="549"/>
        <item m="1" x="883"/>
        <item m="1" x="992"/>
        <item m="1" x="1073"/>
        <item m="1" x="278"/>
        <item m="1" x="835"/>
        <item m="1" x="169"/>
        <item m="1" x="407"/>
        <item m="1" x="458"/>
        <item m="1" x="956"/>
        <item m="1" x="825"/>
        <item m="1" x="820"/>
        <item m="1" x="418"/>
        <item m="1" x="598"/>
        <item m="1" x="1079"/>
        <item m="1" x="876"/>
        <item m="1" x="229"/>
        <item m="1" x="381"/>
        <item m="1" x="614"/>
        <item m="1" x="610"/>
        <item m="1" x="935"/>
        <item m="1" x="868"/>
        <item m="1" x="1077"/>
        <item m="1" x="1049"/>
        <item m="1" x="735"/>
        <item m="1" x="854"/>
        <item m="1" x="791"/>
        <item m="1" x="315"/>
        <item m="1" x="752"/>
        <item x="41"/>
        <item m="1" x="424"/>
        <item m="1" x="1038"/>
        <item m="1" x="1084"/>
        <item m="1" x="866"/>
        <item m="1" x="851"/>
        <item m="1" x="630"/>
        <item m="1" x="248"/>
        <item m="1" x="1063"/>
        <item m="1" x="1052"/>
        <item m="1" x="374"/>
        <item m="1" x="657"/>
        <item m="1" x="495"/>
        <item m="1" x="826"/>
        <item m="1" x="939"/>
        <item m="1" x="1060"/>
        <item m="1" x="730"/>
        <item m="1" x="456"/>
        <item m="1" x="476"/>
        <item m="1" x="524"/>
        <item m="1" x="211"/>
        <item m="1" x="194"/>
        <item m="1" x="793"/>
        <item m="1" x="639"/>
        <item m="1" x="966"/>
        <item m="1" x="146"/>
        <item m="1" x="629"/>
        <item m="1" x="955"/>
        <item m="1" x="280"/>
        <item m="1" x="171"/>
        <item m="1" x="438"/>
        <item m="1" x="406"/>
        <item m="1" x="470"/>
        <item m="1" x="450"/>
        <item m="1" x="607"/>
        <item m="1" x="1088"/>
        <item m="1" x="1096"/>
        <item m="1" x="1043"/>
        <item m="1" x="691"/>
        <item m="1" x="818"/>
        <item m="1" x="746"/>
        <item m="1" x="567"/>
        <item m="1" x="353"/>
        <item m="1" x="1086"/>
        <item m="1" x="754"/>
        <item m="1" x="362"/>
        <item m="1" x="662"/>
        <item m="1" x="208"/>
        <item m="1" x="760"/>
        <item m="1" x="750"/>
        <item m="1" x="432"/>
        <item m="1" x="568"/>
        <item m="1" x="599"/>
        <item m="1" x="465"/>
        <item m="1" x="970"/>
        <item m="1" x="178"/>
        <item m="1" x="915"/>
        <item m="1" x="215"/>
        <item m="1" x="214"/>
        <item m="1" x="1102"/>
        <item m="1" x="814"/>
        <item m="1" x="763"/>
        <item m="1" x="860"/>
        <item m="1" x="1089"/>
        <item m="1" x="867"/>
        <item m="1" x="768"/>
        <item m="1" x="787"/>
        <item x="61"/>
        <item x="68"/>
        <item m="1" x="1021"/>
        <item m="1" x="778"/>
        <item m="1" x="852"/>
        <item m="1" x="1007"/>
        <item m="1" x="157"/>
        <item x="65"/>
        <item m="1" x="960"/>
        <item m="1" x="782"/>
        <item m="1" x="281"/>
        <item m="1" x="210"/>
        <item m="1" x="731"/>
        <item m="1" x="478"/>
        <item m="1" x="349"/>
        <item x="121"/>
        <item m="1" x="262"/>
        <item x="49"/>
        <item m="1" x="1030"/>
        <item m="1" x="742"/>
        <item m="1" x="202"/>
        <item m="1" x="303"/>
        <item m="1" x="893"/>
        <item m="1" x="918"/>
        <item m="1" x="431"/>
        <item x="36"/>
        <item m="1" x="254"/>
        <item m="1" x="393"/>
        <item m="1" x="1058"/>
        <item m="1" x="989"/>
        <item m="1" x="269"/>
        <item m="1" x="201"/>
        <item m="1" x="498"/>
        <item m="1" x="937"/>
        <item m="1" x="1035"/>
        <item m="1" x="701"/>
        <item m="1" x="714"/>
        <item m="1" x="817"/>
        <item m="1" x="781"/>
        <item m="1" x="836"/>
        <item m="1" x="1018"/>
        <item x="45"/>
        <item x="43"/>
        <item m="1" x="692"/>
        <item m="1" x="148"/>
        <item m="1" x="815"/>
        <item m="1" x="272"/>
        <item m="1" x="491"/>
        <item m="1" x="597"/>
        <item m="1" x="253"/>
        <item m="1" x="725"/>
        <item m="1" x="207"/>
        <item m="1" x="784"/>
        <item x="42"/>
        <item m="1" x="844"/>
        <item m="1" x="1066"/>
        <item m="1" x="685"/>
        <item m="1" x="651"/>
        <item m="1" x="656"/>
        <item m="1" x="896"/>
        <item m="1" x="509"/>
        <item m="1" x="670"/>
        <item m="1" x="788"/>
        <item m="1" x="755"/>
        <item m="1" x="668"/>
        <item m="1" x="379"/>
        <item m="1" x="816"/>
        <item m="1" x="756"/>
        <item m="1" x="336"/>
        <item m="1" x="652"/>
        <item x="62"/>
        <item m="1" x="659"/>
        <item m="1" x="239"/>
        <item m="1" x="273"/>
        <item m="1" x="749"/>
        <item m="1" x="834"/>
        <item m="1" x="1034"/>
        <item m="1" x="979"/>
        <item m="1" x="842"/>
        <item m="1" x="216"/>
        <item m="1" x="394"/>
        <item m="1" x="259"/>
        <item m="1" x="637"/>
        <item m="1" x="415"/>
        <item x="66"/>
        <item m="1" x="1083"/>
        <item m="1" x="1010"/>
        <item m="1" x="405"/>
        <item m="1" x="1108"/>
        <item m="1" x="552"/>
        <item m="1" x="482"/>
        <item m="1" x="257"/>
        <item m="1" x="675"/>
        <item m="1" x="270"/>
        <item m="1" x="271"/>
        <item m="1" x="1029"/>
        <item m="1" x="677"/>
        <item m="1" x="892"/>
        <item m="1" x="642"/>
        <item m="1" x="931"/>
        <item m="1" x="580"/>
        <item m="1" x="159"/>
        <item m="1" x="1020"/>
        <item m="1" x="339"/>
        <item m="1" x="609"/>
        <item x="130"/>
        <item m="1" x="515"/>
        <item m="1" x="962"/>
        <item m="1" x="1027"/>
        <item m="1" x="771"/>
        <item m="1" x="894"/>
        <item m="1" x="483"/>
        <item m="1" x="441"/>
        <item m="1" x="1070"/>
        <item m="1" x="195"/>
        <item m="1" x="1045"/>
        <item m="1" x="839"/>
        <item m="1" x="439"/>
        <item x="56"/>
        <item x="59"/>
        <item m="1" x="160"/>
        <item m="1" x="1071"/>
        <item x="58"/>
        <item x="57"/>
        <item x="60"/>
        <item m="1" x="397"/>
        <item m="1" x="204"/>
        <item x="54"/>
        <item m="1" x="427"/>
        <item m="1" x="471"/>
        <item m="1" x="494"/>
        <item m="1" x="774"/>
        <item m="1" x="995"/>
        <item m="1" x="766"/>
        <item m="1" x="743"/>
        <item m="1" x="585"/>
        <item x="46"/>
        <item x="47"/>
        <item x="44"/>
        <item m="1" x="653"/>
        <item m="1" x="197"/>
        <item m="1" x="647"/>
        <item m="1" x="840"/>
        <item m="1" x="618"/>
        <item m="1" x="237"/>
        <item m="1" x="408"/>
        <item m="1" x="900"/>
        <item m="1" x="911"/>
        <item m="1" x="1048"/>
        <item m="1" x="425"/>
        <item m="1" x="930"/>
        <item m="1" x="1042"/>
        <item m="1" x="827"/>
        <item m="1" x="560"/>
        <item m="1" x="504"/>
        <item x="55"/>
        <item m="1" x="831"/>
        <item m="1" x="888"/>
        <item m="1" x="904"/>
        <item m="1" x="436"/>
        <item m="1" x="1039"/>
        <item m="1" x="442"/>
        <item m="1" x="687"/>
        <item x="63"/>
        <item m="1" x="1025"/>
        <item m="1" x="943"/>
        <item m="1" x="296"/>
        <item m="1" x="505"/>
        <item m="1" x="342"/>
        <item m="1" x="934"/>
        <item m="1" x="707"/>
        <item m="1" x="401"/>
        <item m="1" x="426"/>
        <item m="1" x="715"/>
        <item m="1" x="889"/>
        <item m="1" x="981"/>
        <item m="1" x="161"/>
        <item m="1" x="796"/>
        <item m="1" x="887"/>
        <item m="1" x="564"/>
        <item m="1" x="196"/>
        <item m="1" x="643"/>
        <item m="1" x="304"/>
        <item m="1" x="586"/>
        <item m="1" x="310"/>
        <item m="1" x="606"/>
        <item m="1" x="1033"/>
        <item x="5"/>
        <item m="1" x="514"/>
        <item m="1" x="786"/>
        <item m="1" x="897"/>
        <item m="1" x="1075"/>
        <item m="1" x="986"/>
        <item m="1" x="242"/>
        <item m="1" x="243"/>
        <item m="1" x="1000"/>
        <item m="1" x="858"/>
        <item m="1" x="298"/>
        <item m="1" x="926"/>
        <item m="1" x="679"/>
        <item x="29"/>
        <item m="1" x="1097"/>
        <item m="1" x="841"/>
        <item m="1" x="140"/>
        <item m="1" x="772"/>
        <item m="1" x="762"/>
        <item m="1" x="139"/>
        <item x="9"/>
        <item x="11"/>
        <item m="1" x="355"/>
        <item m="1" x="141"/>
        <item m="1" x="864"/>
        <item m="1" x="703"/>
        <item m="1" x="672"/>
        <item m="1" x="1057"/>
        <item m="1" x="517"/>
        <item m="1" x="985"/>
        <item m="1" x="588"/>
        <item m="1" x="899"/>
        <item m="1" x="137"/>
        <item m="1" x="646"/>
        <item m="1" x="666"/>
        <item m="1" x="965"/>
        <item m="1" x="946"/>
        <item m="1" x="898"/>
        <item x="10"/>
        <item m="1" x="138"/>
        <item m="1" x="189"/>
        <item m="1" x="728"/>
        <item m="1" x="945"/>
        <item m="1" x="236"/>
        <item x="67"/>
        <item m="1" x="709"/>
        <item m="1" x="1064"/>
        <item m="1" x="437"/>
        <item m="1" x="775"/>
        <item m="1" x="910"/>
        <item m="1" x="1015"/>
        <item m="1" x="830"/>
        <item m="1" x="344"/>
        <item m="1" x="346"/>
        <item m="1" x="838"/>
        <item m="1" x="698"/>
        <item m="1" x="434"/>
        <item m="1" x="1100"/>
        <item m="1" x="929"/>
        <item m="1" x="1068"/>
        <item m="1" x="203"/>
        <item m="1" x="921"/>
        <item m="1" x="865"/>
        <item m="1" x="400"/>
        <item m="1" x="228"/>
        <item m="1" x="988"/>
        <item m="1" x="584"/>
        <item m="1" x="681"/>
        <item m="1" x="1036"/>
        <item m="1" x="1110"/>
        <item m="1" x="558"/>
        <item x="80"/>
        <item m="1" x="1101"/>
        <item m="1" x="663"/>
        <item m="1" x="351"/>
        <item m="1" x="343"/>
        <item m="1" x="345"/>
        <item m="1" x="941"/>
        <item m="1" x="592"/>
        <item m="1" x="411"/>
        <item m="1" x="801"/>
        <item m="1" x="748"/>
        <item m="1" x="895"/>
        <item m="1" x="987"/>
        <item m="1" x="1044"/>
        <item m="1" x="433"/>
        <item x="6"/>
        <item m="1" x="430"/>
        <item m="1" x="611"/>
        <item m="1" x="634"/>
        <item m="1" x="640"/>
        <item m="1" x="925"/>
        <item m="1" x="795"/>
        <item m="1" x="252"/>
        <item m="1" x="550"/>
        <item m="1" x="819"/>
        <item m="1" x="350"/>
        <item m="1" x="279"/>
        <item m="1" x="951"/>
        <item m="1" x="467"/>
        <item m="1" x="158"/>
        <item m="1" x="759"/>
        <item m="1" x="813"/>
        <item m="1" x="874"/>
        <item m="1" x="805"/>
        <item m="1" x="906"/>
        <item m="1" x="713"/>
        <item m="1" x="1095"/>
        <item m="1" x="1003"/>
        <item m="1" x="416"/>
        <item m="1" x="1023"/>
        <item m="1" x="739"/>
        <item m="1" x="660"/>
        <item m="1" x="863"/>
        <item m="1" x="645"/>
        <item m="1" x="261"/>
        <item x="48"/>
        <item m="1" x="535"/>
        <item m="1" x="855"/>
        <item m="1" x="290"/>
        <item m="1" x="224"/>
        <item m="1" x="982"/>
        <item m="1" x="924"/>
        <item m="1" x="168"/>
        <item x="132"/>
        <item m="1" x="449"/>
        <item m="1" x="542"/>
        <item m="1" x="335"/>
        <item m="1" x="167"/>
        <item m="1" x="702"/>
        <item m="1" x="710"/>
        <item m="1" x="390"/>
        <item m="1" x="565"/>
        <item x="50"/>
        <item m="1" x="1008"/>
        <item m="1" x="1002"/>
        <item m="1" x="779"/>
        <item m="1" x="474"/>
        <item m="1" x="185"/>
        <item m="1" x="238"/>
        <item m="1" x="619"/>
        <item m="1" x="1028"/>
        <item m="1" x="620"/>
        <item m="1" x="903"/>
        <item m="1" x="200"/>
        <item m="1" x="1074"/>
        <item m="1" x="649"/>
        <item m="1" x="991"/>
        <item m="1" x="220"/>
        <item m="1" x="712"/>
        <item x="99"/>
        <item m="1" x="741"/>
        <item m="1" x="968"/>
        <item m="1" x="744"/>
        <item m="1" x="327"/>
        <item m="1" x="245"/>
        <item m="1" x="155"/>
        <item m="1" x="625"/>
        <item m="1" x="1078"/>
        <item m="1" x="1037"/>
        <item m="1" x="172"/>
        <item m="1" x="173"/>
        <item m="1" x="459"/>
        <item m="1" x="182"/>
        <item m="1" x="246"/>
        <item m="1" x="581"/>
        <item m="1" x="1050"/>
        <item m="1" x="627"/>
        <item m="1" x="183"/>
        <item m="1" x="284"/>
        <item m="1" x="268"/>
        <item m="1" x="927"/>
        <item m="1" x="181"/>
        <item m="1" x="506"/>
        <item m="1" x="328"/>
        <item m="1" x="828"/>
        <item m="1" x="186"/>
        <item m="1" x="221"/>
        <item x="38"/>
        <item m="1" x="693"/>
        <item m="1" x="547"/>
        <item m="1" x="190"/>
        <item m="1" x="531"/>
        <item m="1" x="468"/>
        <item m="1" x="848"/>
        <item m="1" x="591"/>
        <item m="1" x="1019"/>
        <item m="1" x="747"/>
        <item m="1" x="457"/>
        <item m="1" x="404"/>
        <item m="1" x="871"/>
        <item m="1" x="594"/>
        <item m="1" x="631"/>
        <item m="1" x="636"/>
        <item m="1" x="958"/>
        <item m="1" x="191"/>
        <item x="13"/>
        <item m="1" x="843"/>
        <item m="1" x="142"/>
        <item m="1" x="384"/>
        <item x="12"/>
        <item m="1" x="530"/>
        <item x="74"/>
        <item x="73"/>
        <item m="1" x="193"/>
        <item x="69"/>
        <item m="1" x="882"/>
        <item m="1" x="1069"/>
        <item m="1" x="318"/>
        <item m="1" x="294"/>
        <item m="1" x="413"/>
        <item m="1" x="225"/>
        <item m="1" x="422"/>
        <item m="1" x="317"/>
        <item x="15"/>
        <item m="1" x="780"/>
        <item m="1" x="928"/>
        <item m="1" x="541"/>
        <item m="1" x="613"/>
        <item m="1" x="188"/>
        <item x="24"/>
        <item m="1" x="1076"/>
        <item m="1" x="920"/>
        <item m="1" x="1056"/>
        <item m="1" x="919"/>
        <item m="1" x="1032"/>
        <item x="105"/>
        <item m="1" x="462"/>
        <item m="1" x="678"/>
        <item m="1" x="544"/>
        <item m="1" x="566"/>
        <item m="1" x="583"/>
        <item m="1" x="1053"/>
        <item m="1" x="993"/>
        <item m="1" x="143"/>
        <item m="1" x="256"/>
        <item m="1" x="563"/>
        <item m="1" x="466"/>
        <item m="1" x="963"/>
        <item m="1" x="654"/>
        <item m="1" x="299"/>
        <item m="1" x="366"/>
        <item m="1" x="569"/>
        <item m="1" x="998"/>
        <item m="1" x="1092"/>
        <item m="1" x="829"/>
        <item m="1" x="891"/>
        <item m="1" x="758"/>
        <item m="1" x="469"/>
        <item m="1" x="942"/>
        <item m="1" x="300"/>
        <item m="1" x="492"/>
        <item m="1" x="231"/>
        <item m="1" x="907"/>
        <item m="1" x="596"/>
        <item m="1" x="372"/>
        <item m="1" x="856"/>
        <item m="1" x="356"/>
        <item m="1" x="717"/>
        <item m="1" x="1041"/>
        <item m="1" x="579"/>
        <item m="1" x="532"/>
        <item m="1" x="724"/>
        <item m="1" x="1109"/>
        <item m="1" x="338"/>
        <item m="1" x="213"/>
        <item m="1" x="824"/>
        <item m="1" x="1051"/>
        <item x="72"/>
        <item x="79"/>
        <item m="1" x="1054"/>
        <item m="1" x="969"/>
        <item m="1" x="721"/>
        <item m="1" x="1016"/>
        <item x="77"/>
        <item m="1" x="879"/>
        <item m="1" x="849"/>
        <item m="1" x="1046"/>
        <item m="1" x="689"/>
        <item m="1" x="440"/>
        <item m="1" x="570"/>
        <item m="1" x="309"/>
        <item m="1" x="954"/>
        <item m="1" x="704"/>
        <item m="1" x="706"/>
        <item m="1" x="1103"/>
        <item x="75"/>
        <item m="1" x="912"/>
        <item m="1" x="1040"/>
        <item m="1" x="947"/>
        <item x="30"/>
        <item m="1" x="719"/>
        <item m="1" x="959"/>
        <item m="1" x="688"/>
        <item m="1" x="804"/>
        <item m="1" x="902"/>
        <item m="1" x="472"/>
        <item m="1" x="1024"/>
        <item m="1" x="507"/>
        <item m="1" x="873"/>
        <item m="1" x="757"/>
        <item x="76"/>
        <item m="1" x="1005"/>
        <item m="1" x="1055"/>
        <item m="1" x="301"/>
        <item m="1" x="890"/>
        <item m="1" x="496"/>
        <item m="1" x="683"/>
        <item m="1" x="486"/>
        <item m="1" x="512"/>
        <item m="1" x="403"/>
        <item m="1" x="217"/>
        <item m="1" x="720"/>
        <item m="1" x="690"/>
        <item m="1" x="790"/>
        <item m="1" x="375"/>
        <item m="1" x="555"/>
        <item m="1" x="971"/>
        <item x="122"/>
        <item x="14"/>
        <item m="1" x="994"/>
        <item m="1" x="1099"/>
        <item m="1" x="306"/>
        <item m="1" x="999"/>
        <item m="1" x="297"/>
        <item m="1" x="732"/>
        <item m="1" x="556"/>
        <item m="1" x="553"/>
        <item m="1" x="497"/>
        <item m="1" x="184"/>
        <item m="1" x="727"/>
        <item m="1" x="398"/>
        <item m="1" x="371"/>
        <item m="1" x="914"/>
        <item m="1" x="957"/>
        <item x="35"/>
        <item m="1" x="391"/>
        <item m="1" x="952"/>
        <item m="1" x="316"/>
        <item m="1" x="696"/>
        <item m="1" x="983"/>
        <item m="1" x="162"/>
        <item m="1" x="376"/>
        <item m="1" x="576"/>
        <item m="1" x="938"/>
        <item m="1" x="908"/>
        <item m="1" x="321"/>
        <item m="1" x="1006"/>
        <item m="1" x="624"/>
        <item m="1" x="1001"/>
        <item m="1" x="751"/>
        <item m="1" x="1113"/>
        <item m="1" x="936"/>
        <item m="1" x="233"/>
        <item x="53"/>
        <item m="1" x="325"/>
        <item m="1" x="267"/>
        <item m="1" x="244"/>
        <item m="1" x="490"/>
        <item x="33"/>
        <item m="1" x="767"/>
        <item m="1" x="638"/>
        <item m="1" x="464"/>
        <item m="1" x="785"/>
        <item m="1" x="776"/>
        <item m="1" x="538"/>
        <item m="1" x="697"/>
        <item m="1" x="518"/>
        <item m="1" x="964"/>
        <item m="1" x="377"/>
        <item m="1" x="380"/>
        <item x="131"/>
        <item m="1" x="332"/>
        <item x="26"/>
        <item x="27"/>
        <item m="1" x="463"/>
        <item m="1" x="1106"/>
        <item m="1" x="451"/>
        <item m="1" x="916"/>
        <item x="34"/>
        <item m="1" x="680"/>
        <item m="1" x="484"/>
        <item m="1" x="595"/>
        <item m="1" x="528"/>
        <item m="1" x="589"/>
        <item m="1" x="522"/>
        <item m="1" x="331"/>
        <item m="1" x="917"/>
        <item m="1" x="263"/>
        <item m="1" x="264"/>
        <item m="1" x="978"/>
        <item m="1" x="718"/>
        <item m="1" x="445"/>
        <item m="1" x="949"/>
        <item m="1" x="601"/>
        <item m="1" x="797"/>
        <item m="1" x="435"/>
        <item m="1" x="499"/>
        <item m="1" x="322"/>
        <item m="1" x="198"/>
        <item m="1" x="154"/>
        <item m="1" x="510"/>
        <item m="1" x="265"/>
        <item m="1" x="153"/>
        <item m="1" x="199"/>
        <item m="1" x="832"/>
        <item m="1" x="551"/>
        <item m="1" x="1017"/>
        <item m="1" x="320"/>
        <item m="1" x="354"/>
        <item m="1" x="516"/>
        <item m="1" x="460"/>
        <item m="1" x="461"/>
        <item m="1" x="475"/>
        <item m="1" x="388"/>
        <item m="1" x="612"/>
        <item x="82"/>
        <item m="1" x="330"/>
        <item m="1" x="419"/>
        <item x="17"/>
        <item m="1" x="621"/>
        <item m="1" x="622"/>
        <item m="1" x="623"/>
        <item m="1" x="151"/>
        <item m="1" x="513"/>
        <item m="1" x="358"/>
        <item m="1" x="539"/>
        <item m="1" x="165"/>
        <item x="7"/>
        <item m="1" x="590"/>
        <item x="28"/>
        <item m="1" x="152"/>
        <item m="1" x="923"/>
        <item x="78"/>
        <item m="1" x="548"/>
        <item m="1" x="901"/>
        <item x="8"/>
        <item m="1" x="846"/>
        <item m="1" x="341"/>
        <item m="1" x="635"/>
        <item m="1" x="913"/>
        <item m="1" x="526"/>
        <item m="1" x="302"/>
        <item m="1" x="454"/>
        <item m="1" x="520"/>
        <item m="1" x="493"/>
        <item m="1" x="557"/>
        <item m="1" x="206"/>
        <item m="1" x="164"/>
        <item m="1" x="480"/>
        <item m="1" x="369"/>
        <item m="1" x="149"/>
        <item m="1" x="150"/>
        <item x="31"/>
        <item m="1" x="534"/>
        <item m="1" x="602"/>
        <item m="1" x="545"/>
        <item m="1" x="559"/>
        <item m="1" x="177"/>
        <item m="1" x="546"/>
        <item m="1" x="361"/>
        <item m="1" x="368"/>
        <item m="1" x="533"/>
        <item m="1" x="603"/>
        <item m="1" x="412"/>
        <item m="1" x="232"/>
        <item m="1" x="402"/>
        <item m="1" x="455"/>
        <item x="64"/>
        <item m="1" x="561"/>
        <item m="1" x="574"/>
        <item m="1" x="453"/>
        <item m="1" x="156"/>
        <item m="1" x="543"/>
        <item m="1" x="305"/>
        <item m="1" x="577"/>
        <item m="1" x="573"/>
        <item m="1" x="582"/>
        <item m="1" x="163"/>
        <item m="1" x="443"/>
        <item x="51"/>
        <item m="1" x="234"/>
        <item m="1" x="414"/>
        <item m="1" x="266"/>
        <item m="1" x="337"/>
        <item m="1" x="241"/>
        <item m="1" x="473"/>
        <item m="1" x="166"/>
        <item m="1" x="410"/>
        <item m="1" x="428"/>
        <item x="116"/>
        <item x="118"/>
        <item m="1" x="527"/>
        <item m="1" x="529"/>
        <item x="120"/>
        <item m="1" x="367"/>
        <item m="1" x="523"/>
        <item x="104"/>
        <item x="107"/>
        <item m="1" x="219"/>
        <item m="1" x="387"/>
        <item m="1" x="326"/>
        <item m="1" x="386"/>
        <item m="1" x="521"/>
        <item m="1" x="235"/>
        <item m="1" x="223"/>
        <item m="1" x="503"/>
        <item m="1" x="479"/>
        <item m="1" x="260"/>
        <item x="52"/>
        <item m="1" x="423"/>
        <item x="98"/>
        <item m="1" x="392"/>
        <item m="1" x="421"/>
        <item m="1" x="446"/>
        <item x="32"/>
        <item m="1" x="444"/>
        <item m="1" x="429"/>
        <item m="1" x="312"/>
        <item m="1" x="385"/>
        <item m="1" x="399"/>
        <item m="1" x="378"/>
        <item m="1" x="365"/>
        <item m="1" x="360"/>
        <item m="1" x="370"/>
        <item m="1" x="230"/>
        <item m="1" x="1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3">
    <i>
      <x v="1"/>
      <x v="1"/>
    </i>
    <i>
      <x v="33"/>
      <x v="801"/>
    </i>
    <i>
      <x v="37"/>
      <x v="175"/>
    </i>
    <i>
      <x v="39"/>
      <x v="178"/>
    </i>
    <i>
      <x v="41"/>
      <x v="183"/>
    </i>
    <i>
      <x v="42"/>
      <x v="2"/>
    </i>
    <i>
      <x v="43"/>
      <x v="82"/>
    </i>
    <i>
      <x v="54"/>
      <x v="1006"/>
    </i>
    <i>
      <x v="75"/>
      <x v="204"/>
    </i>
    <i>
      <x v="84"/>
      <x v="128"/>
    </i>
    <i>
      <x v="91"/>
      <x v="236"/>
    </i>
    <i>
      <x v="92"/>
      <x v="237"/>
    </i>
    <i>
      <x v="112"/>
      <x v="673"/>
    </i>
    <i>
      <x v="114"/>
      <x v="267"/>
    </i>
    <i>
      <x v="118"/>
      <x v="271"/>
    </i>
    <i>
      <x v="130"/>
      <x v="625"/>
    </i>
    <i>
      <x v="158"/>
      <x v="607"/>
    </i>
    <i>
      <x v="193"/>
      <x v="163"/>
    </i>
    <i>
      <x v="199"/>
      <x v="425"/>
    </i>
    <i>
      <x v="203"/>
      <x v="608"/>
    </i>
    <i>
      <x v="238"/>
      <x v="162"/>
    </i>
    <i>
      <x v="255"/>
      <x v="118"/>
    </i>
    <i>
      <x v="272"/>
      <x v="587"/>
    </i>
    <i>
      <x v="276"/>
      <x v="600"/>
    </i>
    <i>
      <x v="311"/>
      <x v="1040"/>
    </i>
    <i>
      <x v="326"/>
      <x v="765"/>
    </i>
    <i>
      <x v="337"/>
      <x v="783"/>
    </i>
    <i>
      <x v="341"/>
      <x v="787"/>
    </i>
    <i>
      <x v="350"/>
      <x v="807"/>
    </i>
    <i>
      <x v="369"/>
      <x v="877"/>
    </i>
    <i>
      <x v="376"/>
      <x v="37"/>
    </i>
    <i>
      <x v="379"/>
      <x v="38"/>
    </i>
    <i>
      <x v="383"/>
      <x v="906"/>
    </i>
    <i>
      <x v="388"/>
      <x v="922"/>
    </i>
    <i>
      <x v="394"/>
      <x v="946"/>
    </i>
    <i>
      <x v="399"/>
      <x v="960"/>
    </i>
    <i>
      <x v="400"/>
      <x v="961"/>
    </i>
    <i>
      <x v="403"/>
      <x v="966"/>
    </i>
    <i>
      <x v="413"/>
      <x v="1015"/>
    </i>
    <i>
      <x v="414"/>
      <x v="1017"/>
    </i>
    <i>
      <x v="416"/>
      <x v="1023"/>
    </i>
    <i>
      <x v="421"/>
      <x v="39"/>
    </i>
    <i>
      <x v="425"/>
      <x v="17"/>
    </i>
    <i>
      <x v="430"/>
      <x v="92"/>
    </i>
    <i>
      <x v="434"/>
      <x v="1098"/>
    </i>
    <i>
      <x v="435"/>
      <x v="737"/>
    </i>
    <i>
      <x v="436"/>
      <x v="1102"/>
    </i>
    <i>
      <x v="437"/>
      <x v="33"/>
    </i>
    <i>
      <x v="438"/>
      <x v="122"/>
    </i>
    <i>
      <x v="439"/>
      <x v="527"/>
    </i>
    <i>
      <x v="440"/>
      <x v="518"/>
    </i>
    <i>
      <x v="442"/>
      <x v="90"/>
    </i>
    <i>
      <x v="443"/>
      <x v="89"/>
    </i>
    <i>
      <x v="444"/>
      <x v="222"/>
    </i>
    <i>
      <x v="446"/>
      <x v="91"/>
    </i>
    <i>
      <x v="447"/>
      <x v="97"/>
    </i>
    <i>
      <x v="448"/>
      <x v="523"/>
    </i>
    <i>
      <x v="449"/>
      <x v="400"/>
    </i>
    <i>
      <x v="450"/>
      <x v="555"/>
    </i>
    <i>
      <x v="451"/>
      <x v="484"/>
    </i>
    <i>
      <x v="452"/>
      <x v="522"/>
    </i>
    <i>
      <x v="453"/>
      <x v="36"/>
    </i>
    <i>
      <x v="454"/>
      <x v="958"/>
    </i>
    <i>
      <x v="455"/>
      <x v="453"/>
    </i>
    <i>
      <x v="456"/>
      <x v="658"/>
    </i>
    <i>
      <x v="457"/>
      <x v="185"/>
    </i>
    <i>
      <x v="458"/>
      <x v="51"/>
    </i>
    <i>
      <x v="459"/>
      <x v="49"/>
    </i>
    <i>
      <x v="460"/>
      <x v="720"/>
    </i>
    <i>
      <x v="461"/>
      <x v="407"/>
    </i>
    <i>
      <x v="462"/>
      <x v="134"/>
    </i>
    <i>
      <x v="463"/>
      <x v="537"/>
    </i>
    <i>
      <x v="464"/>
      <x v="417"/>
    </i>
    <i>
      <x v="465"/>
      <x v="1067"/>
    </i>
    <i>
      <x v="466"/>
      <x v="470"/>
    </i>
    <i>
      <x v="467"/>
      <x v="179"/>
    </i>
    <i>
      <x v="468"/>
      <x v="214"/>
    </i>
    <i>
      <x v="469"/>
      <x v="1081"/>
    </i>
    <i>
      <x v="470"/>
      <x v="54"/>
    </i>
    <i>
      <x v="471"/>
      <x v="56"/>
    </i>
    <i>
      <x v="472"/>
      <x v="711"/>
    </i>
    <i>
      <x v="473"/>
      <x v="442"/>
    </i>
    <i>
      <x v="474"/>
      <x v="536"/>
    </i>
    <i>
      <x v="475"/>
      <x v="703"/>
    </i>
    <i>
      <x v="476"/>
      <x v="941"/>
    </i>
    <i>
      <x v="477"/>
      <x v="16"/>
    </i>
    <i>
      <x v="478"/>
      <x v="1003"/>
    </i>
    <i>
      <x v="479"/>
      <x v="813"/>
    </i>
    <i>
      <x v="480"/>
      <x v="226"/>
    </i>
    <i>
      <x v="481"/>
      <x v="166"/>
    </i>
    <i>
      <x v="482"/>
      <x v="415"/>
    </i>
    <i>
      <x v="483"/>
      <x v="275"/>
    </i>
    <i>
      <x v="484"/>
      <x v="53"/>
    </i>
    <i>
      <x v="485"/>
      <x v="287"/>
    </i>
    <i>
      <x v="486"/>
      <x v="333"/>
    </i>
    <i>
      <x v="487"/>
      <x v="538"/>
    </i>
    <i>
      <x v="488"/>
      <x v="441"/>
    </i>
    <i>
      <x v="489"/>
      <x v="1096"/>
    </i>
    <i>
      <x v="490"/>
      <x v="519"/>
    </i>
    <i>
      <x v="491"/>
      <x v="524"/>
    </i>
    <i>
      <x v="492"/>
      <x v="563"/>
    </i>
    <i>
      <x v="493"/>
      <x v="1055"/>
    </i>
    <i>
      <x v="494"/>
      <x v="631"/>
    </i>
    <i>
      <x v="495"/>
      <x v="401"/>
    </i>
    <i>
      <x v="496"/>
      <x v="792"/>
    </i>
    <i>
      <x v="497"/>
      <x v="855"/>
    </i>
    <i>
      <x v="498"/>
      <x v="790"/>
    </i>
    <i>
      <x v="499"/>
      <x v="789"/>
    </i>
    <i>
      <x v="500"/>
      <x v="873"/>
    </i>
    <i>
      <x v="501"/>
      <x v="888"/>
    </i>
    <i>
      <x v="502"/>
      <x v="861"/>
    </i>
    <i>
      <x v="503"/>
      <x v="1020"/>
    </i>
    <i>
      <x v="504"/>
      <x v="856"/>
    </i>
    <i>
      <x v="505"/>
      <x v="98"/>
    </i>
    <i>
      <x v="506"/>
      <x v="99"/>
    </i>
    <i>
      <x v="507"/>
      <x v="186"/>
    </i>
    <i>
      <x v="508"/>
      <x v="87"/>
    </i>
    <i>
      <x v="509"/>
      <x v="95"/>
    </i>
    <i>
      <x v="510"/>
      <x v="94"/>
    </i>
    <i>
      <x v="511"/>
      <x v="35"/>
    </i>
    <i>
      <x v="512"/>
      <x v="1084"/>
    </i>
    <i>
      <x v="513"/>
      <x v="217"/>
    </i>
    <i>
      <x v="514"/>
      <x v="1085"/>
    </i>
    <i>
      <x v="515"/>
      <x v="220"/>
    </i>
    <i>
      <x v="516"/>
      <x v="221"/>
    </i>
    <i>
      <x v="517"/>
      <x v="48"/>
    </i>
    <i>
      <x v="518"/>
      <x v="1077"/>
    </i>
    <i>
      <x v="519"/>
      <x v="1078"/>
    </i>
    <i>
      <x v="520"/>
      <x v="52"/>
    </i>
    <i>
      <x v="521"/>
      <x v="905"/>
    </i>
    <i>
      <x v="522"/>
      <x v="55"/>
    </i>
    <i>
      <x v="523"/>
      <x v="292"/>
    </i>
    <i>
      <x v="524"/>
      <x v="50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 numFmtId="2"/>
    <dataField name="Suma de Columna5" fld="4" baseField="0" baseItem="0" numFmtId="2"/>
  </dataFields>
  <formats count="2">
    <format dxfId="63">
      <pivotArea outline="0" fieldPosition="0">
        <references count="1">
          <reference field="4294967294" count="2" selected="0">
            <x v="1"/>
            <x v="2"/>
          </reference>
        </references>
      </pivotArea>
    </format>
    <format dxfId="62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DB476" cacheId="4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142" firstHeaderRow="0" firstDataRow="1" firstDataCol="2"/>
  <pivotFields count="5">
    <pivotField axis="axisRow" compact="0" outline="0" showAll="0" defaultSubtotal="0">
      <items count="538">
        <item m="1" x="162"/>
        <item x="0"/>
        <item m="1" x="461"/>
        <item m="1" x="224"/>
        <item m="1" x="401"/>
        <item m="1" x="265"/>
        <item m="1" x="200"/>
        <item m="1" x="192"/>
        <item m="1" x="517"/>
        <item m="1" x="282"/>
        <item m="1" x="481"/>
        <item m="1" x="423"/>
        <item m="1" x="501"/>
        <item m="1" x="507"/>
        <item m="1" x="361"/>
        <item m="1" x="286"/>
        <item m="1" x="273"/>
        <item m="1" x="452"/>
        <item m="1" x="226"/>
        <item m="1" x="312"/>
        <item m="1" x="535"/>
        <item m="1" x="530"/>
        <item m="1" x="357"/>
        <item m="1" x="459"/>
        <item m="1" x="442"/>
        <item m="1" x="231"/>
        <item m="1" x="478"/>
        <item m="1" x="348"/>
        <item m="1" x="496"/>
        <item m="1" x="534"/>
        <item m="1" x="471"/>
        <item x="11"/>
        <item m="1" x="194"/>
        <item m="1" x="451"/>
        <item x="8"/>
        <item x="7"/>
        <item x="9"/>
        <item m="1" x="472"/>
        <item m="1" x="522"/>
        <item m="1" x="375"/>
        <item m="1" x="149"/>
        <item x="5"/>
        <item m="1" x="148"/>
        <item m="1" x="147"/>
        <item m="1" x="146"/>
        <item m="1" x="428"/>
        <item m="1" x="195"/>
        <item x="15"/>
        <item m="1" x="339"/>
        <item m="1" x="467"/>
        <item m="1" x="311"/>
        <item x="17"/>
        <item m="1" x="170"/>
        <item m="1" x="158"/>
        <item m="1" x="171"/>
        <item m="1" x="204"/>
        <item m="1" x="141"/>
        <item m="1" x="142"/>
        <item m="1" x="169"/>
        <item m="1" x="157"/>
        <item m="1" x="168"/>
        <item x="1"/>
        <item m="1" x="161"/>
        <item m="1" x="257"/>
        <item m="1" x="434"/>
        <item m="1" x="457"/>
        <item m="1" x="453"/>
        <item m="1" x="463"/>
        <item m="1" x="421"/>
        <item m="1" x="188"/>
        <item m="1" x="354"/>
        <item m="1" x="449"/>
        <item m="1" x="287"/>
        <item m="1" x="388"/>
        <item m="1" x="334"/>
        <item x="18"/>
        <item m="1" x="225"/>
        <item m="1" x="528"/>
        <item m="1" x="221"/>
        <item m="1" x="477"/>
        <item m="1" x="407"/>
        <item m="1" x="216"/>
        <item m="1" x="299"/>
        <item x="12"/>
        <item m="1" x="479"/>
        <item m="1" x="368"/>
        <item m="1" x="317"/>
        <item m="1" x="382"/>
        <item m="1" x="180"/>
        <item m="1" x="532"/>
        <item m="1" x="184"/>
        <item m="1" x="210"/>
        <item m="1" x="213"/>
        <item m="1" x="500"/>
        <item m="1" x="373"/>
        <item m="1" x="433"/>
        <item m="1" x="460"/>
        <item m="1" x="274"/>
        <item m="1" x="332"/>
        <item m="1" x="470"/>
        <item m="1" x="212"/>
        <item m="1" x="362"/>
        <item m="1" x="450"/>
        <item m="1" x="476"/>
        <item m="1" x="469"/>
        <item m="1" x="328"/>
        <item m="1" x="345"/>
        <item m="1" x="427"/>
        <item m="1" x="193"/>
        <item m="1" x="143"/>
        <item m="1" x="438"/>
        <item m="1" x="505"/>
        <item m="1" x="395"/>
        <item m="1" x="494"/>
        <item m="1" x="387"/>
        <item m="1" x="490"/>
        <item m="1" x="435"/>
        <item m="1" x="412"/>
        <item m="1" x="417"/>
        <item m="1" x="439"/>
        <item m="1" x="430"/>
        <item m="1" x="443"/>
        <item m="1" x="446"/>
        <item m="1" x="420"/>
        <item m="1" x="424"/>
        <item x="2"/>
        <item m="1" x="185"/>
        <item m="1" x="215"/>
        <item m="1" x="145"/>
        <item m="1" x="374"/>
        <item m="1" x="390"/>
        <item m="1" x="165"/>
        <item m="1" x="410"/>
        <item m="1" x="519"/>
        <item m="1" x="208"/>
        <item m="1" x="153"/>
        <item m="1" x="351"/>
        <item m="1" x="315"/>
        <item m="1" x="402"/>
        <item m="1" x="509"/>
        <item m="1" x="511"/>
        <item m="1" x="516"/>
        <item m="1" x="485"/>
        <item m="1" x="486"/>
        <item m="1" x="488"/>
        <item m="1" x="484"/>
        <item m="1" x="178"/>
        <item m="1" x="245"/>
        <item m="1" x="290"/>
        <item m="1" x="525"/>
        <item m="1" x="363"/>
        <item x="6"/>
        <item m="1" x="383"/>
        <item x="13"/>
        <item m="1" x="163"/>
        <item m="1" x="189"/>
        <item m="1" x="159"/>
        <item m="1" x="250"/>
        <item m="1" x="154"/>
        <item m="1" x="279"/>
        <item m="1" x="489"/>
        <item m="1" x="413"/>
        <item m="1" x="456"/>
        <item x="14"/>
        <item m="1" x="206"/>
        <item m="1" x="294"/>
        <item m="1" x="381"/>
        <item m="1" x="520"/>
        <item m="1" x="190"/>
        <item m="1" x="207"/>
        <item m="1" x="321"/>
        <item m="1" x="329"/>
        <item m="1" x="483"/>
        <item m="1" x="512"/>
        <item m="1" x="260"/>
        <item m="1" x="164"/>
        <item x="16"/>
        <item m="1" x="527"/>
        <item m="1" x="235"/>
        <item m="1" x="247"/>
        <item m="1" x="466"/>
        <item m="1" x="508"/>
        <item m="1" x="370"/>
        <item m="1" x="458"/>
        <item m="1" x="242"/>
        <item m="1" x="244"/>
        <item m="1" x="243"/>
        <item m="1" x="281"/>
        <item m="1" x="440"/>
        <item m="1" x="492"/>
        <item m="1" x="211"/>
        <item m="1" x="199"/>
        <item m="1" x="256"/>
        <item m="1" x="367"/>
        <item m="1" x="270"/>
        <item m="1" x="510"/>
        <item m="1" x="482"/>
        <item m="1" x="497"/>
        <item m="1" x="236"/>
        <item m="1" x="342"/>
        <item x="3"/>
        <item m="1" x="179"/>
        <item m="1" x="513"/>
        <item m="1" x="432"/>
        <item m="1" x="392"/>
        <item m="1" x="251"/>
        <item m="1" x="314"/>
        <item m="1" x="378"/>
        <item m="1" x="144"/>
        <item m="1" x="261"/>
        <item m="1" x="262"/>
        <item m="1" x="237"/>
        <item m="1" x="268"/>
        <item m="1" x="220"/>
        <item m="1" x="173"/>
        <item m="1" x="429"/>
        <item m="1" x="296"/>
        <item m="1" x="309"/>
        <item m="1" x="295"/>
        <item m="1" x="313"/>
        <item m="1" x="152"/>
        <item m="1" x="371"/>
        <item m="1" x="284"/>
        <item m="1" x="297"/>
        <item m="1" x="385"/>
        <item m="1" x="176"/>
        <item m="1" x="203"/>
        <item m="1" x="355"/>
        <item m="1" x="504"/>
        <item m="1" x="495"/>
        <item m="1" x="364"/>
        <item m="1" x="369"/>
        <item m="1" x="487"/>
        <item m="1" x="291"/>
        <item m="1" x="352"/>
        <item m="1" x="276"/>
        <item m="1" x="399"/>
        <item m="1" x="259"/>
        <item m="1" x="454"/>
        <item m="1" x="455"/>
        <item m="1" x="526"/>
        <item m="1" x="386"/>
        <item m="1" x="359"/>
        <item m="1" x="398"/>
        <item m="1" x="415"/>
        <item m="1" x="330"/>
        <item m="1" x="503"/>
        <item m="1" x="219"/>
        <item m="1" x="379"/>
        <item m="1" x="346"/>
        <item m="1" x="499"/>
        <item m="1" x="480"/>
        <item m="1" x="222"/>
        <item m="1" x="266"/>
        <item m="1" x="172"/>
        <item m="1" x="249"/>
        <item m="1" x="285"/>
        <item m="1" x="331"/>
        <item m="1" x="248"/>
        <item m="1" x="416"/>
        <item m="1" x="447"/>
        <item m="1" x="524"/>
        <item m="1" x="356"/>
        <item m="1" x="403"/>
        <item m="1" x="187"/>
        <item m="1" x="217"/>
        <item m="1" x="358"/>
        <item m="1" x="310"/>
        <item m="1" x="493"/>
        <item m="1" x="406"/>
        <item m="1" x="344"/>
        <item m="1" x="533"/>
        <item m="1" x="529"/>
        <item m="1" x="320"/>
        <item m="1" x="322"/>
        <item m="1" x="404"/>
        <item m="1" x="411"/>
        <item m="1" x="396"/>
        <item m="1" x="324"/>
        <item m="1" x="230"/>
        <item m="1" x="283"/>
        <item m="1" x="166"/>
        <item m="1" x="201"/>
        <item m="1" x="209"/>
        <item m="1" x="292"/>
        <item m="1" x="502"/>
        <item m="1" x="271"/>
        <item m="1" x="425"/>
        <item m="1" x="394"/>
        <item m="1" x="393"/>
        <item m="1" x="234"/>
        <item m="1" x="536"/>
        <item m="1" x="365"/>
        <item m="1" x="518"/>
        <item m="1" x="196"/>
        <item m="1" x="241"/>
        <item m="1" x="419"/>
        <item m="1" x="408"/>
        <item m="1" x="308"/>
        <item x="21"/>
        <item m="1" x="431"/>
        <item m="1" x="228"/>
        <item m="1" x="391"/>
        <item m="1" x="397"/>
        <item x="4"/>
        <item m="1" x="232"/>
        <item m="1" x="380"/>
        <item m="1" x="422"/>
        <item m="1" x="474"/>
        <item m="1" x="326"/>
        <item m="1" x="316"/>
        <item m="1" x="319"/>
        <item m="1" x="167"/>
        <item m="1" x="300"/>
        <item m="1" x="277"/>
        <item m="1" x="258"/>
        <item x="20"/>
        <item m="1" x="343"/>
        <item m="1" x="515"/>
        <item m="1" x="400"/>
        <item x="22"/>
        <item m="1" x="305"/>
        <item m="1" x="462"/>
        <item m="1" x="465"/>
        <item m="1" x="445"/>
        <item m="1" x="293"/>
        <item m="1" x="254"/>
        <item m="1" x="448"/>
        <item m="1" x="418"/>
        <item m="1" x="498"/>
        <item m="1" x="426"/>
        <item m="1" x="436"/>
        <item m="1" x="464"/>
        <item m="1" x="473"/>
        <item m="1" x="506"/>
        <item m="1" x="537"/>
        <item m="1" x="491"/>
        <item m="1" x="523"/>
        <item m="1" x="349"/>
        <item m="1" x="409"/>
        <item m="1" x="514"/>
        <item m="1" x="278"/>
        <item m="1" x="521"/>
        <item m="1" x="437"/>
        <item m="1" x="376"/>
        <item x="89"/>
        <item m="1" x="160"/>
        <item m="1" x="177"/>
        <item m="1" x="150"/>
        <item m="1" x="151"/>
        <item m="1" x="223"/>
        <item m="1" x="197"/>
        <item m="1" x="307"/>
        <item m="1" x="289"/>
        <item m="1" x="338"/>
        <item m="1" x="267"/>
        <item m="1" x="298"/>
        <item m="1" x="337"/>
        <item m="1" x="202"/>
        <item m="1" x="341"/>
        <item m="1" x="288"/>
        <item m="1" x="181"/>
        <item m="1" x="389"/>
        <item m="1" x="372"/>
        <item m="1" x="414"/>
        <item m="1" x="264"/>
        <item m="1" x="350"/>
        <item m="1" x="353"/>
        <item m="1" x="347"/>
        <item x="81"/>
        <item m="1" x="214"/>
        <item x="10"/>
        <item m="1" x="280"/>
        <item m="1" x="475"/>
        <item m="1" x="360"/>
        <item m="1" x="333"/>
        <item m="1" x="325"/>
        <item x="28"/>
        <item m="1" x="405"/>
        <item m="1" x="303"/>
        <item m="1" x="301"/>
        <item m="1" x="306"/>
        <item m="1" x="444"/>
        <item m="1" x="239"/>
        <item m="1" x="198"/>
        <item m="1" x="227"/>
        <item m="1" x="366"/>
        <item x="27"/>
        <item x="25"/>
        <item m="1" x="205"/>
        <item m="1" x="441"/>
        <item m="1" x="318"/>
        <item x="26"/>
        <item m="1" x="252"/>
        <item m="1" x="253"/>
        <item m="1" x="327"/>
        <item m="1" x="384"/>
        <item m="1" x="263"/>
        <item m="1" x="183"/>
        <item m="1" x="272"/>
        <item m="1" x="323"/>
        <item m="1" x="155"/>
        <item m="1" x="191"/>
        <item m="1" x="340"/>
        <item m="1" x="174"/>
        <item m="1" x="175"/>
        <item m="1" x="186"/>
        <item m="1" x="531"/>
        <item m="1" x="335"/>
        <item m="1" x="238"/>
        <item x="19"/>
        <item x="24"/>
        <item m="1" x="240"/>
        <item m="1" x="377"/>
        <item m="1" x="156"/>
        <item m="1" x="336"/>
        <item m="1" x="468"/>
        <item m="1" x="275"/>
        <item m="1" x="302"/>
        <item m="1" x="255"/>
        <item m="1" x="304"/>
        <item x="58"/>
        <item m="1" x="229"/>
        <item x="80"/>
        <item x="74"/>
        <item x="31"/>
        <item x="99"/>
        <item m="1" x="269"/>
        <item m="1" x="182"/>
        <item x="95"/>
        <item x="96"/>
        <item m="1" x="233"/>
        <item x="23"/>
        <item x="85"/>
        <item m="1" x="246"/>
        <item x="57"/>
        <item x="117"/>
        <item m="1" x="218"/>
        <item x="84"/>
        <item x="90"/>
        <item x="97"/>
        <item x="40"/>
        <item x="102"/>
        <item x="109"/>
        <item x="42"/>
        <item x="120"/>
        <item x="41"/>
        <item x="98"/>
        <item x="51"/>
        <item x="60"/>
        <item x="127"/>
        <item x="37"/>
        <item x="38"/>
        <item x="48"/>
        <item x="114"/>
        <item x="29"/>
        <item x="30"/>
        <item x="33"/>
        <item x="34"/>
        <item x="35"/>
        <item x="65"/>
        <item x="67"/>
        <item x="71"/>
        <item x="82"/>
        <item x="83"/>
        <item x="121"/>
        <item x="128"/>
        <item x="130"/>
        <item x="131"/>
        <item x="45"/>
        <item x="56"/>
        <item x="75"/>
        <item x="107"/>
        <item x="118"/>
        <item x="119"/>
        <item x="123"/>
        <item x="140"/>
        <item x="32"/>
        <item x="39"/>
        <item x="50"/>
        <item x="70"/>
        <item x="73"/>
        <item x="86"/>
        <item x="105"/>
        <item x="124"/>
        <item x="137"/>
        <item x="43"/>
        <item x="44"/>
        <item x="47"/>
        <item x="49"/>
        <item x="54"/>
        <item x="66"/>
        <item x="72"/>
        <item x="100"/>
        <item x="101"/>
        <item x="103"/>
        <item x="106"/>
        <item x="108"/>
        <item x="111"/>
        <item x="116"/>
        <item x="36"/>
        <item x="46"/>
        <item x="52"/>
        <item x="53"/>
        <item x="55"/>
        <item x="59"/>
        <item x="61"/>
        <item x="62"/>
        <item x="63"/>
        <item x="64"/>
        <item x="68"/>
        <item x="69"/>
        <item x="76"/>
        <item x="77"/>
        <item x="78"/>
        <item x="79"/>
        <item x="87"/>
        <item x="88"/>
        <item x="91"/>
        <item x="92"/>
        <item x="93"/>
        <item x="94"/>
        <item x="104"/>
        <item x="110"/>
        <item x="112"/>
        <item x="113"/>
        <item x="115"/>
        <item x="122"/>
        <item x="125"/>
        <item x="126"/>
        <item x="129"/>
        <item x="132"/>
        <item x="133"/>
        <item x="134"/>
        <item x="135"/>
        <item x="136"/>
        <item x="138"/>
        <item x="1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6">
        <item m="1" x="197"/>
        <item m="1" x="154"/>
        <item x="0"/>
        <item m="1" x="192"/>
        <item m="1" x="232"/>
        <item x="1"/>
        <item m="1" x="603"/>
        <item m="1" x="371"/>
        <item m="1" x="388"/>
        <item m="1" x="621"/>
        <item m="1" x="628"/>
        <item m="1" x="582"/>
        <item m="1" x="259"/>
        <item m="1" x="798"/>
        <item m="1" x="660"/>
        <item m="1" x="1079"/>
        <item m="1" x="359"/>
        <item m="1" x="717"/>
        <item m="1" x="282"/>
        <item m="1" x="879"/>
        <item x="75"/>
        <item m="1" x="1003"/>
        <item m="1" x="211"/>
        <item m="1" x="314"/>
        <item m="1" x="279"/>
        <item x="58"/>
        <item m="1" x="615"/>
        <item m="1" x="1068"/>
        <item x="18"/>
        <item m="1" x="629"/>
        <item m="1" x="372"/>
        <item m="1" x="1085"/>
        <item m="1" x="1086"/>
        <item m="1" x="1102"/>
        <item m="1" x="776"/>
        <item m="1" x="1084"/>
        <item m="1" x="784"/>
        <item m="1" x="691"/>
        <item m="1" x="688"/>
        <item m="1" x="998"/>
        <item m="1" x="828"/>
        <item m="1" x="746"/>
        <item m="1" x="286"/>
        <item m="1" x="319"/>
        <item m="1" x="175"/>
        <item m="1" x="174"/>
        <item m="1" x="283"/>
        <item x="85"/>
        <item m="1" x="328"/>
        <item x="98"/>
        <item x="102"/>
        <item m="1" x="534"/>
        <item x="80"/>
        <item x="81"/>
        <item m="1" x="451"/>
        <item x="89"/>
        <item m="1" x="218"/>
        <item x="83"/>
        <item m="1" x="974"/>
        <item x="101"/>
        <item x="100"/>
        <item x="93"/>
        <item x="79"/>
        <item m="1" x="753"/>
        <item m="1" x="235"/>
        <item m="1" x="634"/>
        <item x="113"/>
        <item m="1" x="575"/>
        <item m="1" x="675"/>
        <item m="1" x="182"/>
        <item m="1" x="184"/>
        <item m="1" x="183"/>
        <item m="1" x="504"/>
        <item m="1" x="759"/>
        <item x="114"/>
        <item m="1" x="187"/>
        <item x="117"/>
        <item x="120"/>
        <item m="1" x="459"/>
        <item m="1" x="866"/>
        <item m="1" x="713"/>
        <item m="1" x="775"/>
        <item m="1" x="951"/>
        <item m="1" x="225"/>
        <item m="1" x="226"/>
        <item m="1" x="152"/>
        <item m="1" x="242"/>
        <item m="1" x="685"/>
        <item m="1" x="343"/>
        <item m="1" x="368"/>
        <item m="1" x="824"/>
        <item m="1" x="572"/>
        <item m="1" x="489"/>
        <item m="1" x="1107"/>
        <item m="1" x="467"/>
        <item m="1" x="541"/>
        <item m="1" x="1021"/>
        <item m="1" x="722"/>
        <item m="1" x="673"/>
        <item m="1" x="986"/>
        <item m="1" x="940"/>
        <item m="1" x="683"/>
        <item x="84"/>
        <item x="99"/>
        <item m="1" x="838"/>
        <item m="1" x="705"/>
        <item m="1" x="542"/>
        <item m="1" x="662"/>
        <item m="1" x="734"/>
        <item x="74"/>
        <item m="1" x="639"/>
        <item m="1" x="949"/>
        <item m="1" x="224"/>
        <item m="1" x="190"/>
        <item x="134"/>
        <item m="1" x="260"/>
        <item x="2"/>
        <item x="108"/>
        <item x="109"/>
        <item m="1" x="849"/>
        <item m="1" x="791"/>
        <item x="29"/>
        <item m="1" x="677"/>
        <item m="1" x="844"/>
        <item m="1" x="835"/>
        <item m="1" x="766"/>
        <item m="1" x="965"/>
        <item m="1" x="716"/>
        <item m="1" x="1087"/>
        <item m="1" x="309"/>
        <item m="1" x="883"/>
        <item m="1" x="996"/>
        <item x="92"/>
        <item m="1" x="219"/>
        <item m="1" x="214"/>
        <item m="1" x="215"/>
        <item x="87"/>
        <item x="82"/>
        <item m="1" x="499"/>
        <item m="1" x="876"/>
        <item m="1" x="450"/>
        <item m="1" x="485"/>
        <item m="1" x="975"/>
        <item m="1" x="558"/>
        <item m="1" x="466"/>
        <item m="1" x="373"/>
        <item m="1" x="935"/>
        <item m="1" x="846"/>
        <item m="1" x="928"/>
        <item m="1" x="596"/>
        <item m="1" x="386"/>
        <item m="1" x="864"/>
        <item m="1" x="1025"/>
        <item m="1" x="620"/>
        <item m="1" x="950"/>
        <item m="1" x="678"/>
        <item m="1" x="642"/>
        <item x="111"/>
        <item m="1" x="1111"/>
        <item m="1" x="604"/>
        <item m="1" x="186"/>
        <item m="1" x="185"/>
        <item m="1" x="1005"/>
        <item m="1" x="179"/>
        <item m="1" x="890"/>
        <item m="1" x="911"/>
        <item m="1" x="1093"/>
        <item x="106"/>
        <item m="1" x="181"/>
        <item m="1" x="222"/>
        <item m="1" x="853"/>
        <item m="1" x="790"/>
        <item m="1" x="852"/>
        <item m="1" x="796"/>
        <item m="1" x="977"/>
        <item m="1" x="841"/>
        <item m="1" x="612"/>
        <item m="1" x="701"/>
        <item m="1" x="871"/>
        <item m="1" x="1031"/>
        <item x="57"/>
        <item m="1" x="1096"/>
        <item m="1" x="1097"/>
        <item m="1" x="651"/>
        <item m="1" x="626"/>
        <item m="1" x="1054"/>
        <item m="1" x="1088"/>
        <item m="1" x="650"/>
        <item m="1" x="1089"/>
        <item m="1" x="971"/>
        <item m="1" x="294"/>
        <item x="15"/>
        <item m="1" x="591"/>
        <item x="17"/>
        <item m="1" x="805"/>
        <item m="1" x="806"/>
        <item m="1" x="548"/>
        <item m="1" x="992"/>
        <item m="1" x="234"/>
        <item m="1" x="193"/>
        <item m="1" x="330"/>
        <item m="1" x="141"/>
        <item m="1" x="142"/>
        <item m="1" x="922"/>
        <item m="1" x="196"/>
        <item m="1" x="704"/>
        <item m="1" x="217"/>
        <item m="1" x="216"/>
        <item m="1" x="989"/>
        <item x="97"/>
        <item m="1" x="826"/>
        <item x="88"/>
        <item m="1" x="434"/>
        <item m="1" x="955"/>
        <item m="1" x="816"/>
        <item m="1" x="794"/>
        <item m="1" x="810"/>
        <item m="1" x="1090"/>
        <item m="1" x="725"/>
        <item m="1" x="812"/>
        <item m="1" x="493"/>
        <item m="1" x="1091"/>
        <item m="1" x="579"/>
        <item m="1" x="719"/>
        <item m="1" x="365"/>
        <item m="1" x="932"/>
        <item m="1" x="858"/>
        <item m="1" x="552"/>
        <item m="1" x="801"/>
        <item m="1" x="244"/>
        <item m="1" x="248"/>
        <item m="1" x="336"/>
        <item m="1" x="817"/>
        <item m="1" x="1109"/>
        <item m="1" x="577"/>
        <item m="1" x="943"/>
        <item m="1" x="342"/>
        <item m="1" x="804"/>
        <item m="1" x="1080"/>
        <item m="1" x="966"/>
        <item m="1" x="1050"/>
        <item m="1" x="292"/>
        <item m="1" x="143"/>
        <item m="1" x="939"/>
        <item m="1" x="777"/>
        <item m="1" x="659"/>
        <item m="1" x="293"/>
        <item m="1" x="227"/>
        <item m="1" x="189"/>
        <item x="132"/>
        <item m="1" x="188"/>
        <item x="133"/>
        <item m="1" x="265"/>
        <item m="1" x="671"/>
        <item m="1" x="737"/>
        <item m="1" x="362"/>
        <item m="1" x="590"/>
        <item m="1" x="501"/>
        <item m="1" x="1061"/>
        <item m="1" x="709"/>
        <item m="1" x="324"/>
        <item m="1" x="610"/>
        <item m="1" x="1063"/>
        <item m="1" x="900"/>
        <item m="1" x="1108"/>
        <item m="1" x="750"/>
        <item m="1" x="780"/>
        <item m="1" x="200"/>
        <item m="1" x="997"/>
        <item m="1" x="1103"/>
        <item m="1" x="1035"/>
        <item m="1" x="954"/>
        <item m="1" x="740"/>
        <item m="1" x="284"/>
        <item m="1" x="307"/>
        <item m="1" x="173"/>
        <item m="1" x="600"/>
        <item m="1" x="960"/>
        <item m="1" x="1083"/>
        <item m="1" x="473"/>
        <item m="1" x="515"/>
        <item m="1" x="646"/>
        <item m="1" x="1082"/>
        <item m="1" x="874"/>
        <item m="1" x="1010"/>
        <item m="1" x="1011"/>
        <item m="1" x="647"/>
        <item m="1" x="1012"/>
        <item m="1" x="411"/>
        <item m="1" x="513"/>
        <item m="1" x="762"/>
        <item m="1" x="1044"/>
        <item m="1" x="1113"/>
        <item m="1" x="367"/>
        <item m="1" x="506"/>
        <item x="105"/>
        <item m="1" x="280"/>
        <item m="1" x="648"/>
        <item m="1" x="964"/>
        <item m="1" x="1020"/>
        <item m="1" x="1095"/>
        <item x="13"/>
        <item m="1" x="198"/>
        <item m="1" x="269"/>
        <item m="1" x="748"/>
        <item m="1" x="636"/>
        <item m="1" x="1092"/>
        <item m="1" x="194"/>
        <item m="1" x="422"/>
        <item m="1" x="799"/>
        <item x="119"/>
        <item x="118"/>
        <item m="1" x="756"/>
        <item m="1" x="972"/>
        <item m="1" x="697"/>
        <item m="1" x="652"/>
        <item m="1" x="228"/>
        <item m="1" x="315"/>
        <item m="1" x="1013"/>
        <item x="14"/>
        <item m="1" x="289"/>
        <item m="1" x="630"/>
        <item m="1" x="1094"/>
        <item m="1" x="1042"/>
        <item m="1" x="878"/>
        <item m="1" x="754"/>
        <item m="1" x="892"/>
        <item m="1" x="617"/>
        <item m="1" x="1039"/>
        <item m="1" x="708"/>
        <item m="1" x="332"/>
        <item x="91"/>
        <item m="1" x="285"/>
        <item x="86"/>
        <item m="1" x="982"/>
        <item m="1" x="518"/>
        <item m="1" x="1008"/>
        <item m="1" x="747"/>
        <item m="1" x="270"/>
        <item m="1" x="723"/>
        <item m="1" x="859"/>
        <item m="1" x="693"/>
        <item m="1" x="687"/>
        <item m="1" x="500"/>
        <item m="1" x="743"/>
        <item m="1" x="391"/>
        <item m="1" x="947"/>
        <item m="1" x="461"/>
        <item m="1" x="392"/>
        <item m="1" x="772"/>
        <item m="1" x="714"/>
        <item m="1" x="1064"/>
        <item x="104"/>
        <item m="1" x="441"/>
        <item m="1" x="199"/>
        <item x="16"/>
        <item m="1" x="763"/>
        <item m="1" x="811"/>
        <item m="1" x="787"/>
        <item m="1" x="333"/>
        <item x="90"/>
        <item m="1" x="557"/>
        <item m="1" x="1017"/>
        <item m="1" x="742"/>
        <item m="1" x="873"/>
        <item x="131"/>
        <item m="1" x="700"/>
        <item m="1" x="797"/>
        <item m="1" x="795"/>
        <item m="1" x="880"/>
        <item m="1" x="813"/>
        <item x="140"/>
        <item m="1" x="419"/>
        <item m="1" x="640"/>
        <item x="107"/>
        <item m="1" x="431"/>
        <item m="1" x="715"/>
        <item m="1" x="306"/>
        <item m="1" x="727"/>
        <item m="1" x="767"/>
        <item m="1" x="912"/>
        <item m="1" x="341"/>
        <item m="1" x="778"/>
        <item m="1" x="1062"/>
        <item m="1" x="991"/>
        <item m="1" x="1106"/>
        <item m="1" x="731"/>
        <item m="1" x="872"/>
        <item m="1" x="420"/>
        <item x="3"/>
        <item m="1" x="243"/>
        <item m="1" x="735"/>
        <item m="1" x="786"/>
        <item m="1" x="933"/>
        <item m="1" x="815"/>
        <item m="1" x="463"/>
        <item m="1" x="781"/>
        <item m="1" x="718"/>
        <item x="103"/>
        <item m="1" x="329"/>
        <item m="1" x="842"/>
        <item m="1" x="861"/>
        <item m="1" x="1043"/>
        <item m="1" x="423"/>
        <item m="1" x="544"/>
        <item m="1" x="909"/>
        <item m="1" x="144"/>
        <item m="1" x="172"/>
        <item m="1" x="443"/>
        <item m="1" x="444"/>
        <item m="1" x="627"/>
        <item m="1" x="765"/>
        <item m="1" x="915"/>
        <item m="1" x="437"/>
        <item m="1" x="308"/>
        <item m="1" x="221"/>
        <item m="1" x="710"/>
        <item m="1" x="393"/>
        <item m="1" x="457"/>
        <item m="1" x="356"/>
        <item m="1" x="237"/>
        <item m="1" x="297"/>
        <item x="36"/>
        <item x="32"/>
        <item x="30"/>
        <item m="1" x="990"/>
        <item m="1" x="275"/>
        <item m="1" x="918"/>
        <item m="1" x="752"/>
        <item m="1" x="770"/>
        <item x="50"/>
        <item m="1" x="167"/>
        <item m="1" x="959"/>
        <item m="1" x="1030"/>
        <item m="1" x="568"/>
        <item m="1" x="1073"/>
        <item m="1" x="166"/>
        <item m="1" x="764"/>
        <item m="1" x="318"/>
        <item m="1" x="961"/>
        <item m="1" x="520"/>
        <item m="1" x="538"/>
        <item m="1" x="519"/>
        <item m="1" x="808"/>
        <item m="1" x="724"/>
        <item m="1" x="618"/>
        <item m="1" x="668"/>
        <item m="1" x="654"/>
        <item m="1" x="702"/>
        <item m="1" x="773"/>
        <item m="1" x="733"/>
        <item m="1" x="1060"/>
        <item m="1" x="825"/>
        <item m="1" x="255"/>
        <item m="1" x="845"/>
        <item m="1" x="432"/>
        <item m="1" x="168"/>
        <item m="1" x="1098"/>
        <item x="44"/>
        <item m="1" x="327"/>
        <item m="1" x="1009"/>
        <item m="1" x="758"/>
        <item m="1" x="486"/>
        <item m="1" x="176"/>
        <item m="1" x="891"/>
        <item m="1" x="619"/>
        <item m="1" x="898"/>
        <item m="1" x="927"/>
        <item m="1" x="254"/>
        <item m="1" x="679"/>
        <item m="1" x="514"/>
        <item m="1" x="158"/>
        <item m="1" x="862"/>
        <item m="1" x="470"/>
        <item m="1" x="667"/>
        <item m="1" x="440"/>
        <item m="1" x="712"/>
        <item m="1" x="881"/>
        <item m="1" x="745"/>
        <item m="1" x="863"/>
        <item m="1" x="760"/>
        <item m="1" x="802"/>
        <item m="1" x="981"/>
        <item m="1" x="782"/>
        <item m="1" x="833"/>
        <item m="1" x="860"/>
        <item m="1" x="302"/>
        <item m="1" x="169"/>
        <item x="51"/>
        <item m="1" x="417"/>
        <item m="1" x="1034"/>
        <item m="1" x="1048"/>
        <item m="1" x="889"/>
        <item m="1" x="573"/>
        <item m="1" x="609"/>
        <item m="1" x="479"/>
        <item x="53"/>
        <item m="1" x="661"/>
        <item m="1" x="920"/>
        <item x="54"/>
        <item m="1" x="1110"/>
        <item m="1" x="930"/>
        <item m="1" x="613"/>
        <item m="1" x="771"/>
        <item m="1" x="252"/>
        <item x="45"/>
        <item x="46"/>
        <item x="47"/>
        <item m="1" x="695"/>
        <item m="1" x="730"/>
        <item m="1" x="1036"/>
        <item m="1" x="963"/>
        <item m="1" x="1026"/>
        <item m="1" x="474"/>
        <item m="1" x="454"/>
        <item m="1" x="236"/>
        <item m="1" x="421"/>
        <item m="1" x="769"/>
        <item x="43"/>
        <item m="1" x="404"/>
        <item m="1" x="843"/>
        <item m="1" x="1006"/>
        <item m="1" x="220"/>
        <item m="1" x="177"/>
        <item m="1" x="488"/>
        <item m="1" x="576"/>
        <item m="1" x="851"/>
        <item m="1" x="834"/>
        <item m="1" x="1066"/>
        <item m="1" x="1067"/>
        <item m="1" x="1045"/>
        <item m="1" x="581"/>
        <item m="1" x="267"/>
        <item m="1" x="353"/>
        <item m="1" x="605"/>
        <item m="1" x="539"/>
        <item x="42"/>
        <item x="41"/>
        <item m="1" x="1115"/>
        <item m="1" x="807"/>
        <item m="1" x="1071"/>
        <item m="1" x="400"/>
        <item x="52"/>
        <item m="1" x="827"/>
        <item m="1" x="1029"/>
        <item m="1" x="643"/>
        <item m="1" x="1112"/>
        <item m="1" x="631"/>
        <item m="1" x="831"/>
        <item m="1" x="163"/>
        <item m="1" x="326"/>
        <item m="1" x="165"/>
        <item m="1" x="1018"/>
        <item m="1" x="931"/>
        <item m="1" x="345"/>
        <item m="1" x="347"/>
        <item x="33"/>
        <item m="1" x="624"/>
        <item m="1" x="159"/>
        <item m="1" x="1033"/>
        <item m="1" x="452"/>
        <item x="34"/>
        <item m="1" x="556"/>
        <item m="1" x="895"/>
        <item x="94"/>
        <item m="1" x="958"/>
        <item m="1" x="622"/>
        <item m="1" x="818"/>
        <item m="1" x="903"/>
        <item m="1" x="994"/>
        <item m="1" x="567"/>
        <item m="1" x="884"/>
        <item m="1" x="899"/>
        <item m="1" x="425"/>
        <item m="1" x="532"/>
        <item m="1" x="885"/>
        <item x="48"/>
        <item m="1" x="837"/>
        <item m="1" x="1072"/>
        <item m="1" x="663"/>
        <item x="49"/>
        <item m="1" x="1024"/>
        <item m="1" x="934"/>
        <item m="1" x="1069"/>
        <item m="1" x="560"/>
        <item m="1" x="383"/>
        <item m="1" x="686"/>
        <item m="1" x="481"/>
        <item m="1" x="201"/>
        <item m="1" x="321"/>
        <item m="1" x="335"/>
        <item m="1" x="164"/>
        <item m="1" x="942"/>
        <item x="31"/>
        <item m="1" x="276"/>
        <item m="1" x="644"/>
        <item m="1" x="976"/>
        <item m="1" x="405"/>
        <item m="1" x="978"/>
        <item m="1" x="551"/>
        <item m="1" x="937"/>
        <item m="1" x="901"/>
        <item m="1" x="462"/>
        <item m="1" x="882"/>
        <item m="1" x="649"/>
        <item m="1" x="1019"/>
        <item m="1" x="157"/>
        <item m="1" x="749"/>
        <item m="1" x="301"/>
        <item m="1" x="1075"/>
        <item m="1" x="494"/>
        <item m="1" x="830"/>
        <item m="1" x="277"/>
        <item m="1" x="278"/>
        <item m="1" x="924"/>
        <item m="1" x="656"/>
        <item m="1" x="645"/>
        <item m="1" x="973"/>
        <item m="1" x="390"/>
        <item m="1" x="832"/>
        <item x="8"/>
        <item x="7"/>
        <item x="9"/>
        <item m="1" x="755"/>
        <item m="1" x="744"/>
        <item m="1" x="149"/>
        <item x="5"/>
        <item m="1" x="240"/>
        <item m="1" x="148"/>
        <item m="1" x="147"/>
        <item m="1" x="146"/>
        <item m="1" x="395"/>
        <item m="1" x="979"/>
        <item m="1" x="944"/>
        <item m="1" x="945"/>
        <item m="1" x="1058"/>
        <item m="1" x="856"/>
        <item m="1" x="408"/>
        <item m="1" x="410"/>
        <item m="1" x="409"/>
        <item m="1" x="595"/>
        <item m="1" x="822"/>
        <item m="1" x="829"/>
        <item m="1" x="614"/>
        <item m="1" x="1001"/>
        <item m="1" x="987"/>
        <item m="1" x="857"/>
        <item m="1" x="1065"/>
        <item m="1" x="637"/>
        <item x="6"/>
        <item m="1" x="412"/>
        <item m="1" x="1074"/>
        <item m="1" x="681"/>
        <item m="1" x="988"/>
        <item m="1" x="887"/>
        <item m="1" x="623"/>
        <item m="1" x="820"/>
        <item m="1" x="295"/>
        <item m="1" x="477"/>
        <item m="1" x="403"/>
        <item m="1" x="303"/>
        <item m="1" x="689"/>
        <item m="1" x="584"/>
        <item m="1" x="349"/>
        <item m="1" x="969"/>
        <item m="1" x="904"/>
        <item m="1" x="893"/>
        <item m="1" x="1077"/>
        <item m="1" x="929"/>
        <item m="1" x="682"/>
        <item m="1" x="484"/>
        <item m="1" x="521"/>
        <item m="1" x="703"/>
        <item x="70"/>
        <item m="1" x="1014"/>
        <item m="1" x="921"/>
        <item m="1" x="537"/>
        <item m="1" x="696"/>
        <item m="1" x="1101"/>
        <item m="1" x="757"/>
        <item m="1" x="208"/>
        <item m="1" x="821"/>
        <item m="1" x="1049"/>
        <item m="1" x="789"/>
        <item m="1" x="401"/>
        <item m="1" x="968"/>
        <item m="1" x="379"/>
        <item m="1" x="145"/>
        <item m="1" x="351"/>
        <item m="1" x="1105"/>
        <item x="4"/>
        <item m="1" x="803"/>
        <item m="1" x="868"/>
        <item m="1" x="793"/>
        <item m="1" x="562"/>
        <item m="1" x="606"/>
        <item m="1" x="905"/>
        <item m="1" x="555"/>
        <item m="1" x="202"/>
        <item m="1" x="207"/>
        <item m="1" x="524"/>
        <item m="1" x="550"/>
        <item m="1" x="471"/>
        <item m="1" x="658"/>
        <item m="1" x="923"/>
        <item m="1" x="847"/>
        <item m="1" x="917"/>
        <item m="1" x="726"/>
        <item m="1" x="738"/>
        <item m="1" x="839"/>
        <item m="1" x="739"/>
        <item m="1" x="1057"/>
        <item m="1" x="665"/>
        <item m="1" x="435"/>
        <item m="1" x="680"/>
        <item m="1" x="633"/>
        <item m="1" x="850"/>
        <item m="1" x="1027"/>
        <item m="1" x="505"/>
        <item m="1" x="779"/>
        <item m="1" x="253"/>
        <item m="1" x="983"/>
        <item m="1" x="1099"/>
        <item m="1" x="694"/>
        <item m="1" x="611"/>
        <item m="1" x="1056"/>
        <item m="1" x="869"/>
        <item m="1" x="809"/>
        <item m="1" x="638"/>
        <item m="1" x="1022"/>
        <item m="1" x="720"/>
        <item m="1" x="855"/>
        <item m="1" x="721"/>
        <item m="1" x="370"/>
        <item m="1" x="1059"/>
        <item m="1" x="728"/>
        <item m="1" x="970"/>
        <item m="1" x="984"/>
        <item m="1" x="273"/>
        <item x="35"/>
        <item m="1" x="517"/>
        <item m="1" x="442"/>
        <item x="138"/>
        <item m="1" x="230"/>
        <item x="78"/>
        <item m="1" x="398"/>
        <item m="1" x="768"/>
        <item m="1" x="707"/>
        <item m="1" x="305"/>
        <item m="1" x="261"/>
        <item m="1" x="867"/>
        <item m="1" x="690"/>
        <item m="1" x="529"/>
        <item m="1" x="632"/>
        <item m="1" x="957"/>
        <item m="1" x="1028"/>
        <item x="77"/>
        <item m="1" x="160"/>
        <item x="55"/>
        <item m="1" x="533"/>
        <item m="1" x="492"/>
        <item m="1" x="902"/>
        <item m="1" x="206"/>
        <item m="1" x="952"/>
        <item m="1" x="886"/>
        <item x="121"/>
        <item x="124"/>
        <item m="1" x="464"/>
        <item x="123"/>
        <item x="96"/>
        <item x="125"/>
        <item x="126"/>
        <item x="127"/>
        <item x="130"/>
        <item m="1" x="692"/>
        <item m="1" x="1100"/>
        <item m="1" x="641"/>
        <item m="1" x="516"/>
        <item m="1" x="429"/>
        <item m="1" x="304"/>
        <item m="1" x="178"/>
        <item m="1" x="256"/>
        <item m="1" x="407"/>
        <item x="129"/>
        <item m="1" x="300"/>
        <item m="1" x="741"/>
        <item m="1" x="655"/>
        <item x="122"/>
        <item x="128"/>
        <item m="1" x="608"/>
        <item m="1" x="666"/>
        <item m="1" x="670"/>
        <item m="1" x="788"/>
        <item m="1" x="854"/>
        <item m="1" x="472"/>
        <item m="1" x="571"/>
        <item m="1" x="953"/>
        <item m="1" x="800"/>
        <item m="1" x="729"/>
        <item m="1" x="602"/>
        <item m="1" x="819"/>
        <item m="1" x="865"/>
        <item m="1" x="1007"/>
        <item m="1" x="195"/>
        <item m="1" x="241"/>
        <item m="1" x="150"/>
        <item m="1" x="151"/>
        <item m="1" x="369"/>
        <item m="1" x="1070"/>
        <item x="56"/>
        <item x="60"/>
        <item m="1" x="310"/>
        <item m="1" x="535"/>
        <item m="1" x="377"/>
        <item m="1" x="510"/>
        <item m="1" x="1052"/>
        <item x="61"/>
        <item m="1" x="588"/>
        <item m="1" x="361"/>
        <item m="1" x="406"/>
        <item m="1" x="291"/>
        <item m="1" x="264"/>
        <item x="11"/>
        <item m="1" x="653"/>
        <item m="1" x="364"/>
        <item m="1" x="1076"/>
        <item m="1" x="476"/>
        <item m="1" x="919"/>
        <item m="1" x="916"/>
        <item m="1" x="1032"/>
        <item m="1" x="258"/>
        <item m="1" x="322"/>
        <item m="1" x="433"/>
        <item m="1" x="334"/>
        <item m="1" x="870"/>
        <item m="1" x="448"/>
        <item m="1" x="312"/>
        <item m="1" x="355"/>
        <item m="1" x="616"/>
        <item m="1" x="625"/>
        <item m="1" x="999"/>
        <item m="1" x="268"/>
        <item m="1" x="455"/>
        <item m="1" x="1081"/>
        <item m="1" x="153"/>
        <item m="1" x="941"/>
        <item m="1" x="522"/>
        <item m="1" x="587"/>
        <item m="1" x="348"/>
        <item m="1" x="1046"/>
        <item m="1" x="281"/>
        <item m="1" x="993"/>
        <item m="1" x="962"/>
        <item m="1" x="814"/>
        <item m="1" x="1053"/>
        <item x="59"/>
        <item x="64"/>
        <item x="69"/>
        <item m="1" x="597"/>
        <item m="1" x="836"/>
        <item m="1" x="875"/>
        <item m="1" x="569"/>
        <item m="1" x="497"/>
        <item m="1" x="245"/>
        <item m="1" x="877"/>
        <item m="1" x="908"/>
        <item m="1" x="906"/>
        <item x="62"/>
        <item m="1" x="599"/>
        <item x="63"/>
        <item m="1" x="1040"/>
        <item m="1" x="1015"/>
        <item m="1" x="897"/>
        <item m="1" x="699"/>
        <item m="1" x="925"/>
        <item m="1" x="792"/>
        <item m="1" x="1041"/>
        <item m="1" x="212"/>
        <item m="1" x="487"/>
        <item m="1" x="469"/>
        <item m="1" x="384"/>
        <item m="1" x="1055"/>
        <item m="1" x="840"/>
        <item m="1" x="684"/>
        <item m="1" x="543"/>
        <item m="1" x="171"/>
        <item m="1" x="460"/>
        <item m="1" x="344"/>
        <item m="1" x="995"/>
        <item m="1" x="180"/>
        <item m="1" x="376"/>
        <item x="10"/>
        <item x="116"/>
        <item m="1" x="475"/>
        <item m="1" x="385"/>
        <item m="1" x="711"/>
        <item m="1" x="536"/>
        <item m="1" x="669"/>
        <item m="1" x="946"/>
        <item m="1" x="706"/>
        <item x="136"/>
        <item m="1" x="578"/>
        <item m="1" x="561"/>
        <item m="1" x="1104"/>
        <item m="1" x="1037"/>
        <item m="1" x="956"/>
        <item m="1" x="413"/>
        <item x="28"/>
        <item m="1" x="381"/>
        <item m="1" x="894"/>
        <item m="1" x="287"/>
        <item m="1" x="527"/>
        <item m="1" x="396"/>
        <item m="1" x="823"/>
        <item m="1" x="1016"/>
        <item m="1" x="449"/>
        <item m="1" x="985"/>
        <item m="1" x="1002"/>
        <item m="1" x="570"/>
        <item m="1" x="593"/>
        <item m="1" x="436"/>
        <item m="1" x="525"/>
        <item m="1" x="545"/>
        <item m="1" x="674"/>
        <item m="1" x="774"/>
        <item m="1" x="938"/>
        <item m="1" x="1000"/>
        <item m="1" x="531"/>
        <item m="1" x="848"/>
        <item m="1" x="1047"/>
        <item m="1" x="589"/>
        <item m="1" x="311"/>
        <item m="1" x="374"/>
        <item m="1" x="1078"/>
        <item m="1" x="358"/>
        <item m="1" x="1023"/>
        <item m="1" x="1114"/>
        <item m="1" x="732"/>
        <item m="1" x="583"/>
        <item m="1" x="936"/>
        <item x="27"/>
        <item m="1" x="751"/>
        <item m="1" x="1004"/>
        <item m="1" x="223"/>
        <item x="25"/>
        <item m="1" x="250"/>
        <item m="1" x="161"/>
        <item m="1" x="456"/>
        <item m="1" x="761"/>
        <item m="1" x="507"/>
        <item m="1" x="453"/>
        <item m="1" x="598"/>
        <item m="1" x="967"/>
        <item m="1" x="907"/>
        <item m="1" x="676"/>
        <item x="137"/>
        <item m="1" x="397"/>
        <item m="1" x="913"/>
        <item m="1" x="554"/>
        <item m="1" x="213"/>
        <item m="1" x="424"/>
        <item x="26"/>
        <item m="1" x="657"/>
        <item m="1" x="170"/>
        <item m="1" x="426"/>
        <item m="1" x="503"/>
        <item m="1" x="427"/>
        <item m="1" x="563"/>
        <item m="1" x="910"/>
        <item m="1" x="1038"/>
        <item m="1" x="317"/>
        <item m="1" x="290"/>
        <item m="1" x="698"/>
        <item m="1" x="331"/>
        <item m="1" x="914"/>
        <item m="1" x="203"/>
        <item m="1" x="274"/>
        <item m="1" x="482"/>
        <item m="1" x="926"/>
        <item m="1" x="980"/>
        <item m="1" x="439"/>
        <item m="1" x="231"/>
        <item m="1" x="445"/>
        <item m="1" x="438"/>
        <item m="1" x="564"/>
        <item m="1" x="783"/>
        <item m="1" x="465"/>
        <item m="1" x="204"/>
        <item x="38"/>
        <item m="1" x="480"/>
        <item m="1" x="205"/>
        <item m="1" x="249"/>
        <item m="1" x="559"/>
        <item m="1" x="155"/>
        <item m="1" x="271"/>
        <item m="1" x="592"/>
        <item x="37"/>
        <item m="1" x="238"/>
        <item m="1" x="239"/>
        <item m="1" x="266"/>
        <item m="1" x="736"/>
        <item m="1" x="888"/>
        <item m="1" x="785"/>
        <item m="1" x="607"/>
        <item x="139"/>
        <item m="1" x="483"/>
        <item m="1" x="191"/>
        <item m="1" x="509"/>
        <item m="1" x="233"/>
        <item m="1" x="580"/>
        <item x="76"/>
        <item m="1" x="363"/>
        <item m="1" x="394"/>
        <item x="12"/>
        <item m="1" x="586"/>
        <item m="1" x="478"/>
        <item m="1" x="272"/>
        <item m="1" x="896"/>
        <item x="19"/>
        <item m="1" x="601"/>
        <item m="1" x="635"/>
        <item m="1" x="523"/>
        <item x="24"/>
        <item x="67"/>
        <item m="1" x="402"/>
        <item m="1" x="298"/>
        <item x="39"/>
        <item m="1" x="511"/>
        <item m="1" x="566"/>
        <item m="1" x="948"/>
        <item m="1" x="262"/>
        <item m="1" x="387"/>
        <item m="1" x="156"/>
        <item m="1" x="296"/>
        <item m="1" x="1051"/>
        <item m="1" x="553"/>
        <item m="1" x="664"/>
        <item m="1" x="594"/>
        <item m="1" x="263"/>
        <item m="1" x="585"/>
        <item m="1" x="672"/>
        <item m="1" x="468"/>
        <item x="65"/>
        <item x="66"/>
        <item x="71"/>
        <item x="20"/>
        <item x="21"/>
        <item x="22"/>
        <item m="1" x="498"/>
        <item m="1" x="565"/>
        <item m="1" x="574"/>
        <item m="1" x="209"/>
        <item m="1" x="357"/>
        <item m="1" x="512"/>
        <item x="112"/>
        <item m="1" x="508"/>
        <item m="1" x="530"/>
        <item m="1" x="352"/>
        <item m="1" x="399"/>
        <item m="1" x="526"/>
        <item m="1" x="430"/>
        <item m="1" x="247"/>
        <item m="1" x="502"/>
        <item m="1" x="547"/>
        <item m="1" x="549"/>
        <item m="1" x="528"/>
        <item m="1" x="546"/>
        <item m="1" x="540"/>
        <item m="1" x="257"/>
        <item x="40"/>
        <item m="1" x="210"/>
        <item m="1" x="414"/>
        <item m="1" x="316"/>
        <item x="68"/>
        <item m="1" x="380"/>
        <item m="1" x="446"/>
        <item m="1" x="350"/>
        <item x="110"/>
        <item m="1" x="346"/>
        <item m="1" x="495"/>
        <item m="1" x="496"/>
        <item m="1" x="447"/>
        <item m="1" x="491"/>
        <item x="115"/>
        <item m="1" x="339"/>
        <item m="1" x="382"/>
        <item m="1" x="229"/>
        <item m="1" x="490"/>
        <item m="1" x="288"/>
        <item m="1" x="428"/>
        <item m="1" x="162"/>
        <item m="1" x="313"/>
        <item x="135"/>
        <item m="1" x="458"/>
        <item m="1" x="246"/>
        <item m="1" x="415"/>
        <item m="1" x="378"/>
        <item x="95"/>
        <item m="1" x="325"/>
        <item m="1" x="340"/>
        <item m="1" x="389"/>
        <item x="23"/>
        <item m="1" x="418"/>
        <item x="73"/>
        <item m="1" x="416"/>
        <item x="72"/>
        <item m="1" x="360"/>
        <item m="1" x="366"/>
        <item m="1" x="375"/>
        <item m="1" x="354"/>
        <item m="1" x="337"/>
        <item m="1" x="338"/>
        <item m="1" x="320"/>
        <item m="1" x="323"/>
        <item m="1" x="299"/>
        <item m="1" x="2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41">
    <i>
      <x v="1"/>
      <x v="2"/>
    </i>
    <i>
      <x v="31"/>
      <x v="822"/>
    </i>
    <i>
      <x v="34"/>
      <x v="620"/>
    </i>
    <i>
      <x v="35"/>
      <x v="621"/>
    </i>
    <i>
      <x v="36"/>
      <x v="622"/>
    </i>
    <i>
      <x v="41"/>
      <x v="626"/>
    </i>
    <i>
      <x v="47"/>
      <x v="191"/>
    </i>
    <i>
      <x v="51"/>
      <x v="193"/>
    </i>
    <i>
      <x v="61"/>
      <x v="5"/>
    </i>
    <i>
      <x v="75"/>
      <x v="28"/>
    </i>
    <i>
      <x v="83"/>
      <x v="1013"/>
    </i>
    <i>
      <x v="125"/>
      <x v="116"/>
    </i>
    <i>
      <x v="151"/>
      <x v="649"/>
    </i>
    <i>
      <x v="153"/>
      <x v="301"/>
    </i>
    <i>
      <x v="163"/>
      <x v="319"/>
    </i>
    <i>
      <x v="176"/>
      <x v="355"/>
    </i>
    <i>
      <x v="200"/>
      <x v="389"/>
    </i>
    <i>
      <x v="299"/>
      <x v="1046"/>
    </i>
    <i>
      <x v="304"/>
      <x v="690"/>
    </i>
    <i>
      <x v="316"/>
      <x v="1045"/>
    </i>
    <i>
      <x v="320"/>
      <x v="1047"/>
    </i>
    <i>
      <x v="345"/>
      <x v="55"/>
    </i>
    <i>
      <x v="369"/>
      <x v="53"/>
    </i>
    <i>
      <x v="371"/>
      <x v="891"/>
    </i>
    <i>
      <x v="377"/>
      <x v="907"/>
    </i>
    <i>
      <x v="387"/>
      <x v="940"/>
    </i>
    <i>
      <x v="388"/>
      <x v="944"/>
    </i>
    <i>
      <x v="392"/>
      <x v="961"/>
    </i>
    <i>
      <x v="410"/>
      <x v="1018"/>
    </i>
    <i>
      <x v="411"/>
      <x v="1022"/>
    </i>
    <i>
      <x v="421"/>
      <x v="25"/>
    </i>
    <i>
      <x v="423"/>
      <x v="52"/>
    </i>
    <i>
      <x v="424"/>
      <x v="109"/>
    </i>
    <i>
      <x v="425"/>
      <x v="593"/>
    </i>
    <i>
      <x v="426"/>
      <x v="103"/>
    </i>
    <i>
      <x v="429"/>
      <x v="1097"/>
    </i>
    <i>
      <x v="430"/>
      <x v="769"/>
    </i>
    <i>
      <x v="432"/>
      <x v="1101"/>
    </i>
    <i>
      <x v="433"/>
      <x v="47"/>
    </i>
    <i>
      <x v="435"/>
      <x v="180"/>
    </i>
    <i>
      <x v="436"/>
      <x v="76"/>
    </i>
    <i>
      <x v="438"/>
      <x v="102"/>
    </i>
    <i>
      <x v="439"/>
      <x v="360"/>
    </i>
    <i>
      <x v="440"/>
      <x v="209"/>
    </i>
    <i>
      <x v="441"/>
      <x v="1069"/>
    </i>
    <i>
      <x v="442"/>
      <x v="50"/>
    </i>
    <i>
      <x v="443"/>
      <x v="118"/>
    </i>
    <i>
      <x v="444"/>
      <x v="536"/>
    </i>
    <i>
      <x v="445"/>
      <x v="77"/>
    </i>
    <i>
      <x v="446"/>
      <x v="537"/>
    </i>
    <i>
      <x v="447"/>
      <x v="49"/>
    </i>
    <i>
      <x v="448"/>
      <x v="488"/>
    </i>
    <i>
      <x v="449"/>
      <x v="810"/>
    </i>
    <i>
      <x v="450"/>
      <x v="772"/>
    </i>
    <i>
      <x v="451"/>
      <x v="996"/>
    </i>
    <i>
      <x v="452"/>
      <x v="988"/>
    </i>
    <i>
      <x v="453"/>
      <x v="576"/>
    </i>
    <i>
      <x v="454"/>
      <x v="74"/>
    </i>
    <i>
      <x v="455"/>
      <x v="121"/>
    </i>
    <i>
      <x v="456"/>
      <x v="424"/>
    </i>
    <i>
      <x v="457"/>
      <x v="556"/>
    </i>
    <i>
      <x v="458"/>
      <x v="561"/>
    </i>
    <i>
      <x v="459"/>
      <x v="739"/>
    </i>
    <i>
      <x v="460"/>
      <x v="1042"/>
    </i>
    <i>
      <x v="461"/>
      <x v="1023"/>
    </i>
    <i>
      <x v="462"/>
      <x v="1044"/>
    </i>
    <i>
      <x v="463"/>
      <x v="137"/>
    </i>
    <i>
      <x v="464"/>
      <x v="57"/>
    </i>
    <i>
      <x v="465"/>
      <x v="765"/>
    </i>
    <i>
      <x v="466"/>
      <x v="788"/>
    </i>
    <i>
      <x v="467"/>
      <x v="773"/>
    </i>
    <i>
      <x v="468"/>
      <x v="365"/>
    </i>
    <i>
      <x v="469"/>
      <x v="505"/>
    </i>
    <i>
      <x v="470"/>
      <x v="809"/>
    </i>
    <i>
      <x v="471"/>
      <x v="20"/>
    </i>
    <i>
      <x v="472"/>
      <x v="374"/>
    </i>
    <i>
      <x v="473"/>
      <x v="311"/>
    </i>
    <i>
      <x v="474"/>
      <x v="310"/>
    </i>
    <i>
      <x v="475"/>
      <x v="768"/>
    </i>
    <i>
      <x v="476"/>
      <x v="371"/>
    </i>
    <i>
      <x v="477"/>
      <x v="423"/>
    </i>
    <i>
      <x v="478"/>
      <x v="1026"/>
    </i>
    <i>
      <x v="479"/>
      <x v="430"/>
    </i>
    <i>
      <x v="480"/>
      <x v="673"/>
    </i>
    <i>
      <x v="481"/>
      <x v="1103"/>
    </i>
    <i>
      <x v="482"/>
      <x v="333"/>
    </i>
    <i>
      <x v="483"/>
      <x v="295"/>
    </i>
    <i>
      <x v="484"/>
      <x v="766"/>
    </i>
    <i>
      <x v="485"/>
      <x v="955"/>
    </i>
    <i>
      <x v="486"/>
      <x v="518"/>
    </i>
    <i>
      <x v="487"/>
      <x v="458"/>
    </i>
    <i>
      <x v="488"/>
      <x v="507"/>
    </i>
    <i>
      <x v="489"/>
      <x v="580"/>
    </i>
    <i>
      <x v="490"/>
      <x v="499"/>
    </i>
    <i>
      <x v="491"/>
      <x v="1043"/>
    </i>
    <i>
      <x v="492"/>
      <x v="1105"/>
    </i>
    <i>
      <x v="493"/>
      <x v="60"/>
    </i>
    <i>
      <x v="494"/>
      <x v="59"/>
    </i>
    <i>
      <x v="495"/>
      <x v="398"/>
    </i>
    <i>
      <x v="496"/>
      <x v="167"/>
    </i>
    <i>
      <x v="497"/>
      <x v="117"/>
    </i>
    <i>
      <x v="498"/>
      <x v="157"/>
    </i>
    <i>
      <x v="499"/>
      <x v="892"/>
    </i>
    <i>
      <x v="500"/>
      <x v="422"/>
    </i>
    <i>
      <x v="501"/>
      <x v="506"/>
    </i>
    <i>
      <x v="502"/>
      <x v="542"/>
    </i>
    <i>
      <x v="503"/>
      <x v="496"/>
    </i>
    <i>
      <x v="504"/>
      <x v="758"/>
    </i>
    <i>
      <x v="505"/>
      <x v="855"/>
    </i>
    <i>
      <x v="506"/>
      <x v="816"/>
    </i>
    <i>
      <x v="507"/>
      <x v="867"/>
    </i>
    <i>
      <x v="508"/>
      <x v="869"/>
    </i>
    <i>
      <x v="509"/>
      <x v="856"/>
    </i>
    <i>
      <x v="510"/>
      <x v="1073"/>
    </i>
    <i>
      <x v="511"/>
      <x v="857"/>
    </i>
    <i>
      <x v="512"/>
      <x v="1010"/>
    </i>
    <i>
      <x v="513"/>
      <x v="756"/>
    </i>
    <i>
      <x v="514"/>
      <x v="744"/>
    </i>
    <i>
      <x v="515"/>
      <x v="62"/>
    </i>
    <i>
      <x v="516"/>
      <x v="136"/>
    </i>
    <i>
      <x v="517"/>
      <x v="211"/>
    </i>
    <i>
      <x v="518"/>
      <x v="331"/>
    </i>
    <i>
      <x v="519"/>
      <x v="132"/>
    </i>
    <i>
      <x v="520"/>
      <x v="61"/>
    </i>
    <i>
      <x v="521"/>
      <x v="564"/>
    </i>
    <i>
      <x v="522"/>
      <x v="352"/>
    </i>
    <i>
      <x v="523"/>
      <x v="1077"/>
    </i>
    <i>
      <x v="524"/>
      <x v="1054"/>
    </i>
    <i>
      <x v="525"/>
      <x v="66"/>
    </i>
    <i>
      <x v="526"/>
      <x v="1083"/>
    </i>
    <i>
      <x v="527"/>
      <x v="787"/>
    </i>
    <i>
      <x v="528"/>
      <x v="770"/>
    </i>
    <i>
      <x v="529"/>
      <x v="771"/>
    </i>
    <i>
      <x v="530"/>
      <x v="783"/>
    </i>
    <i>
      <x v="531"/>
      <x v="249"/>
    </i>
    <i>
      <x v="532"/>
      <x v="251"/>
    </i>
    <i>
      <x v="533"/>
      <x v="114"/>
    </i>
    <i>
      <x v="534"/>
      <x v="1092"/>
    </i>
    <i>
      <x v="535"/>
      <x v="900"/>
    </i>
    <i>
      <x v="536"/>
      <x v="742"/>
    </i>
    <i>
      <x v="537"/>
      <x v="1004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 numFmtId="2"/>
  </dataFields>
  <formats count="2">
    <format dxfId="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DB477" cacheId="43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95" firstHeaderRow="0" firstDataRow="1" firstDataCol="2"/>
  <pivotFields count="5">
    <pivotField axis="axisRow" compact="0" outline="0" showAll="0" defaultSubtotal="0">
      <items count="432">
        <item x="26"/>
        <item m="1" x="309"/>
        <item m="1" x="306"/>
        <item m="1" x="212"/>
        <item m="1" x="307"/>
        <item m="1" x="296"/>
        <item m="1" x="408"/>
        <item m="1" x="378"/>
        <item m="1" x="342"/>
        <item m="1" x="277"/>
        <item m="1" x="162"/>
        <item m="1" x="393"/>
        <item m="1" x="249"/>
        <item m="1" x="420"/>
        <item m="1" x="224"/>
        <item m="1" x="235"/>
        <item m="1" x="246"/>
        <item m="1" x="197"/>
        <item m="1" x="217"/>
        <item m="1" x="395"/>
        <item m="1" x="220"/>
        <item m="1" x="379"/>
        <item m="1" x="359"/>
        <item m="1" x="273"/>
        <item m="1" x="424"/>
        <item m="1" x="221"/>
        <item m="1" x="243"/>
        <item m="1" x="287"/>
        <item m="1" x="380"/>
        <item m="1" x="242"/>
        <item m="1" x="325"/>
        <item m="1" x="196"/>
        <item m="1" x="349"/>
        <item m="1" x="281"/>
        <item m="1" x="394"/>
        <item m="1" x="184"/>
        <item m="1" x="397"/>
        <item m="1" x="223"/>
        <item m="1" x="279"/>
        <item m="1" x="335"/>
        <item x="23"/>
        <item m="1" x="336"/>
        <item x="17"/>
        <item x="16"/>
        <item x="18"/>
        <item x="12"/>
        <item m="1" x="361"/>
        <item m="1" x="136"/>
        <item m="1" x="159"/>
        <item m="1" x="391"/>
        <item m="1" x="140"/>
        <item m="1" x="116"/>
        <item m="1" x="95"/>
        <item m="1" x="107"/>
        <item x="0"/>
        <item x="1"/>
        <item m="1" x="106"/>
        <item m="1" x="382"/>
        <item m="1" x="338"/>
        <item m="1" x="324"/>
        <item m="1" x="267"/>
        <item m="1" x="421"/>
        <item m="1" x="171"/>
        <item m="1" x="352"/>
        <item m="1" x="332"/>
        <item m="1" x="178"/>
        <item m="1" x="248"/>
        <item m="1" x="298"/>
        <item m="1" x="185"/>
        <item m="1" x="276"/>
        <item m="1" x="347"/>
        <item m="1" x="282"/>
        <item m="1" x="207"/>
        <item m="1" x="314"/>
        <item m="1" x="346"/>
        <item m="1" x="190"/>
        <item m="1" x="120"/>
        <item m="1" x="239"/>
        <item m="1" x="413"/>
        <item m="1" x="204"/>
        <item m="1" x="161"/>
        <item m="1" x="390"/>
        <item m="1" x="426"/>
        <item m="1" x="370"/>
        <item m="1" x="188"/>
        <item m="1" x="168"/>
        <item m="1" x="316"/>
        <item m="1" x="312"/>
        <item m="1" x="285"/>
        <item m="1" x="427"/>
        <item m="1" x="137"/>
        <item m="1" x="135"/>
        <item m="1" x="170"/>
        <item m="1" x="141"/>
        <item m="1" x="138"/>
        <item m="1" x="147"/>
        <item m="1" x="96"/>
        <item m="1" x="94"/>
        <item m="1" x="115"/>
        <item m="1" x="117"/>
        <item m="1" x="130"/>
        <item m="1" x="165"/>
        <item m="1" x="262"/>
        <item m="1" x="399"/>
        <item m="1" x="271"/>
        <item m="1" x="236"/>
        <item m="1" x="341"/>
        <item m="1" x="356"/>
        <item m="1" x="404"/>
        <item m="1" x="366"/>
        <item m="1" x="244"/>
        <item m="1" x="295"/>
        <item m="1" x="319"/>
        <item m="1" x="245"/>
        <item m="1" x="202"/>
        <item m="1" x="206"/>
        <item m="1" x="187"/>
        <item m="1" x="290"/>
        <item x="15"/>
        <item x="14"/>
        <item m="1" x="321"/>
        <item m="1" x="108"/>
        <item x="25"/>
        <item m="1" x="101"/>
        <item m="1" x="303"/>
        <item m="1" x="406"/>
        <item m="1" x="365"/>
        <item m="1" x="160"/>
        <item m="1" x="308"/>
        <item m="1" x="199"/>
        <item m="1" x="375"/>
        <item m="1" x="158"/>
        <item m="1" x="369"/>
        <item m="1" x="311"/>
        <item m="1" x="304"/>
        <item m="1" x="297"/>
        <item m="1" x="139"/>
        <item m="1" x="169"/>
        <item m="1" x="313"/>
        <item m="1" x="293"/>
        <item m="1" x="234"/>
        <item m="1" x="430"/>
        <item m="1" x="256"/>
        <item m="1" x="209"/>
        <item m="1" x="104"/>
        <item m="1" x="112"/>
        <item m="1" x="363"/>
        <item m="1" x="157"/>
        <item m="1" x="146"/>
        <item m="1" x="337"/>
        <item m="1" x="403"/>
        <item m="1" x="233"/>
        <item m="1" x="265"/>
        <item m="1" x="409"/>
        <item m="1" x="315"/>
        <item m="1" x="381"/>
        <item x="13"/>
        <item m="1" x="124"/>
        <item x="11"/>
        <item m="1" x="150"/>
        <item m="1" x="318"/>
        <item m="1" x="360"/>
        <item m="1" x="149"/>
        <item m="1" x="155"/>
        <item m="1" x="301"/>
        <item m="1" x="291"/>
        <item m="1" x="172"/>
        <item m="1" x="238"/>
        <item m="1" x="411"/>
        <item m="1" x="148"/>
        <item m="1" x="151"/>
        <item m="1" x="153"/>
        <item m="1" x="344"/>
        <item m="1" x="358"/>
        <item m="1" x="259"/>
        <item m="1" x="429"/>
        <item m="1" x="320"/>
        <item m="1" x="368"/>
        <item m="1" x="240"/>
        <item m="1" x="222"/>
        <item m="1" x="283"/>
        <item m="1" x="103"/>
        <item m="1" x="163"/>
        <item m="1" x="219"/>
        <item m="1" x="183"/>
        <item m="1" x="294"/>
        <item m="1" x="225"/>
        <item m="1" x="231"/>
        <item m="1" x="264"/>
        <item m="1" x="371"/>
        <item m="1" x="182"/>
        <item x="24"/>
        <item m="1" x="255"/>
        <item m="1" x="179"/>
        <item m="1" x="386"/>
        <item m="1" x="254"/>
        <item m="1" x="278"/>
        <item m="1" x="292"/>
        <item m="1" x="372"/>
        <item m="1" x="425"/>
        <item m="1" x="237"/>
        <item x="3"/>
        <item m="1" x="367"/>
        <item m="1" x="126"/>
        <item m="1" x="113"/>
        <item m="1" x="111"/>
        <item m="1" x="109"/>
        <item m="1" x="229"/>
        <item m="1" x="121"/>
        <item m="1" x="305"/>
        <item m="1" x="208"/>
        <item m="1" x="145"/>
        <item m="1" x="422"/>
        <item m="1" x="284"/>
        <item m="1" x="215"/>
        <item m="1" x="310"/>
        <item m="1" x="134"/>
        <item m="1" x="173"/>
        <item x="27"/>
        <item m="1" x="388"/>
        <item m="1" x="286"/>
        <item m="1" x="198"/>
        <item m="1" x="398"/>
        <item m="1" x="164"/>
        <item m="1" x="414"/>
        <item m="1" x="317"/>
        <item m="1" x="355"/>
        <item m="1" x="192"/>
        <item m="1" x="384"/>
        <item m="1" x="331"/>
        <item m="1" x="354"/>
        <item m="1" x="377"/>
        <item m="1" x="396"/>
        <item m="1" x="114"/>
        <item m="1" x="268"/>
        <item m="1" x="322"/>
        <item m="1" x="98"/>
        <item m="1" x="100"/>
        <item m="1" x="400"/>
        <item m="1" x="118"/>
        <item m="1" x="383"/>
        <item m="1" x="274"/>
        <item m="1" x="329"/>
        <item x="5"/>
        <item m="1" x="131"/>
        <item m="1" x="218"/>
        <item m="1" x="280"/>
        <item m="1" x="350"/>
        <item m="1" x="402"/>
        <item x="4"/>
        <item m="1" x="177"/>
        <item m="1" x="328"/>
        <item m="1" x="156"/>
        <item m="1" x="230"/>
        <item m="1" x="417"/>
        <item m="1" x="201"/>
        <item m="1" x="302"/>
        <item m="1" x="195"/>
        <item m="1" x="389"/>
        <item m="1" x="323"/>
        <item m="1" x="152"/>
        <item m="1" x="348"/>
        <item m="1" x="289"/>
        <item m="1" x="299"/>
        <item m="1" x="362"/>
        <item m="1" x="275"/>
        <item m="1" x="333"/>
        <item x="22"/>
        <item m="1" x="415"/>
        <item m="1" x="194"/>
        <item m="1" x="144"/>
        <item m="1" x="105"/>
        <item m="1" x="186"/>
        <item m="1" x="211"/>
        <item m="1" x="343"/>
        <item m="1" x="174"/>
        <item m="1" x="247"/>
        <item m="1" x="387"/>
        <item m="1" x="272"/>
        <item m="1" x="260"/>
        <item m="1" x="288"/>
        <item m="1" x="175"/>
        <item m="1" x="97"/>
        <item m="1" x="423"/>
        <item m="1" x="270"/>
        <item m="1" x="180"/>
        <item m="1" x="261"/>
        <item m="1" x="241"/>
        <item m="1" x="191"/>
        <item m="1" x="205"/>
        <item m="1" x="327"/>
        <item m="1" x="419"/>
        <item m="1" x="334"/>
        <item m="1" x="227"/>
        <item m="1" x="176"/>
        <item m="1" x="253"/>
        <item m="1" x="127"/>
        <item m="1" x="376"/>
        <item m="1" x="189"/>
        <item x="2"/>
        <item m="1" x="374"/>
        <item m="1" x="181"/>
        <item m="1" x="407"/>
        <item m="1" x="431"/>
        <item m="1" x="200"/>
        <item m="1" x="351"/>
        <item m="1" x="232"/>
        <item m="1" x="428"/>
        <item m="1" x="250"/>
        <item m="1" x="416"/>
        <item m="1" x="214"/>
        <item m="1" x="269"/>
        <item m="1" x="167"/>
        <item m="1" x="102"/>
        <item m="1" x="216"/>
        <item m="1" x="252"/>
        <item m="1" x="193"/>
        <item m="1" x="300"/>
        <item m="1" x="228"/>
        <item m="1" x="166"/>
        <item m="1" x="326"/>
        <item m="1" x="401"/>
        <item m="1" x="385"/>
        <item m="1" x="210"/>
        <item m="1" x="340"/>
        <item m="1" x="125"/>
        <item m="1" x="392"/>
        <item m="1" x="258"/>
        <item m="1" x="418"/>
        <item m="1" x="412"/>
        <item m="1" x="257"/>
        <item m="1" x="99"/>
        <item x="20"/>
        <item m="1" x="266"/>
        <item m="1" x="405"/>
        <item m="1" x="357"/>
        <item m="1" x="119"/>
        <item x="19"/>
        <item m="1" x="203"/>
        <item m="1" x="373"/>
        <item m="1" x="128"/>
        <item m="1" x="410"/>
        <item m="1" x="345"/>
        <item m="1" x="263"/>
        <item m="1" x="226"/>
        <item m="1" x="339"/>
        <item m="1" x="213"/>
        <item m="1" x="142"/>
        <item m="1" x="330"/>
        <item m="1" x="353"/>
        <item m="1" x="364"/>
        <item m="1" x="123"/>
        <item m="1" x="154"/>
        <item x="28"/>
        <item m="1" x="251"/>
        <item m="1" x="143"/>
        <item x="6"/>
        <item x="21"/>
        <item x="53"/>
        <item x="9"/>
        <item x="10"/>
        <item x="46"/>
        <item m="1" x="122"/>
        <item x="7"/>
        <item x="8"/>
        <item m="1" x="132"/>
        <item x="70"/>
        <item x="62"/>
        <item x="63"/>
        <item m="1" x="133"/>
        <item x="83"/>
        <item m="1" x="129"/>
        <item x="81"/>
        <item x="32"/>
        <item x="61"/>
        <item x="34"/>
        <item x="52"/>
        <item x="80"/>
        <item x="50"/>
        <item x="89"/>
        <item x="31"/>
        <item x="92"/>
        <item x="77"/>
        <item x="78"/>
        <item x="64"/>
        <item m="1" x="110"/>
        <item x="67"/>
        <item x="71"/>
        <item x="54"/>
        <item x="82"/>
        <item x="42"/>
        <item x="55"/>
        <item x="56"/>
        <item x="38"/>
        <item x="44"/>
        <item x="48"/>
        <item x="41"/>
        <item x="85"/>
        <item x="86"/>
        <item x="91"/>
        <item x="36"/>
        <item x="37"/>
        <item x="49"/>
        <item x="51"/>
        <item x="87"/>
        <item x="30"/>
        <item x="39"/>
        <item x="45"/>
        <item x="47"/>
        <item x="69"/>
        <item x="72"/>
        <item x="93"/>
        <item x="29"/>
        <item x="33"/>
        <item x="35"/>
        <item x="40"/>
        <item x="43"/>
        <item x="57"/>
        <item x="58"/>
        <item x="59"/>
        <item x="60"/>
        <item x="65"/>
        <item x="66"/>
        <item x="68"/>
        <item x="73"/>
        <item x="74"/>
        <item x="75"/>
        <item x="76"/>
        <item x="79"/>
        <item x="84"/>
        <item x="88"/>
        <item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0">
        <item x="25"/>
        <item x="0"/>
        <item m="1" x="135"/>
        <item m="1" x="388"/>
        <item m="1" x="101"/>
        <item m="1" x="687"/>
        <item m="1" x="944"/>
        <item m="1" x="578"/>
        <item m="1" x="542"/>
        <item m="1" x="601"/>
        <item m="1" x="664"/>
        <item m="1" x="223"/>
        <item m="1" x="516"/>
        <item m="1" x="833"/>
        <item m="1" x="845"/>
        <item m="1" x="210"/>
        <item x="53"/>
        <item x="54"/>
        <item m="1" x="916"/>
        <item m="1" x="644"/>
        <item m="1" x="967"/>
        <item m="1" x="938"/>
        <item m="1" x="939"/>
        <item m="1" x="960"/>
        <item m="1" x="576"/>
        <item m="1" x="650"/>
        <item m="1" x="572"/>
        <item m="1" x="484"/>
        <item m="1" x="479"/>
        <item m="1" x="838"/>
        <item m="1" x="633"/>
        <item m="1" x="545"/>
        <item m="1" x="706"/>
        <item m="1" x="114"/>
        <item m="1" x="216"/>
        <item x="86"/>
        <item m="1" x="124"/>
        <item x="62"/>
        <item x="63"/>
        <item x="70"/>
        <item x="76"/>
        <item m="1" x="147"/>
        <item m="1" x="156"/>
        <item m="1" x="752"/>
        <item m="1" x="244"/>
        <item m="1" x="425"/>
        <item m="1" x="466"/>
        <item m="1" x="374"/>
        <item m="1" x="314"/>
        <item m="1" x="316"/>
        <item m="1" x="356"/>
        <item m="1" x="312"/>
        <item m="1" x="323"/>
        <item m="1" x="764"/>
        <item m="1" x="715"/>
        <item m="1" x="502"/>
        <item m="1" x="588"/>
        <item m="1" x="436"/>
        <item m="1" x="689"/>
        <item m="1" x="696"/>
        <item m="1" x="871"/>
        <item m="1" x="511"/>
        <item m="1" x="410"/>
        <item m="1" x="546"/>
        <item m="1" x="131"/>
        <item m="1" x="150"/>
        <item m="1" x="510"/>
        <item m="1" x="656"/>
        <item m="1" x="753"/>
        <item m="1" x="604"/>
        <item m="1" x="700"/>
        <item m="1" x="630"/>
        <item m="1" x="970"/>
        <item m="1" x="498"/>
        <item m="1" x="499"/>
        <item m="1" x="861"/>
        <item m="1" x="913"/>
        <item m="1" x="665"/>
        <item m="1" x="645"/>
        <item m="1" x="951"/>
        <item m="1" x="817"/>
        <item x="26"/>
        <item m="1" x="155"/>
        <item m="1" x="775"/>
        <item m="1" x="477"/>
        <item m="1" x="118"/>
        <item m="1" x="117"/>
        <item m="1" x="116"/>
        <item x="71"/>
        <item x="83"/>
        <item m="1" x="167"/>
        <item m="1" x="261"/>
        <item x="78"/>
        <item x="84"/>
        <item x="64"/>
        <item m="1" x="112"/>
        <item m="1" x="113"/>
        <item m="1" x="701"/>
        <item m="1" x="400"/>
        <item m="1" x="615"/>
        <item m="1" x="481"/>
        <item m="1" x="896"/>
        <item m="1" x="496"/>
        <item m="1" x="437"/>
        <item m="1" x="497"/>
        <item m="1" x="657"/>
        <item m="1" x="658"/>
        <item m="1" x="868"/>
        <item m="1" x="467"/>
        <item m="1" x="661"/>
        <item m="1" x="110"/>
        <item m="1" x="532"/>
        <item x="61"/>
        <item m="1" x="575"/>
        <item m="1" x="783"/>
        <item m="1" x="132"/>
        <item m="1" x="182"/>
        <item m="1" x="183"/>
        <item m="1" x="531"/>
        <item m="1" x="492"/>
        <item m="1" x="914"/>
        <item m="1" x="952"/>
        <item m="1" x="345"/>
        <item m="1" x="514"/>
        <item m="1" x="290"/>
        <item m="1" x="837"/>
        <item m="1" x="415"/>
        <item m="1" x="786"/>
        <item m="1" x="495"/>
        <item m="1" x="537"/>
        <item x="72"/>
        <item m="1" x="271"/>
        <item m="1" x="384"/>
        <item m="1" x="787"/>
        <item m="1" x="618"/>
        <item m="1" x="595"/>
        <item m="1" x="733"/>
        <item m="1" x="442"/>
        <item m="1" x="937"/>
        <item m="1" x="697"/>
        <item m="1" x="953"/>
        <item m="1" x="547"/>
        <item m="1" x="755"/>
        <item m="1" x="974"/>
        <item m="1" x="459"/>
        <item m="1" x="893"/>
        <item m="1" x="577"/>
        <item m="1" x="977"/>
        <item m="1" x="434"/>
        <item m="1" x="310"/>
        <item m="1" x="318"/>
        <item m="1" x="325"/>
        <item m="1" x="321"/>
        <item m="1" x="309"/>
        <item m="1" x="313"/>
        <item m="1" x="315"/>
        <item m="1" x="376"/>
        <item m="1" x="307"/>
        <item m="1" x="308"/>
        <item m="1" x="295"/>
        <item x="30"/>
        <item m="1" x="675"/>
        <item m="1" x="668"/>
        <item m="1" x="591"/>
        <item m="1" x="592"/>
        <item m="1" x="671"/>
        <item x="29"/>
        <item m="1" x="598"/>
        <item m="1" x="809"/>
        <item m="1" x="412"/>
        <item m="1" x="395"/>
        <item m="1" x="471"/>
        <item m="1" x="659"/>
        <item m="1" x="652"/>
        <item m="1" x="942"/>
        <item m="1" x="407"/>
        <item m="1" x="286"/>
        <item m="1" x="382"/>
        <item m="1" x="264"/>
        <item m="1" x="284"/>
        <item m="1" x="190"/>
        <item m="1" x="95"/>
        <item x="1"/>
        <item x="67"/>
        <item x="77"/>
        <item m="1" x="125"/>
        <item m="1" x="120"/>
        <item m="1" x="385"/>
        <item m="1" x="420"/>
        <item m="1" x="523"/>
        <item m="1" x="765"/>
        <item m="1" x="432"/>
        <item m="1" x="927"/>
        <item m="1" x="522"/>
        <item m="1" x="621"/>
        <item m="1" x="768"/>
        <item m="1" x="389"/>
        <item m="1" x="930"/>
        <item m="1" x="390"/>
        <item m="1" x="684"/>
        <item m="1" x="519"/>
        <item m="1" x="541"/>
        <item m="1" x="761"/>
        <item m="1" x="379"/>
        <item m="1" x="194"/>
        <item m="1" x="149"/>
        <item m="1" x="152"/>
        <item m="1" x="205"/>
        <item m="1" x="322"/>
        <item m="1" x="849"/>
        <item m="1" x="348"/>
        <item m="1" x="349"/>
        <item m="1" x="947"/>
        <item m="1" x="336"/>
        <item m="1" x="317"/>
        <item m="1" x="311"/>
        <item m="1" x="692"/>
        <item m="1" x="600"/>
        <item m="1" x="141"/>
        <item m="1" x="178"/>
        <item m="1" x="163"/>
        <item m="1" x="177"/>
        <item m="1" x="909"/>
        <item m="1" x="447"/>
        <item m="1" x="895"/>
        <item m="1" x="891"/>
        <item m="1" x="287"/>
        <item m="1" x="285"/>
        <item m="1" x="636"/>
        <item m="1" x="291"/>
        <item m="1" x="288"/>
        <item m="1" x="331"/>
        <item m="1" x="96"/>
        <item m="1" x="94"/>
        <item m="1" x="191"/>
        <item m="1" x="725"/>
        <item m="1" x="616"/>
        <item m="1" x="328"/>
        <item x="82"/>
        <item m="1" x="792"/>
        <item m="1" x="413"/>
        <item m="1" x="393"/>
        <item m="1" x="857"/>
        <item m="1" x="693"/>
        <item m="1" x="605"/>
        <item m="1" x="705"/>
        <item m="1" x="686"/>
        <item m="1" x="785"/>
        <item m="1" x="130"/>
        <item m="1" x="151"/>
        <item m="1" x="326"/>
        <item m="1" x="334"/>
        <item m="1" x="337"/>
        <item m="1" x="905"/>
        <item m="1" x="397"/>
        <item m="1" x="493"/>
        <item m="1" x="877"/>
        <item m="1" x="444"/>
        <item m="1" x="564"/>
        <item m="1" x="796"/>
        <item m="1" x="801"/>
        <item m="1" x="548"/>
        <item m="1" x="828"/>
        <item m="1" x="157"/>
        <item m="1" x="879"/>
        <item m="1" x="552"/>
        <item m="1" x="503"/>
        <item m="1" x="716"/>
        <item m="1" x="556"/>
        <item m="1" x="802"/>
        <item m="1" x="617"/>
        <item m="1" x="822"/>
        <item m="1" x="560"/>
        <item m="1" x="448"/>
        <item m="1" x="431"/>
        <item m="1" x="184"/>
        <item m="1" x="614"/>
        <item x="88"/>
        <item m="1" x="421"/>
        <item m="1" x="949"/>
        <item m="1" x="276"/>
        <item x="89"/>
        <item m="1" x="377"/>
        <item m="1" x="111"/>
        <item m="1" x="180"/>
        <item m="1" x="115"/>
        <item m="1" x="203"/>
        <item m="1" x="813"/>
        <item m="1" x="854"/>
        <item m="1" x="855"/>
        <item m="1" x="571"/>
        <item m="1" x="535"/>
        <item m="1" x="375"/>
        <item m="1" x="458"/>
        <item m="1" x="289"/>
        <item m="1" x="457"/>
        <item x="27"/>
        <item m="1" x="144"/>
        <item x="65"/>
        <item m="1" x="145"/>
        <item m="1" x="435"/>
        <item x="68"/>
        <item m="1" x="936"/>
        <item m="1" x="918"/>
        <item m="1" x="439"/>
        <item m="1" x="582"/>
        <item m="1" x="455"/>
        <item m="1" x="171"/>
        <item m="1" x="176"/>
        <item m="1" x="745"/>
        <item m="1" x="446"/>
        <item m="1" x="867"/>
        <item m="1" x="561"/>
        <item m="1" x="587"/>
        <item m="1" x="520"/>
        <item m="1" x="146"/>
        <item m="1" x="793"/>
        <item m="1" x="760"/>
        <item m="1" x="729"/>
        <item m="1" x="915"/>
        <item m="1" x="777"/>
        <item m="1" x="136"/>
        <item m="1" x="774"/>
        <item m="1" x="565"/>
        <item m="1" x="971"/>
        <item m="1" x="373"/>
        <item m="1" x="330"/>
        <item m="1" x="718"/>
        <item m="1" x="508"/>
        <item m="1" x="199"/>
        <item m="1" x="469"/>
        <item m="1" x="749"/>
        <item m="1" x="827"/>
        <item m="1" x="724"/>
        <item m="1" x="959"/>
        <item m="1" x="380"/>
        <item m="1" x="795"/>
        <item m="1" x="943"/>
        <item m="1" x="703"/>
        <item m="1" x="766"/>
        <item m="1" x="489"/>
        <item x="69"/>
        <item m="1" x="935"/>
        <item m="1" x="647"/>
        <item m="1" x="354"/>
        <item m="1" x="370"/>
        <item m="1" x="946"/>
        <item m="1" x="530"/>
        <item m="1" x="807"/>
        <item m="1" x="427"/>
        <item m="1" x="609"/>
        <item m="1" x="586"/>
        <item m="1" x="704"/>
        <item m="1" x="539"/>
        <item m="1" x="513"/>
        <item m="1" x="533"/>
        <item m="1" x="791"/>
        <item m="1" x="233"/>
        <item m="1" x="806"/>
        <item m="1" x="259"/>
        <item m="1" x="121"/>
        <item m="1" x="585"/>
        <item m="1" x="338"/>
        <item m="1" x="258"/>
        <item m="1" x="906"/>
        <item m="1" x="781"/>
        <item m="1" x="551"/>
        <item m="1" x="966"/>
        <item m="1" x="153"/>
        <item m="1" x="383"/>
        <item m="1" x="736"/>
        <item m="1" x="771"/>
        <item m="1" x="834"/>
        <item m="1" x="440"/>
        <item m="1" x="804"/>
        <item m="1" x="611"/>
        <item m="1" x="418"/>
        <item m="1" x="433"/>
        <item m="1" x="732"/>
        <item m="1" x="826"/>
        <item m="1" x="812"/>
        <item m="1" x="649"/>
        <item m="1" x="972"/>
        <item m="1" x="750"/>
        <item m="1" x="570"/>
        <item m="1" x="770"/>
        <item m="1" x="714"/>
        <item m="1" x="968"/>
        <item m="1" x="707"/>
        <item m="1" x="409"/>
        <item m="1" x="486"/>
        <item m="1" x="637"/>
        <item m="1" x="391"/>
        <item m="1" x="574"/>
        <item m="1" x="521"/>
        <item m="1" x="829"/>
        <item m="1" x="472"/>
        <item m="1" x="419"/>
        <item m="1" x="487"/>
        <item m="1" x="529"/>
        <item x="24"/>
        <item m="1" x="562"/>
        <item m="1" x="631"/>
        <item m="1" x="713"/>
        <item m="1" x="747"/>
        <item x="85"/>
        <item m="1" x="505"/>
        <item m="1" x="748"/>
        <item m="1" x="624"/>
        <item m="1" x="589"/>
        <item m="1" x="864"/>
        <item m="1" x="746"/>
        <item m="1" x="403"/>
        <item m="1" x="504"/>
        <item m="1" x="197"/>
        <item x="40"/>
        <item x="3"/>
        <item x="35"/>
        <item x="33"/>
        <item m="1" x="563"/>
        <item m="1" x="743"/>
        <item m="1" x="220"/>
        <item m="1" x="173"/>
        <item m="1" x="160"/>
        <item m="1" x="158"/>
        <item m="1" x="490"/>
        <item m="1" x="579"/>
        <item m="1" x="721"/>
        <item m="1" x="450"/>
        <item m="1" x="195"/>
        <item x="66"/>
        <item m="1" x="119"/>
        <item m="1" x="846"/>
        <item m="1" x="885"/>
        <item x="31"/>
        <item m="1" x="329"/>
        <item m="1" x="408"/>
        <item m="1" x="654"/>
        <item m="1" x="717"/>
        <item x="74"/>
        <item m="1" x="263"/>
        <item m="1" x="973"/>
        <item m="1" x="921"/>
        <item m="1" x="272"/>
        <item m="1" x="876"/>
        <item m="1" x="525"/>
        <item m="1" x="922"/>
        <item m="1" x="680"/>
        <item x="75"/>
        <item x="73"/>
        <item m="1" x="221"/>
        <item m="1" x="507"/>
        <item m="1" x="758"/>
        <item m="1" x="908"/>
        <item m="1" x="506"/>
        <item m="1" x="641"/>
        <item m="1" x="181"/>
        <item m="1" x="860"/>
        <item m="1" x="741"/>
        <item m="1" x="881"/>
        <item m="1" x="932"/>
        <item m="1" x="866"/>
        <item m="1" x="512"/>
        <item m="1" x="553"/>
        <item m="1" x="856"/>
        <item m="1" x="567"/>
        <item m="1" x="581"/>
        <item m="1" x="613"/>
        <item m="1" x="975"/>
        <item m="1" x="898"/>
        <item m="1" x="875"/>
        <item m="1" x="398"/>
        <item m="1" x="188"/>
        <item m="1" x="122"/>
        <item m="1" x="976"/>
        <item m="1" x="517"/>
        <item m="1" x="941"/>
        <item m="1" x="836"/>
        <item m="1" x="98"/>
        <item m="1" x="920"/>
        <item m="1" x="872"/>
        <item m="1" x="527"/>
        <item m="1" x="685"/>
        <item m="1" x="778"/>
        <item m="1" x="848"/>
        <item m="1" x="596"/>
        <item m="1" x="723"/>
        <item m="1" x="940"/>
        <item m="1" x="843"/>
        <item m="1" x="911"/>
        <item m="1" x="404"/>
        <item m="1" x="979"/>
        <item m="1" x="852"/>
        <item m="1" x="810"/>
        <item m="1" x="405"/>
        <item m="1" x="655"/>
        <item m="1" x="894"/>
        <item m="1" x="814"/>
        <item m="1" x="884"/>
        <item m="1" x="904"/>
        <item m="1" x="832"/>
        <item m="1" x="411"/>
        <item m="1" x="422"/>
        <item m="1" x="859"/>
        <item m="1" x="332"/>
        <item m="1" x="742"/>
        <item m="1" x="695"/>
        <item m="1" x="880"/>
        <item x="37"/>
        <item m="1" x="416"/>
        <item x="39"/>
        <item m="1" x="475"/>
        <item m="1" x="628"/>
        <item x="5"/>
        <item m="1" x="245"/>
        <item x="36"/>
        <item m="1" x="217"/>
        <item m="1" x="726"/>
        <item m="1" x="722"/>
        <item m="1" x="501"/>
        <item m="1" x="549"/>
        <item m="1" x="858"/>
        <item m="1" x="460"/>
        <item m="1" x="776"/>
        <item m="1" x="794"/>
        <item m="1" x="709"/>
        <item x="4"/>
        <item m="1" x="351"/>
        <item m="1" x="917"/>
        <item m="1" x="790"/>
        <item m="1" x="870"/>
        <item m="1" x="851"/>
        <item m="1" x="767"/>
        <item x="34"/>
        <item m="1" x="886"/>
        <item m="1" x="728"/>
        <item m="1" x="249"/>
        <item m="1" x="478"/>
        <item m="1" x="371"/>
        <item m="1" x="610"/>
        <item m="1" x="798"/>
        <item x="79"/>
        <item m="1" x="945"/>
        <item m="1" x="554"/>
        <item m="1" x="739"/>
        <item m="1" x="333"/>
        <item m="1" x="643"/>
        <item m="1" x="438"/>
        <item m="1" x="681"/>
        <item m="1" x="558"/>
        <item m="1" x="304"/>
        <item m="1" x="464"/>
        <item x="32"/>
        <item m="1" x="874"/>
        <item m="1" x="808"/>
        <item m="1" x="667"/>
        <item m="1" x="583"/>
        <item m="1" x="273"/>
        <item m="1" x="841"/>
        <item m="1" x="889"/>
        <item m="1" x="925"/>
        <item m="1" x="683"/>
        <item m="1" x="359"/>
        <item m="1" x="622"/>
        <item m="1" x="638"/>
        <item m="1" x="619"/>
        <item m="1" x="892"/>
        <item m="1" x="727"/>
        <item m="1" x="274"/>
        <item m="1" x="557"/>
        <item m="1" x="226"/>
        <item m="1" x="399"/>
        <item m="1" x="929"/>
        <item m="1" x="640"/>
        <item m="1" x="779"/>
        <item m="1" x="100"/>
        <item m="1" x="555"/>
        <item m="1" x="543"/>
        <item m="1" x="756"/>
        <item m="1" x="452"/>
        <item m="1" x="443"/>
        <item m="1" x="958"/>
        <item m="1" x="357"/>
        <item m="1" x="653"/>
        <item m="1" x="358"/>
        <item m="1" x="366"/>
        <item m="1" x="902"/>
        <item m="1" x="678"/>
        <item x="22"/>
        <item x="17"/>
        <item x="16"/>
        <item m="1" x="483"/>
        <item m="1" x="402"/>
        <item x="18"/>
        <item m="1" x="912"/>
        <item x="12"/>
        <item x="13"/>
        <item m="1" x="192"/>
        <item x="14"/>
        <item m="1" x="672"/>
        <item m="1" x="820"/>
        <item m="1" x="251"/>
        <item m="1" x="694"/>
        <item m="1" x="734"/>
        <item m="1" x="862"/>
        <item m="1" x="780"/>
        <item m="1" x="428"/>
        <item x="15"/>
        <item x="11"/>
        <item m="1" x="825"/>
        <item m="1" x="674"/>
        <item m="1" x="294"/>
        <item m="1" x="137"/>
        <item m="1" x="719"/>
        <item m="1" x="401"/>
        <item m="1" x="593"/>
        <item m="1" x="926"/>
        <item m="1" x="923"/>
        <item m="1" x="948"/>
        <item m="1" x="626"/>
        <item m="1" x="673"/>
        <item m="1" x="784"/>
        <item m="1" x="214"/>
        <item m="1" x="824"/>
        <item m="1" x="660"/>
        <item m="1" x="474"/>
        <item m="1" x="386"/>
        <item m="1" x="278"/>
        <item m="1" x="803"/>
        <item m="1" x="934"/>
        <item m="1" x="476"/>
        <item m="1" x="445"/>
        <item m="1" x="924"/>
        <item m="1" x="632"/>
        <item m="1" x="480"/>
        <item m="1" x="430"/>
        <item m="1" x="751"/>
        <item m="1" x="883"/>
        <item m="1" x="239"/>
        <item m="1" x="240"/>
        <item m="1" x="762"/>
        <item m="1" x="355"/>
        <item m="1" x="639"/>
        <item m="1" x="772"/>
        <item m="1" x="524"/>
        <item m="1" x="679"/>
        <item m="1" x="597"/>
        <item m="1" x="590"/>
        <item m="1" x="830"/>
        <item m="1" x="603"/>
        <item m="1" x="449"/>
        <item m="1" x="797"/>
        <item m="1" x="569"/>
        <item m="1" x="201"/>
        <item m="1" x="202"/>
        <item m="1" x="544"/>
        <item m="1" x="670"/>
        <item m="1" x="608"/>
        <item m="1" x="97"/>
        <item m="1" x="426"/>
        <item m="1" x="954"/>
        <item m="1" x="392"/>
        <item m="1" x="865"/>
        <item m="1" x="454"/>
        <item m="1" x="873"/>
        <item m="1" x="378"/>
        <item m="1" x="536"/>
        <item m="1" x="347"/>
        <item m="1" x="901"/>
        <item m="1" x="462"/>
        <item m="1" x="607"/>
        <item m="1" x="850"/>
        <item m="1" x="847"/>
        <item m="1" x="662"/>
        <item m="1" x="698"/>
        <item m="1" x="910"/>
        <item m="1" x="708"/>
        <item m="1" x="735"/>
        <item m="1" x="690"/>
        <item m="1" x="882"/>
        <item m="1" x="676"/>
        <item m="1" x="666"/>
        <item m="1" x="346"/>
        <item m="1" x="473"/>
        <item m="1" x="900"/>
        <item m="1" x="396"/>
        <item m="1" x="754"/>
        <item m="1" x="730"/>
        <item m="1" x="424"/>
        <item m="1" x="669"/>
        <item m="1" x="161"/>
        <item m="1" x="228"/>
        <item m="1" x="956"/>
        <item m="1" x="634"/>
        <item m="1" x="682"/>
        <item m="1" x="580"/>
        <item m="1" x="677"/>
        <item x="2"/>
        <item m="1" x="485"/>
        <item m="1" x="869"/>
        <item m="1" x="518"/>
        <item m="1" x="844"/>
        <item m="1" x="800"/>
        <item m="1" x="482"/>
        <item m="1" x="969"/>
        <item m="1" x="625"/>
        <item m="1" x="699"/>
        <item m="1" x="429"/>
        <item m="1" x="174"/>
        <item x="38"/>
        <item m="1" x="823"/>
        <item m="1" x="831"/>
        <item m="1" x="627"/>
        <item x="93"/>
        <item m="1" x="186"/>
        <item m="1" x="255"/>
        <item m="1" x="154"/>
        <item m="1" x="961"/>
        <item m="1" x="320"/>
        <item m="1" x="277"/>
        <item m="1" x="187"/>
        <item m="1" x="134"/>
        <item m="1" x="888"/>
        <item m="1" x="720"/>
        <item m="1" x="740"/>
        <item m="1" x="441"/>
        <item m="1" x="899"/>
        <item m="1" x="612"/>
        <item m="1" x="488"/>
        <item m="1" x="394"/>
        <item x="44"/>
        <item x="45"/>
        <item m="1" x="423"/>
        <item m="1" x="198"/>
        <item m="1" x="267"/>
        <item m="1" x="957"/>
        <item m="1" x="456"/>
        <item m="1" x="789"/>
        <item m="1" x="712"/>
        <item m="1" x="280"/>
        <item m="1" x="126"/>
        <item m="1" x="933"/>
        <item m="1" x="515"/>
        <item m="1" x="451"/>
        <item m="1" x="254"/>
        <item m="1" x="540"/>
        <item x="81"/>
        <item m="1" x="169"/>
        <item m="1" x="148"/>
        <item m="1" x="128"/>
        <item m="1" x="129"/>
        <item m="1" x="853"/>
        <item m="1" x="123"/>
        <item m="1" x="234"/>
        <item m="1" x="204"/>
        <item x="90"/>
        <item m="1" x="262"/>
        <item m="1" x="821"/>
        <item m="1" x="107"/>
        <item m="1" x="623"/>
        <item m="1" x="213"/>
        <item m="1" x="964"/>
        <item m="1" x="102"/>
        <item m="1" x="127"/>
        <item m="1" x="170"/>
        <item m="1" x="568"/>
        <item m="1" x="465"/>
        <item m="1" x="815"/>
        <item m="1" x="642"/>
        <item m="1" x="215"/>
        <item m="1" x="691"/>
        <item m="1" x="594"/>
        <item m="1" x="818"/>
        <item m="1" x="528"/>
        <item m="1" x="387"/>
        <item m="1" x="688"/>
        <item m="1" x="903"/>
        <item m="1" x="602"/>
        <item m="1" x="931"/>
        <item m="1" x="99"/>
        <item x="20"/>
        <item m="1" x="799"/>
        <item m="1" x="406"/>
        <item m="1" x="193"/>
        <item x="19"/>
        <item m="1" x="955"/>
        <item m="1" x="907"/>
        <item m="1" x="230"/>
        <item m="1" x="414"/>
        <item x="56"/>
        <item x="57"/>
        <item m="1" x="919"/>
        <item x="52"/>
        <item m="1" x="344"/>
        <item m="1" x="757"/>
        <item m="1" x="663"/>
        <item m="1" x="327"/>
        <item m="1" x="965"/>
        <item m="1" x="363"/>
        <item m="1" x="461"/>
        <item m="1" x="526"/>
        <item x="23"/>
        <item m="1" x="839"/>
        <item m="1" x="878"/>
        <item m="1" x="417"/>
        <item m="1" x="819"/>
        <item m="1" x="646"/>
        <item m="1" x="805"/>
        <item m="1" x="292"/>
        <item m="1" x="897"/>
        <item m="1" x="361"/>
        <item m="1" x="468"/>
        <item m="1" x="573"/>
        <item m="1" x="737"/>
        <item m="1" x="887"/>
        <item m="1" x="109"/>
        <item m="1" x="651"/>
        <item m="1" x="298"/>
        <item m="1" x="566"/>
        <item m="1" x="266"/>
        <item m="1" x="219"/>
        <item m="1" x="702"/>
        <item m="1" x="890"/>
        <item m="1" x="962"/>
        <item m="1" x="835"/>
        <item m="1" x="963"/>
        <item m="1" x="928"/>
        <item m="1" x="360"/>
        <item m="1" x="305"/>
        <item m="1" x="840"/>
        <item m="1" x="494"/>
        <item m="1" x="842"/>
        <item x="87"/>
        <item m="1" x="710"/>
        <item m="1" x="509"/>
        <item m="1" x="491"/>
        <item m="1" x="463"/>
        <item m="1" x="241"/>
        <item m="1" x="133"/>
        <item m="1" x="500"/>
        <item m="1" x="335"/>
        <item m="1" x="731"/>
        <item m="1" x="744"/>
        <item m="1" x="788"/>
        <item m="1" x="231"/>
        <item m="1" x="224"/>
        <item m="1" x="227"/>
        <item m="1" x="629"/>
        <item m="1" x="863"/>
        <item m="1" x="816"/>
        <item m="1" x="212"/>
        <item m="1" x="362"/>
        <item m="1" x="200"/>
        <item m="1" x="350"/>
        <item m="1" x="773"/>
        <item m="1" x="759"/>
        <item m="1" x="950"/>
        <item m="1" x="711"/>
        <item m="1" x="606"/>
        <item m="1" x="978"/>
        <item m="1" x="769"/>
        <item m="1" x="235"/>
        <item m="1" x="242"/>
        <item m="1" x="168"/>
        <item m="1" x="253"/>
        <item m="1" x="550"/>
        <item m="1" x="381"/>
        <item m="1" x="343"/>
        <item m="1" x="260"/>
        <item m="1" x="559"/>
        <item m="1" x="252"/>
        <item m="1" x="282"/>
        <item m="1" x="208"/>
        <item m="1" x="599"/>
        <item x="92"/>
        <item m="1" x="368"/>
        <item m="1" x="269"/>
        <item m="1" x="306"/>
        <item x="28"/>
        <item m="1" x="453"/>
        <item m="1" x="300"/>
        <item m="1" x="103"/>
        <item m="1" x="175"/>
        <item m="1" x="811"/>
        <item m="1" x="236"/>
        <item m="1" x="782"/>
        <item m="1" x="222"/>
        <item m="1" x="248"/>
        <item m="1" x="470"/>
        <item m="1" x="584"/>
        <item m="1" x="293"/>
        <item x="41"/>
        <item m="1" x="138"/>
        <item x="42"/>
        <item m="1" x="296"/>
        <item m="1" x="139"/>
        <item m="1" x="162"/>
        <item m="1" x="364"/>
        <item m="1" x="352"/>
        <item m="1" x="534"/>
        <item m="1" x="189"/>
        <item m="1" x="538"/>
        <item m="1" x="763"/>
        <item m="1" x="339"/>
        <item m="1" x="340"/>
        <item m="1" x="341"/>
        <item m="1" x="225"/>
        <item m="1" x="206"/>
        <item m="1" x="297"/>
        <item m="1" x="635"/>
        <item m="1" x="620"/>
        <item m="1" x="281"/>
        <item m="1" x="302"/>
        <item m="1" x="648"/>
        <item m="1" x="250"/>
        <item x="43"/>
        <item m="1" x="257"/>
        <item m="1" x="342"/>
        <item m="1" x="196"/>
        <item m="1" x="275"/>
        <item m="1" x="738"/>
        <item m="1" x="365"/>
        <item m="1" x="246"/>
        <item m="1" x="104"/>
        <item m="1" x="372"/>
        <item m="1" x="256"/>
        <item m="1" x="324"/>
        <item m="1" x="369"/>
        <item m="1" x="367"/>
        <item m="1" x="319"/>
        <item m="1" x="165"/>
        <item m="1" x="353"/>
        <item m="1" x="303"/>
        <item m="1" x="299"/>
        <item m="1" x="232"/>
        <item m="1" x="301"/>
        <item x="6"/>
        <item x="21"/>
        <item m="1" x="108"/>
        <item m="1" x="164"/>
        <item m="1" x="279"/>
        <item x="9"/>
        <item x="10"/>
        <item x="50"/>
        <item m="1" x="211"/>
        <item x="55"/>
        <item m="1" x="142"/>
        <item x="58"/>
        <item x="59"/>
        <item x="46"/>
        <item m="1" x="207"/>
        <item x="7"/>
        <item x="8"/>
        <item m="1" x="283"/>
        <item m="1" x="268"/>
        <item x="47"/>
        <item x="48"/>
        <item x="60"/>
        <item m="1" x="179"/>
        <item m="1" x="143"/>
        <item m="1" x="105"/>
        <item m="1" x="209"/>
        <item m="1" x="106"/>
        <item m="1" x="270"/>
        <item x="49"/>
        <item x="51"/>
        <item m="1" x="140"/>
        <item m="1" x="265"/>
        <item x="80"/>
        <item m="1" x="238"/>
        <item m="1" x="172"/>
        <item m="1" x="229"/>
        <item x="91"/>
        <item m="1" x="185"/>
        <item m="1" x="237"/>
        <item m="1" x="247"/>
        <item m="1" x="243"/>
        <item m="1" x="166"/>
        <item m="1" x="218"/>
        <item m="1" x="1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4">
    <i>
      <x/>
      <x v="81"/>
    </i>
    <i>
      <x v="40"/>
      <x v="801"/>
    </i>
    <i>
      <x v="42"/>
      <x v="589"/>
    </i>
    <i>
      <x v="43"/>
      <x v="590"/>
    </i>
    <i>
      <x v="44"/>
      <x v="593"/>
    </i>
    <i>
      <x v="45"/>
      <x v="595"/>
    </i>
    <i>
      <x v="54"/>
      <x v="1"/>
    </i>
    <i>
      <x v="55"/>
      <x v="182"/>
    </i>
    <i>
      <x v="118"/>
      <x v="607"/>
    </i>
    <i>
      <x v="119"/>
      <x v="598"/>
    </i>
    <i>
      <x v="122"/>
      <x/>
    </i>
    <i>
      <x v="156"/>
      <x v="596"/>
    </i>
    <i>
      <x v="158"/>
      <x v="608"/>
    </i>
    <i>
      <x v="191"/>
      <x v="400"/>
    </i>
    <i>
      <x v="201"/>
      <x v="416"/>
    </i>
    <i>
      <x v="218"/>
      <x v="296"/>
    </i>
    <i>
      <x v="243"/>
      <x v="513"/>
    </i>
    <i>
      <x v="249"/>
      <x v="526"/>
    </i>
    <i>
      <x v="267"/>
      <x v="588"/>
    </i>
    <i>
      <x v="299"/>
      <x v="697"/>
    </i>
    <i>
      <x v="332"/>
      <x v="780"/>
    </i>
    <i>
      <x v="337"/>
      <x v="784"/>
    </i>
    <i>
      <x v="353"/>
      <x v="878"/>
    </i>
    <i>
      <x v="356"/>
      <x v="936"/>
    </i>
    <i>
      <x v="357"/>
      <x v="937"/>
    </i>
    <i>
      <x v="358"/>
      <x v="16"/>
    </i>
    <i>
      <x v="359"/>
      <x v="941"/>
    </i>
    <i>
      <x v="360"/>
      <x v="942"/>
    </i>
    <i>
      <x v="361"/>
      <x v="949"/>
    </i>
    <i>
      <x v="363"/>
      <x v="951"/>
    </i>
    <i>
      <x v="364"/>
      <x v="952"/>
    </i>
    <i>
      <x v="366"/>
      <x v="39"/>
    </i>
    <i>
      <x v="367"/>
      <x v="37"/>
    </i>
    <i>
      <x v="368"/>
      <x v="38"/>
    </i>
    <i>
      <x v="370"/>
      <x v="89"/>
    </i>
    <i>
      <x v="372"/>
      <x v="746"/>
    </i>
    <i>
      <x v="373"/>
      <x v="552"/>
    </i>
    <i>
      <x v="374"/>
      <x v="112"/>
    </i>
    <i>
      <x v="375"/>
      <x v="533"/>
    </i>
    <i>
      <x v="376"/>
      <x v="792"/>
    </i>
    <i>
      <x v="377"/>
      <x v="968"/>
    </i>
    <i>
      <x v="378"/>
      <x v="943"/>
    </i>
    <i>
      <x v="379"/>
      <x v="281"/>
    </i>
    <i>
      <x v="380"/>
      <x v="434"/>
    </i>
    <i>
      <x v="381"/>
      <x v="874"/>
    </i>
    <i>
      <x v="382"/>
      <x v="184"/>
    </i>
    <i>
      <x v="383"/>
      <x v="92"/>
    </i>
    <i>
      <x v="384"/>
      <x v="94"/>
    </i>
    <i>
      <x v="386"/>
      <x v="183"/>
    </i>
    <i>
      <x v="387"/>
      <x v="88"/>
    </i>
    <i>
      <x v="388"/>
      <x v="17"/>
    </i>
    <i>
      <x v="389"/>
      <x v="238"/>
    </i>
    <i>
      <x v="390"/>
      <x v="893"/>
    </i>
    <i>
      <x v="391"/>
      <x v="945"/>
    </i>
    <i>
      <x v="392"/>
      <x v="789"/>
    </i>
    <i>
      <x v="393"/>
      <x v="709"/>
    </i>
    <i>
      <x v="394"/>
      <x v="730"/>
    </i>
    <i>
      <x v="395"/>
      <x v="956"/>
    </i>
    <i>
      <x v="396"/>
      <x v="891"/>
    </i>
    <i>
      <x v="397"/>
      <x v="405"/>
    </i>
    <i>
      <x v="398"/>
      <x v="35"/>
    </i>
    <i>
      <x v="399"/>
      <x v="972"/>
    </i>
    <i>
      <x v="400"/>
      <x v="515"/>
    </i>
    <i>
      <x v="401"/>
      <x v="508"/>
    </i>
    <i>
      <x v="402"/>
      <x v="964"/>
    </i>
    <i>
      <x v="403"/>
      <x v="965"/>
    </i>
    <i>
      <x v="404"/>
      <x v="832"/>
    </i>
    <i>
      <x v="405"/>
      <x v="160"/>
    </i>
    <i>
      <x v="406"/>
      <x v="510"/>
    </i>
    <i>
      <x v="407"/>
      <x v="731"/>
    </i>
    <i>
      <x v="408"/>
      <x v="955"/>
    </i>
    <i>
      <x v="409"/>
      <x v="341"/>
    </i>
    <i>
      <x v="410"/>
      <x v="130"/>
    </i>
    <i>
      <x v="411"/>
      <x v="713"/>
    </i>
    <i>
      <x v="412"/>
      <x v="166"/>
    </i>
    <i>
      <x v="413"/>
      <x v="418"/>
    </i>
    <i>
      <x v="414"/>
      <x v="417"/>
    </i>
    <i>
      <x v="415"/>
      <x v="415"/>
    </i>
    <i>
      <x v="416"/>
      <x v="915"/>
    </i>
    <i>
      <x v="417"/>
      <x v="790"/>
    </i>
    <i>
      <x v="418"/>
      <x v="947"/>
    </i>
    <i>
      <x v="419"/>
      <x v="948"/>
    </i>
    <i>
      <x v="420"/>
      <x v="957"/>
    </i>
    <i>
      <x v="421"/>
      <x v="298"/>
    </i>
    <i>
      <x v="422"/>
      <x v="430"/>
    </i>
    <i>
      <x v="423"/>
      <x v="301"/>
    </i>
    <i>
      <x v="424"/>
      <x v="449"/>
    </i>
    <i>
      <x v="425"/>
      <x v="439"/>
    </i>
    <i>
      <x v="426"/>
      <x v="448"/>
    </i>
    <i>
      <x v="427"/>
      <x v="40"/>
    </i>
    <i>
      <x v="428"/>
      <x v="541"/>
    </i>
    <i>
      <x v="429"/>
      <x v="93"/>
    </i>
    <i>
      <x v="430"/>
      <x v="277"/>
    </i>
    <i>
      <x v="431"/>
      <x v="755"/>
    </i>
  </rowItems>
  <colFields count="1">
    <field x="-2"/>
  </colFields>
  <colItems count="3">
    <i>
      <x/>
    </i>
    <i i="1">
      <x v="1"/>
    </i>
    <i i="2">
      <x v="2"/>
    </i>
  </colItems>
  <dataFields count="3">
    <dataField name="DB477" fld="2" baseField="0" baseItem="0"/>
    <dataField name="Suma de Columna4" fld="3" baseField="0" baseItem="0" numFmtId="2"/>
    <dataField name="Suma de Columna5" fld="4" baseField="0" baseItem="0" numFmtId="2"/>
  </dataFields>
  <formats count="1">
    <format dxfId="55">
      <pivotArea outline="0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75575C-31E6-4C76-B131-AFBED3FA8431}" name="DBMAYORISTAA" cacheId="37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3" firstHeaderRow="0" firstDataRow="1" firstDataCol="2"/>
  <pivotFields count="5">
    <pivotField axis="axisRow" compact="0" outline="0" showAll="0" defaultSubtotal="0">
      <items count="313">
        <item m="1" x="25"/>
        <item m="1" x="48"/>
        <item m="1" x="258"/>
        <item m="1" x="97"/>
        <item m="1" x="75"/>
        <item m="1" x="203"/>
        <item m="1" x="112"/>
        <item m="1" x="278"/>
        <item m="1" x="220"/>
        <item m="1" x="308"/>
        <item m="1" x="206"/>
        <item m="1" x="223"/>
        <item m="1" x="15"/>
        <item m="1" x="17"/>
        <item m="1" x="171"/>
        <item m="1" x="265"/>
        <item m="1" x="85"/>
        <item m="1" x="137"/>
        <item m="1" x="67"/>
        <item m="1" x="156"/>
        <item m="1" x="103"/>
        <item m="1" x="69"/>
        <item m="1" x="28"/>
        <item m="1" x="26"/>
        <item m="1" x="29"/>
        <item m="1" x="6"/>
        <item m="1" x="224"/>
        <item m="1" x="23"/>
        <item m="1" x="99"/>
        <item m="1" x="104"/>
        <item m="1" x="60"/>
        <item m="1" x="236"/>
        <item m="1" x="225"/>
        <item m="1" x="222"/>
        <item m="1" x="59"/>
        <item m="1" x="150"/>
        <item m="1" x="273"/>
        <item m="1" x="279"/>
        <item m="1" x="290"/>
        <item m="1" x="36"/>
        <item m="1" x="183"/>
        <item m="1" x="53"/>
        <item m="1" x="240"/>
        <item m="1" x="231"/>
        <item m="1" x="16"/>
        <item m="1" x="121"/>
        <item m="1" x="146"/>
        <item m="1" x="261"/>
        <item m="1" x="173"/>
        <item m="1" x="32"/>
        <item m="1" x="127"/>
        <item m="1" x="94"/>
        <item m="1" x="89"/>
        <item m="1" x="51"/>
        <item m="1" x="10"/>
        <item m="1" x="200"/>
        <item m="1" x="125"/>
        <item m="1" x="270"/>
        <item m="1" x="259"/>
        <item m="1" x="182"/>
        <item m="1" x="113"/>
        <item m="1" x="211"/>
        <item m="1" x="101"/>
        <item m="1" x="170"/>
        <item m="1" x="3"/>
        <item m="1" x="235"/>
        <item m="1" x="205"/>
        <item m="1" x="288"/>
        <item m="1" x="135"/>
        <item m="1" x="215"/>
        <item m="1" x="305"/>
        <item m="1" x="37"/>
        <item m="1" x="213"/>
        <item m="1" x="2"/>
        <item m="1" x="49"/>
        <item m="1" x="12"/>
        <item m="1" x="81"/>
        <item m="1" x="82"/>
        <item m="1" x="243"/>
        <item m="1" x="216"/>
        <item m="1" x="58"/>
        <item m="1" x="83"/>
        <item m="1" x="27"/>
        <item m="1" x="287"/>
        <item m="1" x="245"/>
        <item m="1" x="307"/>
        <item m="1" x="289"/>
        <item m="1" x="293"/>
        <item m="1" x="260"/>
        <item m="1" x="210"/>
        <item m="1" x="105"/>
        <item m="1" x="66"/>
        <item m="1" x="297"/>
        <item m="1" x="188"/>
        <item m="1" x="68"/>
        <item m="1" x="256"/>
        <item m="1" x="52"/>
        <item m="1" x="54"/>
        <item m="1" x="13"/>
        <item m="1" x="162"/>
        <item m="1" x="303"/>
        <item m="1" x="193"/>
        <item m="1" x="269"/>
        <item m="1" x="237"/>
        <item m="1" x="14"/>
        <item m="1" x="202"/>
        <item m="1" x="90"/>
        <item m="1" x="91"/>
        <item m="1" x="92"/>
        <item m="1" x="93"/>
        <item m="1" x="34"/>
        <item m="1" x="212"/>
        <item m="1" x="311"/>
        <item m="1" x="248"/>
        <item m="1" x="106"/>
        <item m="1" x="221"/>
        <item m="1" x="139"/>
        <item m="1" x="38"/>
        <item m="1" x="169"/>
        <item m="1" x="47"/>
        <item m="1" x="8"/>
        <item m="1" x="167"/>
        <item m="1" x="226"/>
        <item m="1" x="172"/>
        <item m="1" x="299"/>
        <item m="1" x="157"/>
        <item m="1" x="174"/>
        <item m="1" x="24"/>
        <item m="1" x="96"/>
        <item m="1" x="158"/>
        <item m="1" x="33"/>
        <item m="1" x="201"/>
        <item m="1" x="5"/>
        <item m="1" x="176"/>
        <item m="1" x="179"/>
        <item m="1" x="133"/>
        <item m="1" x="238"/>
        <item m="1" x="292"/>
        <item m="1" x="247"/>
        <item m="1" x="184"/>
        <item m="1" x="84"/>
        <item m="1" x="187"/>
        <item m="1" x="296"/>
        <item m="1" x="168"/>
        <item m="1" x="65"/>
        <item m="1" x="227"/>
        <item m="1" x="116"/>
        <item m="1" x="262"/>
        <item m="1" x="268"/>
        <item m="1" x="309"/>
        <item m="1" x="86"/>
        <item m="1" x="30"/>
        <item m="1" x="63"/>
        <item m="1" x="281"/>
        <item m="1" x="102"/>
        <item m="1" x="207"/>
        <item m="1" x="180"/>
        <item m="1" x="280"/>
        <item m="1" x="241"/>
        <item m="1" x="310"/>
        <item m="1" x="136"/>
        <item m="1" x="239"/>
        <item m="1" x="272"/>
        <item m="1" x="249"/>
        <item m="1" x="161"/>
        <item m="1" x="228"/>
        <item m="1" x="145"/>
        <item m="1" x="242"/>
        <item m="1" x="195"/>
        <item m="1" x="31"/>
        <item m="1" x="244"/>
        <item m="1" x="285"/>
        <item m="1" x="41"/>
        <item m="1" x="7"/>
        <item m="1" x="18"/>
        <item m="1" x="190"/>
        <item m="1" x="120"/>
        <item m="1" x="88"/>
        <item m="1" x="217"/>
        <item m="1" x="218"/>
        <item m="1" x="78"/>
        <item m="1" x="189"/>
        <item m="1" x="87"/>
        <item m="1" x="219"/>
        <item m="1" x="230"/>
        <item m="1" x="199"/>
        <item m="1" x="192"/>
        <item m="1" x="312"/>
        <item m="1" x="11"/>
        <item m="1" x="126"/>
        <item m="1" x="274"/>
        <item m="1" x="134"/>
        <item m="1" x="264"/>
        <item m="1" x="166"/>
        <item m="1" x="138"/>
        <item m="1" x="198"/>
        <item m="1" x="251"/>
        <item m="1" x="204"/>
        <item m="1" x="186"/>
        <item m="1" x="178"/>
        <item m="1" x="22"/>
        <item m="1" x="122"/>
        <item m="1" x="129"/>
        <item m="1" x="130"/>
        <item m="1" x="304"/>
        <item m="1" x="271"/>
        <item m="1" x="132"/>
        <item m="1" x="35"/>
        <item m="1" x="266"/>
        <item m="1" x="246"/>
        <item m="1" x="291"/>
        <item m="1" x="257"/>
        <item m="1" x="301"/>
        <item m="1" x="286"/>
        <item m="1" x="234"/>
        <item m="1" x="191"/>
        <item m="1" x="147"/>
        <item m="1" x="144"/>
        <item m="1" x="229"/>
        <item m="1" x="164"/>
        <item m="1" x="284"/>
        <item m="1" x="61"/>
        <item m="1" x="194"/>
        <item m="1" x="209"/>
        <item m="1" x="165"/>
        <item m="1" x="175"/>
        <item m="1" x="275"/>
        <item m="1" x="263"/>
        <item m="1" x="250"/>
        <item m="1" x="208"/>
        <item m="1" x="185"/>
        <item m="1" x="131"/>
        <item m="1" x="233"/>
        <item m="1" x="50"/>
        <item m="1" x="76"/>
        <item m="1" x="163"/>
        <item m="1" x="4"/>
        <item m="1" x="277"/>
        <item m="1" x="181"/>
        <item m="1" x="115"/>
        <item m="1" x="282"/>
        <item m="1" x="254"/>
        <item m="1" x="294"/>
        <item m="1" x="159"/>
        <item m="1" x="160"/>
        <item m="1" x="19"/>
        <item m="1" x="118"/>
        <item m="1" x="20"/>
        <item m="1" x="21"/>
        <item m="1" x="119"/>
        <item m="1" x="252"/>
        <item m="1" x="64"/>
        <item m="1" x="300"/>
        <item m="1" x="111"/>
        <item m="1" x="46"/>
        <item m="1" x="232"/>
        <item m="1" x="117"/>
        <item m="1" x="95"/>
        <item m="1" x="276"/>
        <item m="1" x="295"/>
        <item m="1" x="123"/>
        <item m="1" x="253"/>
        <item m="1" x="100"/>
        <item m="1" x="177"/>
        <item m="1" x="302"/>
        <item m="1" x="42"/>
        <item m="1" x="283"/>
        <item m="1" x="255"/>
        <item m="1" x="298"/>
        <item m="1" x="267"/>
        <item m="1" x="70"/>
        <item m="1" x="71"/>
        <item x="0"/>
        <item x="1"/>
        <item m="1" x="214"/>
        <item m="1" x="108"/>
        <item m="1" x="197"/>
        <item m="1" x="142"/>
        <item m="1" x="114"/>
        <item m="1" x="9"/>
        <item m="1" x="196"/>
        <item m="1" x="39"/>
        <item m="1" x="306"/>
        <item m="1" x="45"/>
        <item m="1" x="73"/>
        <item m="1" x="62"/>
        <item m="1" x="151"/>
        <item m="1" x="140"/>
        <item m="1" x="155"/>
        <item m="1" x="141"/>
        <item m="1" x="110"/>
        <item m="1" x="148"/>
        <item m="1" x="149"/>
        <item m="1" x="109"/>
        <item m="1" x="40"/>
        <item m="1" x="152"/>
        <item m="1" x="153"/>
        <item m="1" x="154"/>
        <item m="1" x="79"/>
        <item m="1" x="143"/>
        <item m="1" x="80"/>
        <item m="1" x="55"/>
        <item m="1" x="56"/>
        <item m="1" x="128"/>
        <item m="1" x="124"/>
        <item m="1" x="72"/>
        <item m="1" x="98"/>
        <item m="1" x="107"/>
        <item m="1" x="74"/>
        <item m="1" x="77"/>
        <item m="1" x="57"/>
        <item m="1" x="43"/>
        <item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lumna2" axis="axisRow" compact="0" outline="0" showAll="0" defaultSubtotal="0">
      <items count="791">
        <item m="1" x="778"/>
        <item m="1" x="88"/>
        <item m="1" x="279"/>
        <item m="1" x="775"/>
        <item m="1" x="776"/>
        <item m="1" x="782"/>
        <item m="1" x="599"/>
        <item m="1" x="541"/>
        <item m="1" x="730"/>
        <item m="1" x="631"/>
        <item m="1" x="580"/>
        <item m="1" x="204"/>
        <item m="1" x="370"/>
        <item m="1" x="211"/>
        <item m="1" x="106"/>
        <item m="1" x="112"/>
        <item m="1" x="533"/>
        <item m="1" x="477"/>
        <item m="1" x="216"/>
        <item m="1" x="656"/>
        <item m="1" x="742"/>
        <item m="1" x="558"/>
        <item m="1" x="501"/>
        <item m="1" x="553"/>
        <item m="1" x="36"/>
        <item m="1" x="157"/>
        <item m="1" x="356"/>
        <item m="1" x="108"/>
        <item m="1" x="258"/>
        <item m="1" x="259"/>
        <item m="1" x="498"/>
        <item m="1" x="741"/>
        <item m="1" x="598"/>
        <item m="1" x="550"/>
        <item m="1" x="684"/>
        <item m="1" x="169"/>
        <item m="1" x="260"/>
        <item m="1" x="127"/>
        <item m="1" x="132"/>
        <item m="1" x="217"/>
        <item m="1" x="524"/>
        <item m="1" x="40"/>
        <item m="1" x="396"/>
        <item m="1" x="600"/>
        <item m="1" x="427"/>
        <item m="1" x="176"/>
        <item m="1" x="285"/>
        <item m="1" x="178"/>
        <item m="1" x="39"/>
        <item m="1" x="37"/>
        <item m="1" x="17"/>
        <item m="1" x="671"/>
        <item m="1" x="565"/>
        <item m="1" x="34"/>
        <item m="1" x="618"/>
        <item m="1" x="281"/>
        <item m="1" x="338"/>
        <item m="1" x="643"/>
        <item m="1" x="59"/>
        <item m="1" x="286"/>
        <item m="1" x="659"/>
        <item m="1" x="745"/>
        <item m="1" x="124"/>
        <item m="1" x="104"/>
        <item m="1" x="60"/>
        <item m="1" x="61"/>
        <item m="1" x="493"/>
        <item m="1" x="62"/>
        <item m="1" x="7"/>
        <item m="1" x="674"/>
        <item m="1" x="514"/>
        <item m="1" x="115"/>
        <item m="1" x="206"/>
        <item m="1" x="111"/>
        <item m="1" x="107"/>
        <item m="1" x="623"/>
        <item m="1" x="117"/>
        <item m="1" x="116"/>
        <item m="1" x="213"/>
        <item m="1" x="262"/>
        <item m="1" x="608"/>
        <item m="1" x="641"/>
        <item m="1" x="617"/>
        <item m="1" x="639"/>
        <item m="1" x="448"/>
        <item m="1" x="735"/>
        <item m="1" x="787"/>
        <item m="1" x="496"/>
        <item m="1" x="47"/>
        <item m="1" x="554"/>
        <item m="1" x="244"/>
        <item m="1" x="162"/>
        <item m="1" x="128"/>
        <item m="1" x="129"/>
        <item m="1" x="5"/>
        <item m="1" x="703"/>
        <item m="1" x="673"/>
        <item m="1" x="27"/>
        <item m="1" x="26"/>
        <item m="1" x="28"/>
        <item m="1" x="378"/>
        <item m="1" x="727"/>
        <item m="1" x="444"/>
        <item m="1" x="779"/>
        <item m="1" x="520"/>
        <item m="1" x="67"/>
        <item m="1" x="66"/>
        <item m="1" x="686"/>
        <item m="1" x="733"/>
        <item m="1" x="527"/>
        <item m="1" x="751"/>
        <item m="1" x="141"/>
        <item m="1" x="240"/>
        <item m="1" x="241"/>
        <item m="1" x="441"/>
        <item m="1" x="82"/>
        <item m="1" x="84"/>
        <item m="1" x="757"/>
        <item m="1" x="327"/>
        <item m="1" x="43"/>
        <item m="1" x="774"/>
        <item m="1" x="83"/>
        <item m="1" x="276"/>
        <item m="1" x="271"/>
        <item m="1" x="354"/>
        <item m="1" x="160"/>
        <item m="1" x="21"/>
        <item m="1" x="717"/>
        <item m="1" x="395"/>
        <item m="1" x="589"/>
        <item m="1" x="637"/>
        <item m="1" x="649"/>
        <item m="1" x="729"/>
        <item m="1" x="654"/>
        <item m="1" x="295"/>
        <item m="1" x="754"/>
        <item m="1" x="592"/>
        <item m="1" x="607"/>
        <item m="1" x="283"/>
        <item m="1" x="720"/>
        <item m="1" x="14"/>
        <item m="1" x="737"/>
        <item m="1" x="611"/>
        <item m="1" x="658"/>
        <item m="1" x="425"/>
        <item m="1" x="714"/>
        <item m="1" x="519"/>
        <item m="1" x="48"/>
        <item m="1" x="758"/>
        <item m="1" x="739"/>
        <item m="1" x="676"/>
        <item m="1" x="526"/>
        <item m="1" x="214"/>
        <item m="1" x="440"/>
        <item m="1" x="13"/>
        <item m="1" x="158"/>
        <item m="1" x="23"/>
        <item m="1" x="251"/>
        <item m="1" x="252"/>
        <item m="1" x="538"/>
        <item m="1" x="543"/>
        <item m="1" x="167"/>
        <item m="1" x="265"/>
        <item m="1" x="38"/>
        <item m="1" x="559"/>
        <item m="1" x="693"/>
        <item m="1" x="761"/>
        <item m="1" x="723"/>
        <item m="1" x="712"/>
        <item m="1" x="497"/>
        <item m="1" x="760"/>
        <item m="1" x="287"/>
        <item m="1" x="175"/>
        <item m="1" x="785"/>
        <item m="1" x="534"/>
        <item m="1" x="177"/>
        <item m="1" x="3"/>
        <item m="1" x="11"/>
        <item m="1" x="609"/>
        <item m="1" x="587"/>
        <item m="1" x="690"/>
        <item m="1" x="86"/>
        <item m="1" x="87"/>
        <item m="1" x="755"/>
        <item m="1" x="718"/>
        <item m="1" x="629"/>
        <item m="1" x="205"/>
        <item m="1" x="383"/>
        <item m="1" x="596"/>
        <item m="1" x="705"/>
        <item m="1" x="762"/>
        <item m="1" x="438"/>
        <item m="1" x="385"/>
        <item m="1" x="540"/>
        <item m="1" x="700"/>
        <item m="1" x="698"/>
        <item m="1" x="462"/>
        <item m="1" x="334"/>
        <item m="1" x="572"/>
        <item m="1" x="483"/>
        <item m="1" x="135"/>
        <item m="1" x="224"/>
        <item m="1" x="137"/>
        <item m="1" x="389"/>
        <item m="1" x="509"/>
        <item m="1" x="242"/>
        <item m="1" x="706"/>
        <item m="1" x="613"/>
        <item m="1" x="79"/>
        <item m="1" x="478"/>
        <item m="1" x="531"/>
        <item m="1" x="161"/>
        <item m="1" x="163"/>
        <item m="1" x="24"/>
        <item m="1" x="482"/>
        <item m="1" x="771"/>
        <item m="1" x="560"/>
        <item m="1" x="622"/>
        <item m="1" x="665"/>
        <item m="1" x="536"/>
        <item m="1" x="507"/>
        <item m="1" x="765"/>
        <item m="1" x="695"/>
        <item m="1" x="202"/>
        <item m="1" x="203"/>
        <item m="1" x="109"/>
        <item m="1" x="358"/>
        <item m="1" x="261"/>
        <item m="1" x="382"/>
        <item m="1" x="113"/>
        <item m="1" x="114"/>
        <item m="1" x="207"/>
        <item m="1" x="384"/>
        <item m="1" x="437"/>
        <item m="1" x="121"/>
        <item m="1" x="512"/>
        <item m="1" x="781"/>
        <item m="1" x="647"/>
        <item m="1" x="415"/>
        <item m="1" x="219"/>
        <item m="1" x="143"/>
        <item m="1" x="669"/>
        <item m="1" x="517"/>
        <item m="1" x="25"/>
        <item m="1" x="45"/>
        <item m="1" x="272"/>
        <item m="1" x="273"/>
        <item m="1" x="274"/>
        <item m="1" x="275"/>
        <item m="1" x="485"/>
        <item m="1" x="708"/>
        <item m="1" x="710"/>
        <item m="1" x="288"/>
        <item m="1" x="510"/>
        <item m="1" x="429"/>
        <item m="1" x="49"/>
        <item m="1" x="605"/>
        <item m="1" x="58"/>
        <item m="1" x="766"/>
        <item m="1" x="68"/>
        <item m="1" x="76"/>
        <item m="1" x="77"/>
        <item m="1" x="409"/>
        <item m="1" x="570"/>
        <item m="1" x="546"/>
        <item m="1" x="98"/>
        <item m="1" x="212"/>
        <item m="1" x="545"/>
        <item m="1" x="635"/>
        <item m="1" x="573"/>
        <item m="1" x="417"/>
        <item m="1" x="593"/>
        <item m="1" x="630"/>
        <item m="1" x="19"/>
        <item m="1" x="702"/>
        <item m="1" x="586"/>
        <item m="1" x="515"/>
        <item m="1" x="588"/>
        <item m="1" x="471"/>
        <item m="1" x="769"/>
        <item m="1" x="35"/>
        <item m="1" x="486"/>
        <item m="1" x="472"/>
        <item m="1" x="44"/>
        <item m="1" x="491"/>
        <item m="1" x="597"/>
        <item m="1" x="504"/>
        <item m="1" x="726"/>
        <item m="1" x="458"/>
        <item m="1" x="610"/>
        <item m="1" x="551"/>
        <item m="1" x="495"/>
        <item m="1" x="413"/>
        <item m="1" x="371"/>
        <item m="1" x="731"/>
        <item m="1" x="743"/>
        <item m="1" x="640"/>
        <item m="1" x="530"/>
        <item m="1" x="537"/>
        <item m="1" x="340"/>
        <item m="1" x="566"/>
        <item m="1" x="612"/>
        <item m="1" x="668"/>
        <item m="1" x="627"/>
        <item m="1" x="16"/>
        <item m="1" x="681"/>
        <item m="1" x="740"/>
        <item m="1" x="423"/>
        <item m="1" x="759"/>
        <item m="1" x="564"/>
        <item m="1" x="677"/>
        <item m="1" x="683"/>
        <item m="1" x="508"/>
        <item m="1" x="499"/>
        <item m="1" x="670"/>
        <item m="1" x="567"/>
        <item m="1" x="174"/>
        <item m="1" x="768"/>
        <item m="1" x="6"/>
        <item m="1" x="744"/>
        <item m="1" x="10"/>
        <item m="1" x="2"/>
        <item m="1" x="646"/>
        <item m="1" x="680"/>
        <item m="1" x="505"/>
        <item m="1" x="70"/>
        <item m="1" x="194"/>
        <item m="1" x="85"/>
        <item m="1" x="651"/>
        <item m="1" x="105"/>
        <item m="1" x="357"/>
        <item m="1" x="208"/>
        <item m="1" x="372"/>
        <item m="1" x="576"/>
        <item m="1" x="615"/>
        <item m="1" x="650"/>
        <item m="1" x="126"/>
        <item m="1" x="218"/>
        <item m="1" x="419"/>
        <item m="1" x="220"/>
        <item m="1" x="221"/>
        <item m="1" x="225"/>
        <item m="1" x="226"/>
        <item m="1" x="144"/>
        <item m="1" x="707"/>
        <item m="1" x="376"/>
        <item m="1" x="147"/>
        <item m="1" x="148"/>
        <item m="1" x="150"/>
        <item m="1" x="363"/>
        <item m="1" x="736"/>
        <item m="1" x="523"/>
        <item m="1" x="575"/>
        <item m="1" x="756"/>
        <item m="1" x="41"/>
        <item m="1" x="172"/>
        <item m="1" x="601"/>
        <item m="1" x="788"/>
        <item m="1" x="667"/>
        <item m="1" x="616"/>
        <item m="1" x="8"/>
        <item m="1" x="9"/>
        <item m="1" x="750"/>
        <item m="1" x="406"/>
        <item m="1" x="772"/>
        <item m="1" x="662"/>
        <item m="1" x="72"/>
        <item m="1" x="74"/>
        <item m="1" x="316"/>
        <item m="1" x="197"/>
        <item m="1" x="719"/>
        <item m="1" x="97"/>
        <item m="1" x="209"/>
        <item m="1" x="732"/>
        <item m="1" x="125"/>
        <item m="1" x="336"/>
        <item m="1" x="215"/>
        <item m="1" x="481"/>
        <item m="1" x="140"/>
        <item m="1" x="699"/>
        <item m="1" x="688"/>
        <item m="1" x="783"/>
        <item m="1" x="579"/>
        <item m="1" x="426"/>
        <item m="1" x="502"/>
        <item m="1" x="490"/>
        <item m="1" x="657"/>
        <item m="1" x="69"/>
        <item m="1" x="193"/>
        <item m="1" x="307"/>
        <item m="1" x="314"/>
        <item m="1" x="75"/>
        <item m="1" x="408"/>
        <item m="1" x="581"/>
        <item m="1" x="475"/>
        <item m="1" x="594"/>
        <item m="1" x="443"/>
        <item m="1" x="773"/>
        <item m="1" x="582"/>
        <item m="1" x="42"/>
        <item m="1" x="563"/>
        <item m="1" x="602"/>
        <item m="1" x="542"/>
        <item m="1" x="511"/>
        <item m="1" x="73"/>
        <item m="1" x="196"/>
        <item m="1" x="369"/>
        <item m="1" x="494"/>
        <item m="1" x="661"/>
        <item m="1" x="149"/>
        <item m="1" x="264"/>
        <item m="1" x="18"/>
        <item m="1" x="29"/>
        <item m="1" x="721"/>
        <item m="1" x="367"/>
        <item m="1" x="270"/>
        <item m="1" x="734"/>
        <item m="1" x="780"/>
        <item m="1" x="186"/>
        <item m="1" x="254"/>
        <item m="1" x="672"/>
        <item m="1" x="749"/>
        <item m="1" x="642"/>
        <item m="1" x="324"/>
        <item m="1" x="230"/>
        <item m="1" x="142"/>
        <item m="1" x="248"/>
        <item m="1" x="701"/>
        <item m="1" x="269"/>
        <item m="1" x="645"/>
        <item m="1" x="578"/>
        <item m="1" x="192"/>
        <item m="1" x="633"/>
        <item m="1" x="648"/>
        <item m="1" x="368"/>
        <item m="1" x="330"/>
        <item m="1" x="331"/>
        <item m="1" x="614"/>
        <item m="1" x="120"/>
        <item m="1" x="359"/>
        <item m="1" x="360"/>
        <item m="1" x="361"/>
        <item m="1" x="222"/>
        <item m="1" x="420"/>
        <item m="1" x="232"/>
        <item m="1" x="234"/>
        <item m="1" x="235"/>
        <item m="1" x="236"/>
        <item m="1" x="238"/>
        <item m="1" x="239"/>
        <item m="1" x="342"/>
        <item m="1" x="557"/>
        <item m="1" x="547"/>
        <item m="1" x="620"/>
        <item m="1" x="663"/>
        <item m="1" x="22"/>
        <item m="1" x="398"/>
        <item m="1" x="697"/>
        <item m="1" x="424"/>
        <item m="1" x="604"/>
        <item m="1" x="784"/>
        <item m="1" x="428"/>
        <item m="1" x="725"/>
        <item m="1" x="513"/>
        <item m="1" x="308"/>
        <item m="1" x="71"/>
        <item m="1" x="119"/>
        <item m="1" x="421"/>
        <item m="1" x="227"/>
        <item m="1" x="556"/>
        <item m="1" x="237"/>
        <item m="1" x="151"/>
        <item m="1" x="379"/>
        <item m="1" x="401"/>
        <item m="1" x="402"/>
        <item m="1" x="585"/>
        <item m="1" x="767"/>
        <item m="1" x="404"/>
        <item m="1" x="46"/>
        <item m="1" x="638"/>
        <item m="1" x="313"/>
        <item m="1" x="315"/>
        <item m="1" x="467"/>
        <item m="1" x="691"/>
        <item m="1" x="231"/>
        <item m="1" x="571"/>
        <item m="1" x="716"/>
        <item m="1" x="445"/>
        <item m="1" x="434"/>
        <item m="1" x="770"/>
        <item m="1" x="748"/>
        <item m="1" x="569"/>
        <item m="1" x="488"/>
        <item m="1" x="624"/>
        <item m="1" x="343"/>
        <item m="1" x="655"/>
        <item m="1" x="33"/>
        <item m="1" x="170"/>
        <item m="1" x="99"/>
        <item m="1" x="562"/>
        <item m="1" x="747"/>
        <item m="1" x="763"/>
        <item m="1" x="715"/>
        <item m="1" x="753"/>
        <item m="1" x="243"/>
        <item m="1" x="535"/>
        <item m="1" x="435"/>
        <item m="1" x="789"/>
        <item m="1" x="123"/>
        <item m="1" x="134"/>
        <item m="1" x="403"/>
        <item m="1" x="552"/>
        <item m="1" x="666"/>
        <item m="1" x="636"/>
        <item m="1" x="377"/>
        <item m="1" x="664"/>
        <item m="1" x="122"/>
        <item m="1" x="595"/>
        <item m="1" x="532"/>
        <item m="1" x="521"/>
        <item m="1" x="159"/>
        <item m="1" x="246"/>
        <item m="1" x="746"/>
        <item m="1" x="590"/>
        <item m="1" x="724"/>
        <item m="1" x="15"/>
        <item m="1" x="632"/>
        <item m="1" x="506"/>
        <item m="1" x="626"/>
        <item m="1" x="752"/>
        <item m="1" x="110"/>
        <item m="1" x="679"/>
        <item m="1" x="682"/>
        <item m="1" x="544"/>
        <item m="1" x="644"/>
        <item m="1" x="625"/>
        <item m="1" x="210"/>
        <item m="1" x="561"/>
        <item m="1" x="652"/>
        <item m="1" x="619"/>
        <item m="1" x="355"/>
        <item m="1" x="266"/>
        <item m="1" x="591"/>
        <item m="1" x="692"/>
        <item m="1" x="704"/>
        <item m="1" x="473"/>
        <item m="1" x="474"/>
        <item m="1" x="386"/>
        <item m="1" x="30"/>
        <item m="1" x="365"/>
        <item m="1" x="31"/>
        <item m="1" x="32"/>
        <item m="1" x="366"/>
        <item m="1" x="549"/>
        <item m="1" x="173"/>
        <item m="1" x="489"/>
        <item m="1" x="293"/>
        <item m="1" x="57"/>
        <item m="1" x="309"/>
        <item m="1" x="311"/>
        <item m="1" x="687"/>
        <item m="1" x="255"/>
        <item m="1" x="89"/>
        <item m="1" x="256"/>
        <item m="1" x="92"/>
        <item m="1" x="326"/>
        <item m="1" x="525"/>
        <item m="1" x="678"/>
        <item m="1" x="555"/>
        <item m="1" x="709"/>
        <item m="1" x="728"/>
        <item m="1" x="480"/>
        <item m="1" x="223"/>
        <item m="1" x="777"/>
        <item m="1" x="344"/>
        <item m="1" x="345"/>
        <item m="1" x="722"/>
        <item m="1" x="145"/>
        <item m="1" x="685"/>
        <item m="1" x="298"/>
        <item m="1" x="299"/>
        <item m="1" x="300"/>
        <item m="1" x="301"/>
        <item m="1" x="302"/>
        <item m="1" x="303"/>
        <item m="1" x="304"/>
        <item m="1" x="305"/>
        <item m="1" x="364"/>
        <item m="1" x="277"/>
        <item m="1" x="278"/>
        <item m="1" x="653"/>
        <item m="1" x="500"/>
        <item m="1" x="390"/>
        <item m="1" x="603"/>
        <item m="1" x="282"/>
        <item m="1" x="516"/>
        <item m="1" x="660"/>
        <item m="1" x="53"/>
        <item m="1" x="711"/>
        <item m="1" x="568"/>
        <item m="1" x="548"/>
        <item m="1" x="518"/>
        <item m="1" x="539"/>
        <item m="1" x="522"/>
        <item x="0"/>
        <item x="1"/>
        <item m="1" x="675"/>
        <item m="1" x="310"/>
        <item m="1" x="407"/>
        <item m="1" x="317"/>
        <item m="1" x="468"/>
        <item m="1" x="621"/>
        <item m="1" x="479"/>
        <item m="1" x="81"/>
        <item m="1" x="606"/>
        <item m="1" x="90"/>
        <item m="1" x="93"/>
        <item m="1" x="713"/>
        <item m="1" x="460"/>
        <item m="1" x="628"/>
        <item m="1" x="786"/>
        <item m="1" x="381"/>
        <item m="1" x="790"/>
        <item m="1" x="696"/>
        <item m="1" x="414"/>
        <item m="1" x="263"/>
        <item m="1" x="738"/>
        <item m="1" x="583"/>
        <item m="1" x="492"/>
        <item m="1" x="228"/>
        <item m="1" x="374"/>
        <item m="1" x="233"/>
        <item m="1" x="146"/>
        <item m="1" x="349"/>
        <item m="1" x="154"/>
        <item m="1" x="156"/>
        <item m="1" x="290"/>
        <item m="1" x="529"/>
        <item m="1" x="432"/>
        <item m="1" x="296"/>
        <item m="1" x="190"/>
        <item m="1" x="764"/>
        <item m="1" x="91"/>
        <item m="1" x="100"/>
        <item m="1" x="341"/>
        <item m="1" x="375"/>
        <item m="1" x="422"/>
        <item m="1" x="352"/>
        <item m="1" x="353"/>
        <item m="1" x="20"/>
        <item m="1" x="168"/>
        <item m="1" x="689"/>
        <item m="1" x="584"/>
        <item m="1" x="487"/>
        <item m="1" x="634"/>
        <item m="1" x="503"/>
        <item m="1" x="56"/>
        <item m="1" x="182"/>
        <item m="1" x="294"/>
        <item m="1" x="184"/>
        <item m="1" x="253"/>
        <item m="1" x="65"/>
        <item m="1" x="574"/>
        <item m="1" x="394"/>
        <item m="1" x="577"/>
        <item m="1" x="155"/>
        <item m="1" x="171"/>
        <item m="1" x="4"/>
        <item m="1" x="297"/>
        <item m="1" x="393"/>
        <item m="1" x="528"/>
        <item m="1" x="199"/>
        <item m="1" x="95"/>
        <item m="1" x="200"/>
        <item m="1" x="476"/>
        <item m="1" x="694"/>
        <item m="1" x="245"/>
        <item m="1" x="453"/>
        <item m="1" x="463"/>
        <item m="1" x="484"/>
        <item m="1" x="152"/>
        <item m="1" x="391"/>
        <item m="1" x="346"/>
        <item m="1" x="399"/>
        <item m="1" x="470"/>
        <item m="1" x="449"/>
        <item m="1" x="430"/>
        <item m="1" x="52"/>
        <item m="1" x="179"/>
        <item m="1" x="465"/>
        <item m="1" x="180"/>
        <item m="1" x="431"/>
        <item m="1" x="292"/>
        <item m="1" x="466"/>
        <item m="1" x="195"/>
        <item m="1" x="320"/>
        <item m="1" x="325"/>
        <item m="1" x="80"/>
        <item m="1" x="410"/>
        <item m="1" x="411"/>
        <item m="1" x="103"/>
        <item m="1" x="416"/>
        <item m="1" x="133"/>
        <item m="1" x="442"/>
        <item m="1" x="469"/>
        <item m="1" x="267"/>
        <item m="1" x="446"/>
        <item m="1" x="447"/>
        <item m="1" x="291"/>
        <item m="1" x="50"/>
        <item m="1" x="51"/>
        <item m="1" x="450"/>
        <item m="1" x="451"/>
        <item m="1" x="452"/>
        <item m="1" x="185"/>
        <item m="1" x="312"/>
        <item m="1" x="454"/>
        <item m="1" x="455"/>
        <item m="1" x="318"/>
        <item m="1" x="319"/>
        <item m="1" x="456"/>
        <item m="1" x="322"/>
        <item m="1" x="457"/>
        <item m="1" x="459"/>
        <item m="1" x="461"/>
        <item m="1" x="439"/>
        <item m="1" x="464"/>
        <item m="1" x="249"/>
        <item m="1" x="433"/>
        <item m="1" x="78"/>
        <item m="1" x="323"/>
        <item m="1" x="436"/>
        <item m="1" x="139"/>
        <item m="1" x="250"/>
        <item m="1" x="164"/>
        <item m="1" x="165"/>
        <item m="1" x="400"/>
        <item m="1" x="405"/>
        <item m="1" x="412"/>
        <item m="1" x="418"/>
        <item m="1" x="397"/>
        <item m="1" x="284"/>
        <item m="1" x="392"/>
        <item m="1" x="268"/>
        <item m="1" x="63"/>
        <item m="1" x="380"/>
        <item m="1" x="198"/>
        <item m="1" x="387"/>
        <item m="1" x="388"/>
        <item m="1" x="188"/>
        <item m="1" x="189"/>
        <item m="1" x="257"/>
        <item m="1" x="96"/>
        <item m="1" x="373"/>
        <item m="1" x="181"/>
        <item m="1" x="362"/>
        <item m="1" x="280"/>
        <item m="1" x="289"/>
        <item m="1" x="183"/>
        <item m="1" x="306"/>
        <item m="1" x="321"/>
        <item m="1" x="328"/>
        <item m="1" x="329"/>
        <item m="1" x="102"/>
        <item m="1" x="332"/>
        <item m="1" x="333"/>
        <item m="1" x="335"/>
        <item m="1" x="337"/>
        <item m="1" x="131"/>
        <item m="1" x="339"/>
        <item m="1" x="347"/>
        <item m="1" x="348"/>
        <item m="1" x="350"/>
        <item m="1" x="351"/>
        <item m="1" x="247"/>
        <item m="1" x="166"/>
        <item m="1" x="187"/>
        <item m="1" x="64"/>
        <item m="1" x="191"/>
        <item m="1" x="118"/>
        <item m="1" x="229"/>
        <item m="1" x="138"/>
        <item m="1" x="54"/>
        <item m="1" x="55"/>
        <item m="1" x="201"/>
        <item m="1" x="136"/>
        <item m="1" x="94"/>
        <item m="1" x="101"/>
        <item m="1" x="130"/>
        <item m="1" x="153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 v="272"/>
      <x v="604"/>
    </i>
    <i>
      <x v="273"/>
      <x v="60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/>
  </dataFields>
  <formats count="1">
    <format dxfId="52">
      <pivotArea outline="0" fieldPosition="0">
        <references count="3">
          <reference field="4294967294" count="2" selected="0">
            <x v="1"/>
            <x v="2"/>
          </reference>
          <reference field="0" count="0" selected="0"/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AC029F-A7A7-4B41-A917-EC50F4B5E4FD}" name="DB479" cacheId="38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99" firstHeaderRow="0" firstDataRow="1" firstDataCol="2"/>
  <pivotFields count="5">
    <pivotField axis="axisRow" compact="0" outline="0" showAll="0" defaultSubtotal="0">
      <items count="394">
        <item x="24"/>
        <item x="27"/>
        <item x="28"/>
        <item m="1" x="152"/>
        <item x="23"/>
        <item x="5"/>
        <item m="1" x="146"/>
        <item m="1" x="104"/>
        <item m="1" x="201"/>
        <item m="1" x="119"/>
        <item m="1" x="99"/>
        <item m="1" x="143"/>
        <item m="1" x="229"/>
        <item m="1" x="144"/>
        <item m="1" x="120"/>
        <item m="1" x="106"/>
        <item m="1" x="200"/>
        <item m="1" x="312"/>
        <item x="14"/>
        <item m="1" x="360"/>
        <item m="1" x="311"/>
        <item m="1" x="103"/>
        <item x="0"/>
        <item m="1" x="101"/>
        <item m="1" x="102"/>
        <item m="1" x="189"/>
        <item m="1" x="373"/>
        <item m="1" x="271"/>
        <item m="1" x="378"/>
        <item m="1" x="390"/>
        <item m="1" x="319"/>
        <item m="1" x="358"/>
        <item m="1" x="298"/>
        <item m="1" x="132"/>
        <item x="1"/>
        <item m="1" x="98"/>
        <item m="1" x="100"/>
        <item m="1" x="158"/>
        <item m="1" x="183"/>
        <item m="1" x="118"/>
        <item x="25"/>
        <item m="1" x="121"/>
        <item m="1" x="160"/>
        <item m="1" x="145"/>
        <item m="1" x="122"/>
        <item m="1" x="205"/>
        <item m="1" x="317"/>
        <item m="1" x="300"/>
        <item m="1" x="372"/>
        <item m="1" x="357"/>
        <item x="3"/>
        <item x="26"/>
        <item m="1" x="327"/>
        <item m="1" x="376"/>
        <item m="1" x="297"/>
        <item m="1" x="249"/>
        <item m="1" x="328"/>
        <item m="1" x="131"/>
        <item m="1" x="177"/>
        <item m="1" x="148"/>
        <item m="1" x="149"/>
        <item m="1" x="150"/>
        <item m="1" x="354"/>
        <item m="1" x="157"/>
        <item m="1" x="343"/>
        <item m="1" x="192"/>
        <item m="1" x="176"/>
        <item m="1" x="147"/>
        <item m="1" x="191"/>
        <item m="1" x="302"/>
        <item m="1" x="110"/>
        <item x="9"/>
        <item x="10"/>
        <item x="11"/>
        <item m="1" x="338"/>
        <item m="1" x="314"/>
        <item m="1" x="366"/>
        <item m="1" x="262"/>
        <item m="1" x="315"/>
        <item x="15"/>
        <item m="1" x="175"/>
        <item m="1" x="321"/>
        <item x="16"/>
        <item m="1" x="246"/>
        <item x="18"/>
        <item x="19"/>
        <item x="20"/>
        <item x="21"/>
        <item x="29"/>
        <item m="1" x="276"/>
        <item x="30"/>
        <item m="1" x="186"/>
        <item m="1" x="339"/>
        <item x="31"/>
        <item m="1" x="272"/>
        <item m="1" x="304"/>
        <item m="1" x="393"/>
        <item m="1" x="224"/>
        <item m="1" x="227"/>
        <item m="1" x="324"/>
        <item m="1" x="184"/>
        <item m="1" x="379"/>
        <item m="1" x="274"/>
        <item x="35"/>
        <item m="1" x="267"/>
        <item m="1" x="337"/>
        <item m="1" x="202"/>
        <item m="1" x="374"/>
        <item m="1" x="264"/>
        <item m="1" x="185"/>
        <item m="1" x="292"/>
        <item m="1" x="318"/>
        <item m="1" x="375"/>
        <item m="1" x="336"/>
        <item m="1" x="166"/>
        <item x="38"/>
        <item m="1" x="142"/>
        <item m="1" x="243"/>
        <item m="1" x="305"/>
        <item m="1" x="235"/>
        <item m="1" x="167"/>
        <item x="47"/>
        <item m="1" x="270"/>
        <item m="1" x="326"/>
        <item m="1" x="355"/>
        <item m="1" x="169"/>
        <item m="1" x="234"/>
        <item x="22"/>
        <item m="1" x="161"/>
        <item m="1" x="250"/>
        <item m="1" x="164"/>
        <item m="1" x="172"/>
        <item m="1" x="242"/>
        <item m="1" x="251"/>
        <item m="1" x="340"/>
        <item m="1" x="233"/>
        <item m="1" x="332"/>
        <item m="1" x="230"/>
        <item m="1" x="333"/>
        <item m="1" x="362"/>
        <item m="1" x="281"/>
        <item m="1" x="117"/>
        <item m="1" x="256"/>
        <item m="1" x="282"/>
        <item m="1" x="216"/>
        <item m="1" x="294"/>
        <item m="1" x="170"/>
        <item m="1" x="306"/>
        <item m="1" x="165"/>
        <item m="1" x="381"/>
        <item m="1" x="313"/>
        <item m="1" x="140"/>
        <item m="1" x="217"/>
        <item m="1" x="359"/>
        <item m="1" x="125"/>
        <item m="1" x="141"/>
        <item m="1" x="265"/>
        <item m="1" x="383"/>
        <item m="1" x="287"/>
        <item m="1" x="266"/>
        <item m="1" x="252"/>
        <item m="1" x="248"/>
        <item m="1" x="154"/>
        <item m="1" x="155"/>
        <item x="4"/>
        <item m="1" x="107"/>
        <item m="1" x="168"/>
        <item m="1" x="323"/>
        <item m="1" x="329"/>
        <item m="1" x="113"/>
        <item x="12"/>
        <item m="1" x="114"/>
        <item m="1" x="215"/>
        <item m="1" x="283"/>
        <item m="1" x="206"/>
        <item m="1" x="325"/>
        <item m="1" x="190"/>
        <item m="1" x="291"/>
        <item m="1" x="211"/>
        <item m="1" x="277"/>
        <item m="1" x="221"/>
        <item m="1" x="203"/>
        <item m="1" x="344"/>
        <item m="1" x="380"/>
        <item m="1" x="365"/>
        <item m="1" x="391"/>
        <item m="1" x="316"/>
        <item m="1" x="109"/>
        <item m="1" x="111"/>
        <item m="1" x="173"/>
        <item m="1" x="193"/>
        <item m="1" x="334"/>
        <item m="1" x="178"/>
        <item m="1" x="223"/>
        <item m="1" x="320"/>
        <item m="1" x="179"/>
        <item m="1" x="204"/>
        <item x="2"/>
        <item m="1" x="222"/>
        <item m="1" x="219"/>
        <item m="1" x="137"/>
        <item m="1" x="174"/>
        <item m="1" x="153"/>
        <item m="1" x="341"/>
        <item m="1" x="254"/>
        <item x="36"/>
        <item m="1" x="126"/>
        <item m="1" x="387"/>
        <item m="1" x="308"/>
        <item m="1" x="331"/>
        <item m="1" x="363"/>
        <item x="32"/>
        <item m="1" x="196"/>
        <item m="1" x="386"/>
        <item m="1" x="322"/>
        <item m="1" x="240"/>
        <item m="1" x="389"/>
        <item m="1" x="299"/>
        <item m="1" x="388"/>
        <item m="1" x="112"/>
        <item m="1" x="356"/>
        <item m="1" x="364"/>
        <item m="1" x="284"/>
        <item m="1" x="127"/>
        <item m="1" x="255"/>
        <item m="1" x="108"/>
        <item m="1" x="345"/>
        <item m="1" x="392"/>
        <item m="1" x="268"/>
        <item m="1" x="335"/>
        <item m="1" x="369"/>
        <item m="1" x="377"/>
        <item m="1" x="303"/>
        <item m="1" x="353"/>
        <item m="1" x="239"/>
        <item m="1" x="197"/>
        <item m="1" x="194"/>
        <item m="1" x="220"/>
        <item m="1" x="349"/>
        <item m="1" x="253"/>
        <item m="1" x="280"/>
        <item m="1" x="382"/>
        <item m="1" x="241"/>
        <item m="1" x="301"/>
        <item m="1" x="198"/>
        <item m="1" x="269"/>
        <item x="17"/>
        <item x="34"/>
        <item m="1" x="385"/>
        <item m="1" x="367"/>
        <item m="1" x="218"/>
        <item m="1" x="133"/>
        <item m="1" x="116"/>
        <item m="1" x="257"/>
        <item m="1" x="350"/>
        <item m="1" x="307"/>
        <item m="1" x="258"/>
        <item m="1" x="342"/>
        <item m="1" x="288"/>
        <item m="1" x="138"/>
        <item m="1" x="348"/>
        <item m="1" x="263"/>
        <item m="1" x="115"/>
        <item m="1" x="352"/>
        <item m="1" x="139"/>
        <item m="1" x="384"/>
        <item m="1" x="238"/>
        <item x="13"/>
        <item x="33"/>
        <item m="1" x="295"/>
        <item m="1" x="371"/>
        <item m="1" x="162"/>
        <item m="1" x="163"/>
        <item m="1" x="210"/>
        <item m="1" x="232"/>
        <item m="1" x="330"/>
        <item m="1" x="351"/>
        <item m="1" x="275"/>
        <item x="46"/>
        <item m="1" x="245"/>
        <item m="1" x="105"/>
        <item m="1" x="347"/>
        <item m="1" x="346"/>
        <item m="1" x="226"/>
        <item m="1" x="310"/>
        <item m="1" x="156"/>
        <item m="1" x="188"/>
        <item m="1" x="368"/>
        <item m="1" x="180"/>
        <item x="45"/>
        <item m="1" x="285"/>
        <item m="1" x="361"/>
        <item m="1" x="273"/>
        <item m="1" x="228"/>
        <item x="39"/>
        <item x="44"/>
        <item x="37"/>
        <item m="1" x="124"/>
        <item m="1" x="123"/>
        <item m="1" x="247"/>
        <item m="1" x="130"/>
        <item m="1" x="289"/>
        <item m="1" x="278"/>
        <item m="1" x="259"/>
        <item m="1" x="136"/>
        <item m="1" x="207"/>
        <item x="8"/>
        <item m="1" x="309"/>
        <item m="1" x="370"/>
        <item m="1" x="225"/>
        <item m="1" x="296"/>
        <item m="1" x="151"/>
        <item m="1" x="236"/>
        <item m="1" x="286"/>
        <item m="1" x="279"/>
        <item m="1" x="290"/>
        <item m="1" x="134"/>
        <item m="1" x="135"/>
        <item m="1" x="171"/>
        <item x="7"/>
        <item m="1" x="195"/>
        <item m="1" x="128"/>
        <item m="1" x="260"/>
        <item m="1" x="159"/>
        <item m="1" x="293"/>
        <item m="1" x="129"/>
        <item m="1" x="231"/>
        <item m="1" x="209"/>
        <item m="1" x="237"/>
        <item m="1" x="214"/>
        <item m="1" x="244"/>
        <item m="1" x="213"/>
        <item m="1" x="261"/>
        <item m="1" x="182"/>
        <item x="40"/>
        <item x="42"/>
        <item m="1" x="187"/>
        <item m="1" x="212"/>
        <item m="1" x="208"/>
        <item x="56"/>
        <item x="62"/>
        <item x="63"/>
        <item x="70"/>
        <item x="41"/>
        <item m="1" x="199"/>
        <item x="72"/>
        <item x="54"/>
        <item m="1" x="181"/>
        <item x="69"/>
        <item x="53"/>
        <item x="6"/>
        <item x="57"/>
        <item x="50"/>
        <item x="51"/>
        <item x="59"/>
        <item x="71"/>
        <item x="74"/>
        <item x="75"/>
        <item x="80"/>
        <item x="83"/>
        <item x="91"/>
        <item x="61"/>
        <item x="64"/>
        <item x="94"/>
        <item x="55"/>
        <item x="73"/>
        <item x="87"/>
        <item x="95"/>
        <item x="96"/>
        <item x="97"/>
        <item x="52"/>
        <item x="66"/>
        <item x="67"/>
        <item x="77"/>
        <item x="78"/>
        <item x="85"/>
        <item x="89"/>
        <item x="43"/>
        <item x="48"/>
        <item x="49"/>
        <item x="58"/>
        <item x="60"/>
        <item x="65"/>
        <item x="68"/>
        <item x="76"/>
        <item x="79"/>
        <item x="81"/>
        <item x="82"/>
        <item x="84"/>
        <item x="86"/>
        <item x="88"/>
        <item x="90"/>
        <item x="92"/>
        <item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lumna2" axis="axisRow" compact="0" outline="0" showAll="0" defaultSubtotal="0">
      <items count="851">
        <item m="1" x="208"/>
        <item x="62"/>
        <item m="1" x="196"/>
        <item m="1" x="649"/>
        <item x="24"/>
        <item m="1" x="477"/>
        <item m="1" x="256"/>
        <item x="23"/>
        <item x="64"/>
        <item m="1" x="263"/>
        <item x="77"/>
        <item x="28"/>
        <item x="27"/>
        <item m="1" x="741"/>
        <item m="1" x="308"/>
        <item m="1" x="133"/>
        <item m="1" x="212"/>
        <item m="1" x="138"/>
        <item m="1" x="139"/>
        <item m="1" x="141"/>
        <item m="1" x="637"/>
        <item m="1" x="193"/>
        <item x="63"/>
        <item m="1" x="201"/>
        <item m="1" x="200"/>
        <item m="1" x="211"/>
        <item x="67"/>
        <item x="5"/>
        <item m="1" x="218"/>
        <item x="75"/>
        <item m="1" x="281"/>
        <item m="1" x="104"/>
        <item m="1" x="423"/>
        <item m="1" x="731"/>
        <item x="74"/>
        <item m="1" x="119"/>
        <item m="1" x="821"/>
        <item m="1" x="566"/>
        <item m="1" x="763"/>
        <item m="1" x="482"/>
        <item m="1" x="680"/>
        <item m="1" x="633"/>
        <item m="1" x="189"/>
        <item m="1" x="190"/>
        <item m="1" x="471"/>
        <item m="1" x="317"/>
        <item m="1" x="337"/>
        <item m="1" x="203"/>
        <item x="71"/>
        <item m="1" x="397"/>
        <item x="59"/>
        <item m="1" x="533"/>
        <item m="1" x="99"/>
        <item m="1" x="287"/>
        <item m="1" x="140"/>
        <item x="66"/>
        <item m="1" x="259"/>
        <item m="1" x="727"/>
        <item m="1" x="328"/>
        <item m="1" x="445"/>
        <item m="1" x="214"/>
        <item m="1" x="753"/>
        <item m="1" x="489"/>
        <item m="1" x="279"/>
        <item m="1" x="120"/>
        <item m="1" x="145"/>
        <item m="1" x="146"/>
        <item m="1" x="339"/>
        <item m="1" x="223"/>
        <item m="1" x="224"/>
        <item m="1" x="304"/>
        <item m="1" x="106"/>
        <item m="1" x="422"/>
        <item x="70"/>
        <item m="1" x="677"/>
        <item m="1" x="710"/>
        <item m="1" x="732"/>
        <item x="14"/>
        <item x="60"/>
        <item m="1" x="450"/>
        <item x="73"/>
        <item m="1" x="103"/>
        <item m="1" x="648"/>
        <item m="1" x="641"/>
        <item x="0"/>
        <item m="1" x="101"/>
        <item m="1" x="102"/>
        <item m="1" x="392"/>
        <item m="1" x="836"/>
        <item m="1" x="578"/>
        <item m="1" x="672"/>
        <item m="1" x="685"/>
        <item m="1" x="795"/>
        <item m="1" x="755"/>
        <item m="1" x="737"/>
        <item m="1" x="187"/>
        <item m="1" x="188"/>
        <item m="1" x="779"/>
        <item m="1" x="194"/>
        <item m="1" x="325"/>
        <item m="1" x="204"/>
        <item m="1" x="353"/>
        <item m="1" x="209"/>
        <item m="1" x="210"/>
        <item m="1" x="823"/>
        <item m="1" x="658"/>
        <item m="1" x="793"/>
        <item m="1" x="719"/>
        <item m="1" x="216"/>
        <item m="1" x="225"/>
        <item x="90"/>
        <item m="1" x="268"/>
        <item m="1" x="377"/>
        <item m="1" x="234"/>
        <item m="1" x="239"/>
        <item x="1"/>
        <item m="1" x="715"/>
        <item m="1" x="202"/>
        <item m="1" x="327"/>
        <item x="76"/>
        <item m="1" x="264"/>
        <item m="1" x="265"/>
        <item m="1" x="524"/>
        <item m="1" x="305"/>
        <item m="1" x="98"/>
        <item m="1" x="100"/>
        <item m="1" x="332"/>
        <item m="1" x="379"/>
        <item m="1" x="118"/>
        <item x="25"/>
        <item m="1" x="121"/>
        <item m="1" x="341"/>
        <item m="1" x="280"/>
        <item m="1" x="122"/>
        <item m="1" x="432"/>
        <item m="1" x="134"/>
        <item m="1" x="805"/>
        <item m="1" x="311"/>
        <item m="1" x="142"/>
        <item m="1" x="652"/>
        <item m="1" x="712"/>
        <item m="1" x="629"/>
        <item m="1" x="299"/>
        <item m="1" x="410"/>
        <item m="1" x="257"/>
        <item m="1" x="258"/>
        <item m="1" x="395"/>
        <item m="1" x="759"/>
        <item m="1" x="804"/>
        <item m="1" x="721"/>
        <item m="1" x="683"/>
        <item m="1" x="647"/>
        <item m="1" x="706"/>
        <item m="1" x="611"/>
        <item m="1" x="653"/>
        <item m="1" x="682"/>
        <item m="1" x="215"/>
        <item m="1" x="217"/>
        <item m="1" x="613"/>
        <item x="83"/>
        <item x="91"/>
        <item x="92"/>
        <item m="1" x="686"/>
        <item m="1" x="555"/>
        <item x="3"/>
        <item x="26"/>
        <item m="1" x="709"/>
        <item m="1" x="806"/>
        <item m="1" x="442"/>
        <item m="1" x="775"/>
        <item m="1" x="509"/>
        <item m="1" x="784"/>
        <item m="1" x="617"/>
        <item x="85"/>
        <item m="1" x="269"/>
        <item m="1" x="631"/>
        <item m="1" x="536"/>
        <item m="1" x="632"/>
        <item m="1" x="351"/>
        <item x="65"/>
        <item m="1" x="583"/>
        <item m="1" x="733"/>
        <item m="1" x="238"/>
        <item m="1" x="365"/>
        <item m="1" x="283"/>
        <item m="1" x="284"/>
        <item m="1" x="285"/>
        <item m="1" x="690"/>
        <item m="1" x="352"/>
        <item m="1" x="197"/>
        <item m="1" x="199"/>
        <item m="1" x="205"/>
        <item m="1" x="777"/>
        <item m="1" x="535"/>
        <item x="84"/>
        <item m="1" x="479"/>
        <item m="1" x="516"/>
        <item m="1" x="273"/>
        <item m="1" x="331"/>
        <item m="1" x="418"/>
        <item m="1" x="390"/>
        <item m="1" x="338"/>
        <item m="1" x="401"/>
        <item m="1" x="198"/>
        <item m="1" x="206"/>
        <item m="1" x="396"/>
        <item m="1" x="266"/>
        <item m="1" x="272"/>
        <item m="1" x="364"/>
        <item m="1" x="282"/>
        <item m="1" x="698"/>
        <item x="72"/>
        <item m="1" x="626"/>
        <item m="1" x="419"/>
        <item m="1" x="306"/>
        <item m="1" x="400"/>
        <item m="1" x="765"/>
        <item m="1" x="110"/>
        <item x="9"/>
        <item x="10"/>
        <item x="11"/>
        <item m="1" x="707"/>
        <item m="1" x="764"/>
        <item m="1" x="700"/>
        <item m="1" x="832"/>
        <item m="1" x="781"/>
        <item m="1" x="720"/>
        <item m="1" x="834"/>
        <item m="1" x="842"/>
        <item x="16"/>
        <item m="1" x="526"/>
        <item x="18"/>
        <item x="19"/>
        <item x="20"/>
        <item x="21"/>
        <item x="29"/>
        <item m="1" x="585"/>
        <item x="30"/>
        <item m="1" x="386"/>
        <item m="1" x="802"/>
        <item x="31"/>
        <item m="1" x="579"/>
        <item m="1" x="676"/>
        <item m="1" x="774"/>
        <item m="1" x="476"/>
        <item m="1" x="485"/>
        <item m="1" x="666"/>
        <item m="1" x="380"/>
        <item m="1" x="628"/>
        <item m="1" x="581"/>
        <item x="35"/>
        <item m="1" x="572"/>
        <item m="1" x="716"/>
        <item m="1" x="424"/>
        <item m="1" x="656"/>
        <item m="1" x="561"/>
        <item m="1" x="381"/>
        <item m="1" x="609"/>
        <item m="1" x="811"/>
        <item m="1" x="847"/>
        <item m="1" x="839"/>
        <item m="1" x="347"/>
        <item m="1" x="657"/>
        <item m="1" x="249"/>
        <item m="1" x="518"/>
        <item m="1" x="701"/>
        <item m="1" x="696"/>
        <item m="1" x="833"/>
        <item x="47"/>
        <item m="1" x="576"/>
        <item m="1" x="506"/>
        <item m="1" x="152"/>
        <item m="1" x="723"/>
        <item x="50"/>
        <item x="51"/>
        <item m="1" x="159"/>
        <item m="1" x="312"/>
        <item m="1" x="162"/>
        <item m="1" x="163"/>
        <item m="1" x="166"/>
        <item x="52"/>
        <item x="53"/>
        <item m="1" x="323"/>
        <item x="55"/>
        <item m="1" x="316"/>
        <item m="1" x="171"/>
        <item x="56"/>
        <item m="1" x="296"/>
        <item m="1" x="735"/>
        <item m="1" x="627"/>
        <item m="1" x="825"/>
        <item m="1" x="498"/>
        <item m="1" x="412"/>
        <item m="1" x="771"/>
        <item x="61"/>
        <item m="1" x="191"/>
        <item m="1" x="192"/>
        <item m="1" x="549"/>
        <item m="1" x="790"/>
        <item m="1" x="634"/>
        <item m="1" x="329"/>
        <item m="1" x="330"/>
        <item m="1" x="505"/>
        <item m="1" x="237"/>
        <item m="1" x="818"/>
        <item m="1" x="747"/>
        <item m="1" x="688"/>
        <item m="1" x="651"/>
        <item m="1" x="744"/>
        <item m="1" x="355"/>
        <item m="1" x="496"/>
        <item x="22"/>
        <item m="1" x="342"/>
        <item m="1" x="539"/>
        <item m="1" x="345"/>
        <item m="1" x="358"/>
        <item m="1" x="517"/>
        <item m="1" x="540"/>
        <item m="1" x="673"/>
        <item m="1" x="493"/>
        <item m="1" x="743"/>
        <item m="1" x="729"/>
        <item m="1" x="315"/>
        <item m="1" x="169"/>
        <item m="1" x="255"/>
        <item m="1" x="297"/>
        <item m="1" x="298"/>
        <item m="1" x="174"/>
        <item m="1" x="553"/>
        <item m="1" x="602"/>
        <item m="1" x="571"/>
        <item m="1" x="787"/>
        <item m="1" x="230"/>
        <item m="1" x="399"/>
        <item m="1" x="307"/>
        <item m="1" x="490"/>
        <item m="1" x="776"/>
        <item m="1" x="797"/>
        <item m="1" x="595"/>
        <item m="1" x="117"/>
        <item m="1" x="550"/>
        <item m="1" x="596"/>
        <item m="1" x="461"/>
        <item m="1" x="612"/>
        <item m="1" x="356"/>
        <item m="1" x="815"/>
        <item m="1" x="346"/>
        <item m="1" x="799"/>
        <item m="1" x="650"/>
        <item m="1" x="388"/>
        <item m="1" x="462"/>
        <item m="1" x="756"/>
        <item m="1" x="697"/>
        <item m="1" x="841"/>
        <item m="1" x="562"/>
        <item m="1" x="660"/>
        <item m="1" x="603"/>
        <item m="1" x="563"/>
        <item m="1" x="541"/>
        <item m="1" x="528"/>
        <item m="1" x="708"/>
        <item m="1" x="318"/>
        <item m="1" x="319"/>
        <item x="4"/>
        <item m="1" x="107"/>
        <item m="1" x="354"/>
        <item m="1" x="704"/>
        <item m="1" x="703"/>
        <item m="1" x="113"/>
        <item x="12"/>
        <item m="1" x="114"/>
        <item m="1" x="460"/>
        <item m="1" x="783"/>
        <item m="1" x="435"/>
        <item m="1" x="714"/>
        <item m="1" x="393"/>
        <item m="1" x="608"/>
        <item m="1" x="447"/>
        <item m="1" x="586"/>
        <item m="1" x="468"/>
        <item m="1" x="425"/>
        <item m="1" x="292"/>
        <item x="49"/>
        <item m="1" x="156"/>
        <item m="1" x="161"/>
        <item m="1" x="314"/>
        <item m="1" x="817"/>
        <item m="1" x="185"/>
        <item m="1" x="186"/>
        <item m="1" x="336"/>
        <item m="1" x="221"/>
        <item m="1" x="227"/>
        <item m="1" x="478"/>
        <item m="1" x="669"/>
        <item m="1" x="838"/>
        <item x="88"/>
        <item x="89"/>
        <item m="1" x="340"/>
        <item m="1" x="270"/>
        <item m="1" x="778"/>
        <item m="1" x="109"/>
        <item m="1" x="111"/>
        <item m="1" x="361"/>
        <item m="1" x="402"/>
        <item m="1" x="849"/>
        <item m="1" x="366"/>
        <item m="1" x="474"/>
        <item m="1" x="624"/>
        <item m="1" x="367"/>
        <item m="1" x="426"/>
        <item m="1" x="322"/>
        <item m="1" x="481"/>
        <item m="1" x="300"/>
        <item x="97"/>
        <item x="2"/>
        <item m="1" x="473"/>
        <item m="1" x="466"/>
        <item m="1" x="244"/>
        <item m="1" x="155"/>
        <item m="1" x="158"/>
        <item m="1" x="160"/>
        <item m="1" x="295"/>
        <item m="1" x="664"/>
        <item m="1" x="172"/>
        <item m="1" x="173"/>
        <item m="1" x="362"/>
        <item m="1" x="309"/>
        <item m="1" x="762"/>
        <item m="1" x="547"/>
        <item x="36"/>
        <item m="1" x="126"/>
        <item m="1" x="157"/>
        <item x="58"/>
        <item m="1" x="689"/>
        <item m="1" x="812"/>
        <item m="1" x="705"/>
        <item m="1" x="725"/>
        <item x="32"/>
        <item m="1" x="405"/>
        <item m="1" x="168"/>
        <item m="1" x="752"/>
        <item m="1" x="751"/>
        <item m="1" x="769"/>
        <item m="1" x="231"/>
        <item x="93"/>
        <item m="1" x="510"/>
        <item m="1" x="639"/>
        <item m="1" x="730"/>
        <item m="1" x="828"/>
        <item m="1" x="153"/>
        <item m="1" x="313"/>
        <item m="1" x="294"/>
        <item m="1" x="177"/>
        <item m="1" x="112"/>
        <item m="1" x="722"/>
        <item m="1" x="814"/>
        <item m="1" x="598"/>
        <item m="1" x="127"/>
        <item m="1" x="548"/>
        <item m="1" x="487"/>
        <item m="1" x="334"/>
        <item m="1" x="293"/>
        <item m="1" x="254"/>
        <item m="1" x="773"/>
        <item m="1" x="803"/>
        <item m="1" x="301"/>
        <item x="94"/>
        <item m="1" x="108"/>
        <item m="1" x="678"/>
        <item m="1" x="840"/>
        <item m="1" x="573"/>
        <item m="1" x="335"/>
        <item m="1" x="394"/>
        <item m="1" x="796"/>
        <item m="1" x="167"/>
        <item m="1" x="267"/>
        <item x="86"/>
        <item m="1" x="742"/>
        <item m="1" x="663"/>
        <item m="1" x="503"/>
        <item m="1" x="413"/>
        <item m="1" x="403"/>
        <item m="1" x="467"/>
        <item m="1" x="822"/>
        <item m="1" x="175"/>
        <item m="1" x="643"/>
        <item m="1" x="592"/>
        <item m="1" x="195"/>
        <item m="1" x="261"/>
        <item m="1" x="749"/>
        <item m="1" x="810"/>
        <item m="1" x="674"/>
        <item x="82"/>
        <item m="1" x="659"/>
        <item m="1" x="724"/>
        <item m="1" x="734"/>
        <item m="1" x="546"/>
        <item m="1" x="594"/>
        <item m="1" x="767"/>
        <item m="1" x="135"/>
        <item m="1" x="137"/>
        <item m="1" x="780"/>
        <item m="1" x="512"/>
        <item m="1" x="154"/>
        <item m="1" x="321"/>
        <item m="1" x="816"/>
        <item m="1" x="176"/>
        <item m="1" x="846"/>
        <item m="1" x="415"/>
        <item m="1" x="575"/>
        <item x="17"/>
        <item x="34"/>
        <item m="1" x="623"/>
        <item m="1" x="788"/>
        <item m="1" x="463"/>
        <item m="1" x="801"/>
        <item m="1" x="807"/>
        <item m="1" x="702"/>
        <item m="1" x="570"/>
        <item m="1" x="240"/>
        <item m="1" x="116"/>
        <item m="1" x="551"/>
        <item m="1" x="668"/>
        <item m="1" x="372"/>
        <item m="1" x="470"/>
        <item m="1" x="591"/>
        <item m="1" x="766"/>
        <item m="1" x="748"/>
        <item m="1" x="556"/>
        <item m="1" x="728"/>
        <item m="1" x="605"/>
        <item m="1" x="746"/>
        <item m="1" x="417"/>
        <item m="1" x="488"/>
        <item m="1" x="642"/>
        <item m="1" x="695"/>
        <item m="1" x="302"/>
        <item m="1" x="835"/>
        <item m="1" x="427"/>
        <item m="1" x="469"/>
        <item m="1" x="437"/>
        <item m="1" x="245"/>
        <item m="1" x="616"/>
        <item m="1" x="165"/>
        <item m="1" x="717"/>
        <item m="1" x="170"/>
        <item m="1" x="786"/>
        <item m="1" x="207"/>
        <item m="1" x="808"/>
        <item m="1" x="694"/>
        <item m="1" x="560"/>
        <item m="1" x="844"/>
        <item m="1" x="382"/>
        <item m="1" x="373"/>
        <item m="1" x="115"/>
        <item m="1" x="830"/>
        <item m="1" x="246"/>
        <item m="1" x="711"/>
        <item m="1" x="501"/>
        <item m="1" x="529"/>
        <item m="1" x="831"/>
        <item x="13"/>
        <item x="33"/>
        <item m="1" x="636"/>
        <item m="1" x="552"/>
        <item m="1" x="670"/>
        <item m="1" x="260"/>
        <item m="1" x="635"/>
        <item x="80"/>
        <item m="1" x="229"/>
        <item m="1" x="693"/>
        <item m="1" x="618"/>
        <item m="1" x="845"/>
        <item m="1" x="521"/>
        <item m="1" x="453"/>
        <item m="1" x="824"/>
        <item m="1" x="383"/>
        <item m="1" x="671"/>
        <item x="87"/>
        <item m="1" x="691"/>
        <item m="1" x="343"/>
        <item m="1" x="344"/>
        <item m="1" x="446"/>
        <item m="1" x="492"/>
        <item m="1" x="684"/>
        <item m="1" x="184"/>
        <item m="1" x="350"/>
        <item m="1" x="813"/>
        <item m="1" x="654"/>
        <item m="1" x="843"/>
        <item m="1" x="667"/>
        <item m="1" x="232"/>
        <item m="1" x="271"/>
        <item m="1" x="738"/>
        <item m="1" x="326"/>
        <item m="1" x="228"/>
        <item m="1" x="655"/>
        <item m="1" x="848"/>
        <item m="1" x="582"/>
        <item x="46"/>
        <item m="1" x="409"/>
        <item m="1" x="789"/>
        <item m="1" x="391"/>
        <item m="1" x="429"/>
        <item m="1" x="770"/>
        <item m="1" x="235"/>
        <item m="1" x="452"/>
        <item x="57"/>
        <item m="1" x="324"/>
        <item m="1" x="520"/>
        <item m="1" x="132"/>
        <item m="1" x="136"/>
        <item m="1" x="713"/>
        <item x="68"/>
        <item m="1" x="800"/>
        <item m="1" x="782"/>
        <item m="1" x="105"/>
        <item m="1" x="785"/>
        <item m="1" x="736"/>
        <item m="1" x="798"/>
        <item m="1" x="484"/>
        <item m="1" x="826"/>
        <item m="1" x="827"/>
        <item m="1" x="407"/>
        <item m="1" x="739"/>
        <item m="1" x="809"/>
        <item m="1" x="508"/>
        <item m="1" x="820"/>
        <item m="1" x="745"/>
        <item m="1" x="523"/>
        <item m="1" x="320"/>
        <item m="1" x="757"/>
        <item m="1" x="681"/>
        <item m="1" x="760"/>
        <item m="1" x="590"/>
        <item m="1" x="615"/>
        <item m="1" x="829"/>
        <item m="1" x="791"/>
        <item m="1" x="819"/>
        <item m="1" x="794"/>
        <item m="1" x="679"/>
        <item m="1" x="359"/>
        <item m="1" x="368"/>
        <item x="45"/>
        <item m="1" x="850"/>
        <item m="1" x="758"/>
        <item m="1" x="565"/>
        <item m="1" x="431"/>
        <item m="1" x="599"/>
        <item m="1" x="640"/>
        <item m="1" x="226"/>
        <item m="1" x="580"/>
        <item m="1" x="486"/>
        <item x="39"/>
        <item x="44"/>
        <item m="1" x="183"/>
        <item x="37"/>
        <item m="1" x="124"/>
        <item x="95"/>
        <item m="1" x="123"/>
        <item m="1" x="792"/>
        <item m="1" x="527"/>
        <item m="1" x="130"/>
        <item m="1" x="567"/>
        <item m="1" x="606"/>
        <item m="1" x="178"/>
        <item m="1" x="675"/>
        <item m="1" x="589"/>
        <item m="1" x="557"/>
        <item m="1" x="644"/>
        <item m="1" x="515"/>
        <item m="1" x="687"/>
        <item m="1" x="625"/>
        <item m="1" x="243"/>
        <item m="1" x="436"/>
        <item x="8"/>
        <item m="1" x="288"/>
        <item x="81"/>
        <item m="1" x="750"/>
        <item m="1" x="164"/>
        <item m="1" x="374"/>
        <item m="1" x="531"/>
        <item m="1" x="430"/>
        <item m="1" x="699"/>
        <item m="1" x="772"/>
        <item m="1" x="483"/>
        <item m="1" x="619"/>
        <item m="1" x="604"/>
        <item m="1" x="143"/>
        <item m="1" x="289"/>
        <item m="1" x="144"/>
        <item m="1" x="502"/>
        <item m="1" x="290"/>
        <item m="1" x="291"/>
        <item m="1" x="434"/>
        <item m="1" x="499"/>
        <item m="1" x="601"/>
        <item m="1" x="593"/>
        <item m="1" x="607"/>
        <item m="1" x="241"/>
        <item m="1" x="242"/>
        <item m="1" x="357"/>
        <item m="1" x="661"/>
        <item m="1" x="275"/>
        <item x="7"/>
        <item m="1" x="278"/>
        <item m="1" x="411"/>
        <item m="1" x="360"/>
        <item m="1" x="404"/>
        <item m="1" x="131"/>
        <item m="1" x="646"/>
        <item m="1" x="645"/>
        <item m="1" x="620"/>
        <item m="1" x="621"/>
        <item m="1" x="630"/>
        <item m="1" x="726"/>
        <item m="1" x="740"/>
        <item m="1" x="665"/>
        <item m="1" x="718"/>
        <item m="1" x="761"/>
        <item m="1" x="554"/>
        <item m="1" x="276"/>
        <item m="1" x="420"/>
        <item m="1" x="421"/>
        <item m="1" x="768"/>
        <item m="1" x="837"/>
        <item m="1" x="692"/>
        <item m="1" x="662"/>
        <item m="1" x="262"/>
        <item m="1" x="349"/>
        <item m="1" x="385"/>
        <item m="1" x="559"/>
        <item x="15"/>
        <item m="1" x="614"/>
        <item m="1" x="497"/>
        <item m="1" x="348"/>
        <item m="1" x="622"/>
        <item m="1" x="128"/>
        <item m="1" x="181"/>
        <item m="1" x="754"/>
        <item m="1" x="638"/>
        <item m="1" x="543"/>
        <item m="1" x="597"/>
        <item m="1" x="558"/>
        <item m="1" x="333"/>
        <item m="1" x="610"/>
        <item m="1" x="277"/>
        <item m="1" x="129"/>
        <item m="1" x="150"/>
        <item m="1" x="151"/>
        <item m="1" x="491"/>
        <item m="1" x="441"/>
        <item m="1" x="310"/>
        <item m="1" x="451"/>
        <item m="1" x="480"/>
        <item m="1" x="438"/>
        <item m="1" x="465"/>
        <item x="96"/>
        <item m="1" x="542"/>
        <item m="1" x="500"/>
        <item m="1" x="179"/>
        <item m="1" x="180"/>
        <item m="1" x="584"/>
        <item m="1" x="532"/>
        <item m="1" x="384"/>
        <item x="38"/>
        <item m="1" x="600"/>
        <item m="1" x="406"/>
        <item m="1" x="125"/>
        <item m="1" x="513"/>
        <item x="48"/>
        <item x="78"/>
        <item m="1" x="443"/>
        <item m="1" x="444"/>
        <item m="1" x="363"/>
        <item m="1" x="248"/>
        <item m="1" x="534"/>
        <item m="1" x="286"/>
        <item m="1" x="389"/>
        <item m="1" x="371"/>
        <item m="1" x="459"/>
        <item x="54"/>
        <item m="1" x="514"/>
        <item m="1" x="588"/>
        <item m="1" x="519"/>
        <item m="1" x="544"/>
        <item m="1" x="525"/>
        <item m="1" x="449"/>
        <item m="1" x="587"/>
        <item m="1" x="569"/>
        <item m="1" x="454"/>
        <item m="1" x="252"/>
        <item m="1" x="530"/>
        <item m="1" x="455"/>
        <item m="1" x="522"/>
        <item m="1" x="253"/>
        <item m="1" x="456"/>
        <item m="1" x="457"/>
        <item m="1" x="577"/>
        <item m="1" x="433"/>
        <item m="1" x="458"/>
        <item m="1" x="574"/>
        <item m="1" x="494"/>
        <item m="1" x="568"/>
        <item m="1" x="564"/>
        <item m="1" x="147"/>
        <item m="1" x="236"/>
        <item m="1" x="538"/>
        <item m="1" x="414"/>
        <item m="1" x="148"/>
        <item m="1" x="149"/>
        <item m="1" x="495"/>
        <item m="1" x="182"/>
        <item m="1" x="545"/>
        <item m="1" x="464"/>
        <item m="1" x="537"/>
        <item m="1" x="511"/>
        <item m="1" x="507"/>
        <item m="1" x="219"/>
        <item m="1" x="504"/>
        <item m="1" x="439"/>
        <item m="1" x="472"/>
        <item m="1" x="378"/>
        <item m="1" x="233"/>
        <item m="1" x="370"/>
        <item m="1" x="251"/>
        <item x="79"/>
        <item x="40"/>
        <item x="42"/>
        <item m="1" x="250"/>
        <item m="1" x="220"/>
        <item x="69"/>
        <item m="1" x="475"/>
        <item m="1" x="222"/>
        <item m="1" x="387"/>
        <item m="1" x="448"/>
        <item m="1" x="303"/>
        <item m="1" x="398"/>
        <item m="1" x="440"/>
        <item m="1" x="274"/>
        <item x="41"/>
        <item m="1" x="428"/>
        <item m="1" x="213"/>
        <item m="1" x="416"/>
        <item m="1" x="408"/>
        <item m="1" x="375"/>
        <item m="1" x="376"/>
        <item m="1" x="369"/>
        <item x="6"/>
        <item m="1" x="247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8">
    <i>
      <x/>
      <x v="4"/>
    </i>
    <i>
      <x v="1"/>
      <x v="12"/>
    </i>
    <i>
      <x v="2"/>
      <x v="11"/>
    </i>
    <i>
      <x v="4"/>
      <x v="7"/>
    </i>
    <i>
      <x v="5"/>
      <x v="27"/>
    </i>
    <i>
      <x v="18"/>
      <x v="77"/>
    </i>
    <i>
      <x v="22"/>
      <x v="84"/>
    </i>
    <i>
      <x v="34"/>
      <x v="115"/>
    </i>
    <i>
      <x v="40"/>
      <x v="129"/>
    </i>
    <i>
      <x v="50"/>
      <x v="164"/>
    </i>
    <i>
      <x v="51"/>
      <x v="165"/>
    </i>
    <i>
      <x v="71"/>
      <x v="218"/>
    </i>
    <i>
      <x v="72"/>
      <x v="219"/>
    </i>
    <i>
      <x v="73"/>
      <x v="220"/>
    </i>
    <i>
      <x v="79"/>
      <x v="732"/>
    </i>
    <i>
      <x v="82"/>
      <x v="229"/>
    </i>
    <i>
      <x v="84"/>
      <x v="231"/>
    </i>
    <i>
      <x v="85"/>
      <x v="232"/>
    </i>
    <i>
      <x v="86"/>
      <x v="233"/>
    </i>
    <i>
      <x v="87"/>
      <x v="234"/>
    </i>
    <i>
      <x v="88"/>
      <x v="235"/>
    </i>
    <i>
      <x v="90"/>
      <x v="237"/>
    </i>
    <i>
      <x v="93"/>
      <x v="240"/>
    </i>
    <i>
      <x v="103"/>
      <x v="250"/>
    </i>
    <i>
      <x v="115"/>
      <x v="765"/>
    </i>
    <i>
      <x v="121"/>
      <x v="268"/>
    </i>
    <i>
      <x v="127"/>
      <x v="311"/>
    </i>
    <i>
      <x v="164"/>
      <x v="363"/>
    </i>
    <i>
      <x v="170"/>
      <x v="369"/>
    </i>
    <i>
      <x v="197"/>
      <x v="414"/>
    </i>
    <i>
      <x v="205"/>
      <x v="429"/>
    </i>
    <i>
      <x v="211"/>
      <x v="437"/>
    </i>
    <i>
      <x v="246"/>
      <x v="510"/>
    </i>
    <i>
      <x v="247"/>
      <x v="511"/>
    </i>
    <i>
      <x v="267"/>
      <x v="561"/>
    </i>
    <i>
      <x v="268"/>
      <x v="562"/>
    </i>
    <i>
      <x v="278"/>
      <x v="599"/>
    </i>
    <i>
      <x v="289"/>
      <x v="643"/>
    </i>
    <i>
      <x v="294"/>
      <x v="653"/>
    </i>
    <i>
      <x v="295"/>
      <x v="654"/>
    </i>
    <i>
      <x v="296"/>
      <x v="656"/>
    </i>
    <i>
      <x v="306"/>
      <x v="675"/>
    </i>
    <i>
      <x v="319"/>
      <x v="704"/>
    </i>
    <i>
      <x v="334"/>
      <x v="827"/>
    </i>
    <i>
      <x v="335"/>
      <x v="828"/>
    </i>
    <i>
      <x v="339"/>
      <x v="286"/>
    </i>
    <i>
      <x v="340"/>
      <x v="1"/>
    </i>
    <i>
      <x v="341"/>
      <x v="22"/>
    </i>
    <i>
      <x v="342"/>
      <x v="73"/>
    </i>
    <i>
      <x v="343"/>
      <x v="840"/>
    </i>
    <i>
      <x v="345"/>
      <x v="211"/>
    </i>
    <i>
      <x v="346"/>
      <x v="781"/>
    </i>
    <i>
      <x v="348"/>
      <x v="831"/>
    </i>
    <i>
      <x v="349"/>
      <x v="281"/>
    </i>
    <i>
      <x v="350"/>
      <x v="848"/>
    </i>
    <i>
      <x v="351"/>
      <x v="607"/>
    </i>
    <i>
      <x v="352"/>
      <x v="273"/>
    </i>
    <i>
      <x v="353"/>
      <x v="274"/>
    </i>
    <i>
      <x v="354"/>
      <x v="50"/>
    </i>
    <i>
      <x v="355"/>
      <x v="48"/>
    </i>
    <i>
      <x v="356"/>
      <x v="34"/>
    </i>
    <i>
      <x v="357"/>
      <x v="29"/>
    </i>
    <i>
      <x v="358"/>
      <x v="568"/>
    </i>
    <i>
      <x v="359"/>
      <x v="159"/>
    </i>
    <i>
      <x v="360"/>
      <x v="160"/>
    </i>
    <i>
      <x v="361"/>
      <x v="294"/>
    </i>
    <i>
      <x v="362"/>
      <x v="8"/>
    </i>
    <i>
      <x v="363"/>
      <x v="466"/>
    </i>
    <i>
      <x v="364"/>
      <x v="283"/>
    </i>
    <i>
      <x v="365"/>
      <x v="80"/>
    </i>
    <i>
      <x v="366"/>
      <x v="578"/>
    </i>
    <i>
      <x v="367"/>
      <x v="658"/>
    </i>
    <i>
      <x v="368"/>
      <x v="757"/>
    </i>
    <i>
      <x v="369"/>
      <x v="413"/>
    </i>
    <i>
      <x v="370"/>
      <x v="280"/>
    </i>
    <i>
      <x v="371"/>
      <x v="55"/>
    </i>
    <i>
      <x v="372"/>
      <x v="26"/>
    </i>
    <i>
      <x v="373"/>
      <x v="10"/>
    </i>
    <i>
      <x v="374"/>
      <x v="771"/>
    </i>
    <i>
      <x v="375"/>
      <x v="173"/>
    </i>
    <i>
      <x v="376"/>
      <x v="396"/>
    </i>
    <i>
      <x v="377"/>
      <x v="850"/>
    </i>
    <i>
      <x v="378"/>
      <x v="770"/>
    </i>
    <i>
      <x v="379"/>
      <x v="382"/>
    </i>
    <i>
      <x v="380"/>
      <x v="432"/>
    </i>
    <i>
      <x v="381"/>
      <x v="78"/>
    </i>
    <i>
      <x v="382"/>
      <x v="179"/>
    </i>
    <i>
      <x v="383"/>
      <x v="613"/>
    </i>
    <i>
      <x v="384"/>
      <x v="119"/>
    </i>
    <i>
      <x v="385"/>
      <x v="826"/>
    </i>
    <i>
      <x v="386"/>
      <x v="677"/>
    </i>
    <i>
      <x v="387"/>
      <x v="492"/>
    </i>
    <i>
      <x v="388"/>
      <x v="194"/>
    </i>
    <i>
      <x v="389"/>
      <x v="476"/>
    </i>
    <i>
      <x v="390"/>
      <x v="395"/>
    </i>
    <i>
      <x v="391"/>
      <x v="110"/>
    </i>
    <i>
      <x v="392"/>
      <x v="161"/>
    </i>
    <i>
      <x v="393"/>
      <x v="444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/>
  </dataFields>
  <formats count="1">
    <format dxfId="49">
      <pivotArea outline="0" fieldPosition="0">
        <references count="3">
          <reference field="4294967294" count="2" selected="0">
            <x v="1"/>
            <x v="2"/>
          </reference>
          <reference field="0" count="0" selected="0"/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2F7B8-00CA-4956-8EA0-6DD74F3E6D1F}" name="DB480" cacheId="39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8" firstHeaderRow="0" firstDataRow="1" firstDataCol="2"/>
  <pivotFields count="5">
    <pivotField axis="axisRow" compact="0" outline="0" showAll="0" defaultSubtotal="0">
      <items count="241">
        <item m="1" x="47"/>
        <item m="1" x="113"/>
        <item m="1" x="51"/>
        <item m="1" x="108"/>
        <item m="1" x="12"/>
        <item m="1" x="55"/>
        <item m="1" x="18"/>
        <item m="1" x="218"/>
        <item m="1" x="207"/>
        <item m="1" x="161"/>
        <item m="1" x="186"/>
        <item m="1" x="206"/>
        <item m="1" x="235"/>
        <item m="1" x="14"/>
        <item m="1" x="98"/>
        <item m="1" x="13"/>
        <item m="1" x="148"/>
        <item m="1" x="204"/>
        <item m="1" x="146"/>
        <item m="1" x="36"/>
        <item m="1" x="229"/>
        <item m="1" x="214"/>
        <item m="1" x="116"/>
        <item m="1" x="205"/>
        <item m="1" x="151"/>
        <item m="1" x="123"/>
        <item m="1" x="192"/>
        <item m="1" x="172"/>
        <item m="1" x="201"/>
        <item m="1" x="45"/>
        <item m="1" x="50"/>
        <item m="1" x="233"/>
        <item m="1" x="130"/>
        <item m="1" x="177"/>
        <item m="1" x="139"/>
        <item m="1" x="173"/>
        <item m="1" x="125"/>
        <item m="1" x="217"/>
        <item m="1" x="236"/>
        <item m="1" x="7"/>
        <item m="1" x="16"/>
        <item m="1" x="121"/>
        <item m="1" x="99"/>
        <item m="1" x="21"/>
        <item m="1" x="46"/>
        <item m="1" x="193"/>
        <item m="1" x="189"/>
        <item m="1" x="105"/>
        <item m="1" x="198"/>
        <item m="1" x="188"/>
        <item m="1" x="104"/>
        <item m="1" x="158"/>
        <item m="1" x="9"/>
        <item m="1" x="54"/>
        <item m="1" x="159"/>
        <item m="1" x="56"/>
        <item m="1" x="216"/>
        <item m="1" x="106"/>
        <item m="1" x="155"/>
        <item m="1" x="52"/>
        <item m="1" x="230"/>
        <item m="1" x="185"/>
        <item m="1" x="152"/>
        <item m="1" x="210"/>
        <item m="1" x="191"/>
        <item m="1" x="15"/>
        <item m="1" x="234"/>
        <item m="1" x="107"/>
        <item m="1" x="49"/>
        <item m="1" x="11"/>
        <item m="1" x="48"/>
        <item m="1" x="53"/>
        <item m="1" x="208"/>
        <item m="1" x="232"/>
        <item m="1" x="133"/>
        <item m="1" x="129"/>
        <item m="1" x="223"/>
        <item m="1" x="202"/>
        <item m="1" x="136"/>
        <item m="1" x="144"/>
        <item m="1" x="199"/>
        <item m="1" x="209"/>
        <item x="4"/>
        <item m="1" x="37"/>
        <item m="1" x="167"/>
        <item m="1" x="181"/>
        <item m="1" x="40"/>
        <item m="1" x="132"/>
        <item m="1" x="42"/>
        <item m="1" x="215"/>
        <item m="1" x="126"/>
        <item m="1" x="137"/>
        <item m="1" x="43"/>
        <item m="1" x="174"/>
        <item m="1" x="114"/>
        <item m="1" x="59"/>
        <item m="1" x="169"/>
        <item m="1" x="62"/>
        <item m="1" x="115"/>
        <item m="1" x="141"/>
        <item m="1" x="124"/>
        <item m="1" x="63"/>
        <item m="1" x="66"/>
        <item m="1" x="68"/>
        <item m="1" x="237"/>
        <item m="1" x="70"/>
        <item m="1" x="147"/>
        <item m="1" x="165"/>
        <item m="1" x="231"/>
        <item m="1" x="212"/>
        <item m="1" x="190"/>
        <item m="1" x="138"/>
        <item m="1" x="85"/>
        <item m="1" x="200"/>
        <item m="1" x="160"/>
        <item m="1" x="154"/>
        <item m="1" x="163"/>
        <item m="1" x="225"/>
        <item m="1" x="75"/>
        <item m="1" x="58"/>
        <item m="1" x="221"/>
        <item m="1" x="145"/>
        <item m="1" x="79"/>
        <item m="1" x="220"/>
        <item m="1" x="170"/>
        <item m="1" x="187"/>
        <item m="1" x="82"/>
        <item m="1" x="84"/>
        <item m="1" x="117"/>
        <item m="1" x="140"/>
        <item m="1" x="211"/>
        <item m="1" x="179"/>
        <item m="1" x="203"/>
        <item m="1" x="131"/>
        <item m="1" x="67"/>
        <item m="1" x="228"/>
        <item m="1" x="112"/>
        <item m="1" x="180"/>
        <item m="1" x="240"/>
        <item m="1" x="128"/>
        <item m="1" x="178"/>
        <item m="1" x="182"/>
        <item m="1" x="171"/>
        <item m="1" x="64"/>
        <item m="1" x="184"/>
        <item m="1" x="239"/>
        <item m="1" x="83"/>
        <item x="6"/>
        <item m="1" x="150"/>
        <item m="1" x="10"/>
        <item m="1" x="118"/>
        <item m="1" x="194"/>
        <item m="1" x="22"/>
        <item m="1" x="23"/>
        <item m="1" x="24"/>
        <item m="1" x="175"/>
        <item m="1" x="25"/>
        <item m="1" x="26"/>
        <item m="1" x="27"/>
        <item m="1" x="28"/>
        <item m="1" x="29"/>
        <item m="1" x="30"/>
        <item m="1" x="31"/>
        <item m="1" x="33"/>
        <item m="1" x="34"/>
        <item m="1" x="39"/>
        <item x="5"/>
        <item m="1" x="219"/>
        <item m="1" x="149"/>
        <item m="1" x="74"/>
        <item m="1" x="176"/>
        <item m="1" x="166"/>
        <item m="1" x="90"/>
        <item m="1" x="92"/>
        <item m="1" x="222"/>
        <item m="1" x="19"/>
        <item m="1" x="183"/>
        <item m="1" x="122"/>
        <item m="1" x="196"/>
        <item m="1" x="32"/>
        <item m="1" x="168"/>
        <item m="1" x="44"/>
        <item m="1" x="134"/>
        <item m="1" x="109"/>
        <item m="1" x="61"/>
        <item m="1" x="164"/>
        <item m="1" x="71"/>
        <item m="1" x="72"/>
        <item m="1" x="120"/>
        <item m="1" x="238"/>
        <item m="1" x="78"/>
        <item m="1" x="110"/>
        <item m="1" x="135"/>
        <item m="1" x="80"/>
        <item m="1" x="81"/>
        <item m="1" x="87"/>
        <item x="2"/>
        <item m="1" x="93"/>
        <item m="1" x="224"/>
        <item m="1" x="143"/>
        <item m="1" x="195"/>
        <item m="1" x="227"/>
        <item m="1" x="127"/>
        <item m="1" x="111"/>
        <item m="1" x="197"/>
        <item m="1" x="142"/>
        <item m="1" x="119"/>
        <item m="1" x="162"/>
        <item m="1" x="156"/>
        <item m="1" x="213"/>
        <item m="1" x="153"/>
        <item m="1" x="226"/>
        <item m="1" x="157"/>
        <item m="1" x="91"/>
        <item x="1"/>
        <item x="0"/>
        <item m="1" x="17"/>
        <item m="1" x="100"/>
        <item m="1" x="101"/>
        <item m="1" x="102"/>
        <item m="1" x="103"/>
        <item m="1" x="8"/>
        <item m="1" x="20"/>
        <item m="1" x="35"/>
        <item m="1" x="38"/>
        <item m="1" x="41"/>
        <item m="1" x="57"/>
        <item m="1" x="60"/>
        <item m="1" x="65"/>
        <item m="1" x="69"/>
        <item m="1" x="73"/>
        <item m="1" x="76"/>
        <item m="1" x="77"/>
        <item m="1" x="86"/>
        <item m="1" x="88"/>
        <item m="1" x="89"/>
        <item m="1" x="94"/>
        <item m="1" x="95"/>
        <item m="1" x="96"/>
        <item m="1" x="97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lumna2" axis="axisRow" compact="0" outline="0" showAll="0" defaultSubtotal="0">
      <items count="8">
        <item x="1"/>
        <item m="1" x="7"/>
        <item x="0"/>
        <item x="2"/>
        <item x="5"/>
        <item x="6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7">
    <i>
      <x v="82"/>
      <x v="7"/>
    </i>
    <i>
      <x v="147"/>
      <x v="5"/>
    </i>
    <i>
      <x v="166"/>
      <x v="4"/>
    </i>
    <i>
      <x v="196"/>
      <x v="3"/>
    </i>
    <i>
      <x v="214"/>
      <x/>
    </i>
    <i>
      <x v="215"/>
      <x v="2"/>
    </i>
    <i>
      <x v="240"/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/>
  </dataFields>
  <formats count="1">
    <format dxfId="46">
      <pivotArea outline="0" fieldPosition="0">
        <references count="3">
          <reference field="4294967294" count="2" selected="0">
            <x v="1"/>
            <x v="2"/>
          </reference>
          <reference field="0" count="0" selected="0"/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54CF0D-2E37-4493-B1C0-D43A6DB133C3}" name="DB481" cacheId="37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>
  <location ref="A1:E32" firstHeaderRow="0" firstDataRow="1" firstDataCol="2"/>
  <pivotFields count="5">
    <pivotField axis="axisRow" compact="0" outline="0" showAll="0" defaultSubtotal="0">
      <items count="227">
        <item m="1" x="87"/>
        <item m="1" x="149"/>
        <item m="1" x="54"/>
        <item m="1" x="55"/>
        <item m="1" x="125"/>
        <item m="1" x="60"/>
        <item m="1" x="76"/>
        <item m="1" x="213"/>
        <item m="1" x="205"/>
        <item m="1" x="177"/>
        <item m="1" x="190"/>
        <item m="1" x="203"/>
        <item m="1" x="224"/>
        <item m="1" x="126"/>
        <item m="1" x="74"/>
        <item m="1" x="157"/>
        <item m="1" x="170"/>
        <item m="1" x="201"/>
        <item m="1" x="167"/>
        <item m="1" x="50"/>
        <item m="1" x="220"/>
        <item m="1" x="211"/>
        <item m="1" x="152"/>
        <item m="1" x="202"/>
        <item m="1" x="171"/>
        <item m="1" x="158"/>
        <item m="1" x="72"/>
        <item m="1" x="51"/>
        <item m="1" x="52"/>
        <item m="1" x="53"/>
        <item m="1" x="198"/>
        <item m="1" x="222"/>
        <item m="1" x="162"/>
        <item m="1" x="189"/>
        <item m="1" x="172"/>
        <item m="1" x="164"/>
        <item m="1" x="147"/>
        <item m="1" x="175"/>
        <item m="1" x="77"/>
        <item m="1" x="127"/>
        <item m="1" x="96"/>
        <item m="1" x="56"/>
        <item m="1" x="61"/>
        <item m="1" x="62"/>
        <item m="1" x="59"/>
        <item m="1" x="192"/>
        <item m="1" x="131"/>
        <item m="1" x="138"/>
        <item m="1" x="208"/>
        <item m="1" x="194"/>
        <item m="1" x="223"/>
        <item m="1" x="154"/>
        <item m="1" x="108"/>
        <item m="1" x="58"/>
        <item m="1" x="63"/>
        <item m="1" x="159"/>
        <item m="1" x="195"/>
        <item m="1" x="124"/>
        <item m="1" x="102"/>
        <item m="1" x="156"/>
        <item m="1" x="86"/>
        <item m="1" x="212"/>
        <item m="1" x="57"/>
        <item m="1" x="104"/>
        <item m="1" x="204"/>
        <item m="1" x="130"/>
        <item m="1" x="148"/>
        <item m="1" x="185"/>
        <item m="1" x="35"/>
        <item m="1" x="34"/>
        <item m="1" x="141"/>
        <item m="1" x="168"/>
        <item x="14"/>
        <item m="1" x="178"/>
        <item x="21"/>
        <item m="1" x="113"/>
        <item m="1" x="65"/>
        <item m="1" x="166"/>
        <item x="15"/>
        <item x="26"/>
        <item x="27"/>
        <item m="1" x="109"/>
        <item x="18"/>
        <item m="1" x="163"/>
        <item m="1" x="165"/>
        <item m="1" x="94"/>
        <item m="1" x="84"/>
        <item x="19"/>
        <item m="1" x="206"/>
        <item m="1" x="196"/>
        <item m="1" x="221"/>
        <item m="1" x="187"/>
        <item m="1" x="75"/>
        <item m="1" x="71"/>
        <item x="5"/>
        <item x="4"/>
        <item m="1" x="122"/>
        <item m="1" x="207"/>
        <item m="1" x="91"/>
        <item m="1" x="215"/>
        <item x="0"/>
        <item m="1" x="155"/>
        <item m="1" x="92"/>
        <item m="1" x="180"/>
        <item m="1" x="181"/>
        <item m="1" x="214"/>
        <item m="1" x="161"/>
        <item x="6"/>
        <item m="1" x="123"/>
        <item m="1" x="191"/>
        <item m="1" x="111"/>
        <item m="1" x="31"/>
        <item m="1" x="89"/>
        <item m="1" x="209"/>
        <item m="1" x="193"/>
        <item m="1" x="216"/>
        <item m="1" x="160"/>
        <item m="1" x="116"/>
        <item x="17"/>
        <item m="1" x="182"/>
        <item m="1" x="38"/>
        <item m="1" x="106"/>
        <item m="1" x="199"/>
        <item m="1" x="39"/>
        <item m="1" x="117"/>
        <item m="1" x="225"/>
        <item m="1" x="169"/>
        <item m="1" x="153"/>
        <item m="1" x="186"/>
        <item m="1" x="188"/>
        <item m="1" x="132"/>
        <item m="1" x="133"/>
        <item m="1" x="43"/>
        <item m="1" x="47"/>
        <item m="1" x="44"/>
        <item m="1" x="134"/>
        <item m="1" x="42"/>
        <item m="1" x="136"/>
        <item m="1" x="48"/>
        <item m="1" x="49"/>
        <item m="1" x="81"/>
        <item m="1" x="217"/>
        <item m="1" x="46"/>
        <item m="1" x="45"/>
        <item m="1" x="120"/>
        <item m="1" x="115"/>
        <item m="1" x="140"/>
        <item m="1" x="200"/>
        <item m="1" x="184"/>
        <item m="1" x="219"/>
        <item m="1" x="67"/>
        <item x="1"/>
        <item m="1" x="69"/>
        <item m="1" x="105"/>
        <item m="1" x="176"/>
        <item m="1" x="179"/>
        <item m="1" x="151"/>
        <item m="1" x="150"/>
        <item x="9"/>
        <item x="8"/>
        <item m="1" x="66"/>
        <item m="1" x="143"/>
        <item m="1" x="183"/>
        <item m="1" x="226"/>
        <item m="1" x="174"/>
        <item x="30"/>
        <item m="1" x="210"/>
        <item m="1" x="173"/>
        <item m="1" x="112"/>
        <item m="1" x="218"/>
        <item m="1" x="197"/>
        <item x="2"/>
        <item x="22"/>
        <item x="25"/>
        <item m="1" x="146"/>
        <item x="23"/>
        <item m="1" x="144"/>
        <item m="1" x="73"/>
        <item m="1" x="129"/>
        <item m="1" x="145"/>
        <item m="1" x="137"/>
        <item m="1" x="32"/>
        <item m="1" x="95"/>
        <item m="1" x="119"/>
        <item m="1" x="40"/>
        <item m="1" x="110"/>
        <item m="1" x="36"/>
        <item x="28"/>
        <item x="29"/>
        <item x="24"/>
        <item m="1" x="142"/>
        <item m="1" x="128"/>
        <item m="1" x="79"/>
        <item m="1" x="135"/>
        <item m="1" x="80"/>
        <item m="1" x="139"/>
        <item m="1" x="88"/>
        <item x="20"/>
        <item m="1" x="37"/>
        <item m="1" x="82"/>
        <item m="1" x="85"/>
        <item m="1" x="114"/>
        <item m="1" x="101"/>
        <item m="1" x="118"/>
        <item m="1" x="100"/>
        <item m="1" x="90"/>
        <item x="7"/>
        <item m="1" x="121"/>
        <item m="1" x="97"/>
        <item m="1" x="98"/>
        <item m="1" x="99"/>
        <item x="16"/>
        <item m="1" x="103"/>
        <item m="1" x="33"/>
        <item m="1" x="41"/>
        <item m="1" x="107"/>
        <item m="1" x="93"/>
        <item m="1" x="78"/>
        <item m="1" x="83"/>
        <item m="1" x="68"/>
        <item m="1" x="64"/>
        <item x="11"/>
        <item m="1" x="70"/>
        <item x="3"/>
        <item x="10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olumna2" axis="axisRow" compact="0" outline="0" showAll="0" defaultSubtotal="0">
      <items count="568">
        <item m="1" x="45"/>
        <item m="1" x="47"/>
        <item m="1" x="60"/>
        <item m="1" x="53"/>
        <item m="1" x="517"/>
        <item m="1" x="209"/>
        <item m="1" x="244"/>
        <item m="1" x="243"/>
        <item m="1" x="69"/>
        <item m="1" x="70"/>
        <item m="1" x="501"/>
        <item m="1" x="159"/>
        <item m="1" x="166"/>
        <item m="1" x="87"/>
        <item m="1" x="86"/>
        <item m="1" x="313"/>
        <item m="1" x="422"/>
        <item m="1" x="106"/>
        <item m="1" x="52"/>
        <item m="1" x="111"/>
        <item m="1" x="219"/>
        <item m="1" x="112"/>
        <item m="1" x="351"/>
        <item m="1" x="44"/>
        <item m="1" x="61"/>
        <item m="1" x="49"/>
        <item m="1" x="50"/>
        <item m="1" x="187"/>
        <item m="1" x="160"/>
        <item m="1" x="161"/>
        <item m="1" x="257"/>
        <item m="1" x="185"/>
        <item m="1" x="92"/>
        <item m="1" x="198"/>
        <item m="1" x="466"/>
        <item m="1" x="435"/>
        <item m="1" x="393"/>
        <item m="1" x="479"/>
        <item m="1" x="445"/>
        <item m="1" x="461"/>
        <item m="1" x="259"/>
        <item m="1" x="431"/>
        <item m="1" x="412"/>
        <item m="1" x="486"/>
        <item m="1" x="408"/>
        <item m="1" x="509"/>
        <item m="1" x="510"/>
        <item m="1" x="346"/>
        <item m="1" x="350"/>
        <item m="1" x="41"/>
        <item m="1" x="558"/>
        <item m="1" x="449"/>
        <item m="1" x="563"/>
        <item m="1" x="545"/>
        <item m="1" x="151"/>
        <item m="1" x="356"/>
        <item m="1" x="314"/>
        <item m="1" x="249"/>
        <item m="1" x="196"/>
        <item m="1" x="108"/>
        <item m="1" x="296"/>
        <item m="1" x="46"/>
        <item m="1" x="54"/>
        <item m="1" x="354"/>
        <item m="1" x="158"/>
        <item m="1" x="366"/>
        <item m="1" x="540"/>
        <item m="1" x="352"/>
        <item m="1" x="157"/>
        <item m="1" x="447"/>
        <item m="1" x="221"/>
        <item m="1" x="222"/>
        <item m="1" x="406"/>
        <item m="1" x="508"/>
        <item m="1" x="247"/>
        <item m="1" x="552"/>
        <item m="1" x="451"/>
        <item m="1" x="82"/>
        <item m="1" x="343"/>
        <item m="1" x="497"/>
        <item m="1" x="499"/>
        <item m="1" x="421"/>
        <item m="1" x="64"/>
        <item m="1" x="171"/>
        <item m="1" x="194"/>
        <item m="1" x="83"/>
        <item m="1" x="84"/>
        <item m="1" x="85"/>
        <item m="1" x="512"/>
        <item m="1" x="411"/>
        <item m="1" x="550"/>
        <item m="1" x="566"/>
        <item m="1" x="518"/>
        <item m="1" x="516"/>
        <item m="1" x="380"/>
        <item m="1" x="37"/>
        <item m="1" x="347"/>
        <item m="1" x="246"/>
        <item m="1" x="474"/>
        <item m="1" x="43"/>
        <item m="1" x="42"/>
        <item m="1" x="505"/>
        <item m="1" x="478"/>
        <item m="1" x="542"/>
        <item m="1" x="524"/>
        <item m="1" x="481"/>
        <item m="1" x="427"/>
        <item m="1" x="556"/>
        <item m="1" x="567"/>
        <item m="1" x="156"/>
        <item m="1" x="162"/>
        <item m="1" x="163"/>
        <item m="1" x="164"/>
        <item m="1" x="413"/>
        <item m="1" x="394"/>
        <item m="1" x="386"/>
        <item m="1" x="180"/>
        <item m="1" x="254"/>
        <item m="1" x="255"/>
        <item m="1" x="456"/>
        <item m="1" x="184"/>
        <item m="1" x="410"/>
        <item m="1" x="419"/>
        <item m="1" x="199"/>
        <item m="1" x="245"/>
        <item m="1" x="424"/>
        <item m="1" x="402"/>
        <item m="1" x="165"/>
        <item m="1" x="473"/>
        <item m="1" x="170"/>
        <item m="1" x="315"/>
        <item m="1" x="270"/>
        <item m="1" x="107"/>
        <item m="1" x="51"/>
        <item m="1" x="525"/>
        <item m="1" x="440"/>
        <item m="1" x="523"/>
        <item m="1" x="88"/>
        <item m="1" x="93"/>
        <item m="1" x="94"/>
        <item m="1" x="489"/>
        <item m="1" x="113"/>
        <item m="1" x="220"/>
        <item m="1" x="420"/>
        <item m="1" x="389"/>
        <item m="1" x="536"/>
        <item m="1" x="453"/>
        <item m="1" x="475"/>
        <item m="1" x="248"/>
        <item m="1" x="357"/>
        <item m="1" x="503"/>
        <item m="1" x="91"/>
        <item m="1" x="432"/>
        <item m="1" x="388"/>
        <item m="1" x="507"/>
        <item m="1" x="450"/>
        <item m="1" x="365"/>
        <item m="1" x="548"/>
        <item m="1" x="319"/>
        <item m="1" x="65"/>
        <item m="1" x="66"/>
        <item m="1" x="470"/>
        <item m="1" x="553"/>
        <item m="1" x="526"/>
        <item m="1" x="167"/>
        <item m="1" x="367"/>
        <item m="1" x="368"/>
        <item m="1" x="369"/>
        <item m="1" x="326"/>
        <item m="1" x="535"/>
        <item m="1" x="528"/>
        <item m="1" x="515"/>
        <item m="1" x="480"/>
        <item m="1" x="382"/>
        <item m="1" x="448"/>
        <item m="1" x="487"/>
        <item m="1" x="565"/>
        <item m="1" x="398"/>
        <item m="1" x="62"/>
        <item m="1" x="462"/>
        <item m="1" x="496"/>
        <item m="1" x="562"/>
        <item m="1" x="439"/>
        <item m="1" x="409"/>
        <item m="1" x="292"/>
        <item m="1" x="425"/>
        <item m="1" x="38"/>
        <item m="1" x="90"/>
        <item m="1" x="95"/>
        <item m="1" x="416"/>
        <item m="1" x="345"/>
        <item m="1" x="40"/>
        <item m="1" x="429"/>
        <item m="1" x="186"/>
        <item m="1" x="531"/>
        <item m="1" x="312"/>
        <item m="1" x="285"/>
        <item m="1" x="543"/>
        <item m="1" x="208"/>
        <item m="1" x="493"/>
        <item m="1" x="414"/>
        <item m="1" x="484"/>
        <item m="1" x="397"/>
        <item m="1" x="522"/>
        <item m="1" x="381"/>
        <item m="1" x="465"/>
        <item m="1" x="460"/>
        <item m="1" x="261"/>
        <item m="1" x="89"/>
        <item m="1" x="72"/>
        <item m="1" x="452"/>
        <item m="1" x="287"/>
        <item m="1" x="458"/>
        <item m="1" x="476"/>
        <item m="1" x="494"/>
        <item m="1" x="318"/>
        <item m="1" x="469"/>
        <item m="1" x="218"/>
        <item m="1" x="172"/>
        <item m="1" x="437"/>
        <item m="1" x="36"/>
        <item m="1" x="35"/>
        <item m="1" x="329"/>
        <item m="1" x="560"/>
        <item x="14"/>
        <item m="1" x="459"/>
        <item x="21"/>
        <item m="1" x="300"/>
        <item m="1" x="97"/>
        <item m="1" x="498"/>
        <item x="15"/>
        <item m="1" x="454"/>
        <item x="27"/>
        <item m="1" x="294"/>
        <item m="1" x="546"/>
        <item m="1" x="547"/>
        <item m="1" x="428"/>
        <item m="1" x="463"/>
        <item m="1" x="483"/>
        <item m="1" x="443"/>
        <item m="1" x="491"/>
        <item m="1" x="513"/>
        <item m="1" x="544"/>
        <item m="1" x="387"/>
        <item m="1" x="197"/>
        <item m="1" x="103"/>
        <item x="5"/>
        <item x="4"/>
        <item m="1" x="309"/>
        <item m="1" x="390"/>
        <item m="1" x="213"/>
        <item m="1" x="391"/>
        <item x="0"/>
        <item m="1" x="561"/>
        <item m="1" x="214"/>
        <item m="1" x="504"/>
        <item m="1" x="430"/>
        <item m="1" x="457"/>
        <item m="1" x="559"/>
        <item x="6"/>
        <item m="1" x="310"/>
        <item m="1" x="492"/>
        <item m="1" x="564"/>
        <item m="1" x="538"/>
        <item m="1" x="32"/>
        <item m="1" x="211"/>
        <item x="26"/>
        <item m="1" x="549"/>
        <item m="1" x="415"/>
        <item m="1" x="500"/>
        <item m="1" x="464"/>
        <item m="1" x="48"/>
        <item m="1" x="303"/>
        <item x="17"/>
        <item m="1" x="446"/>
        <item m="1" x="57"/>
        <item m="1" x="289"/>
        <item m="1" x="539"/>
        <item m="1" x="58"/>
        <item m="1" x="304"/>
        <item m="1" x="529"/>
        <item m="1" x="551"/>
        <item m="1" x="67"/>
        <item m="1" x="68"/>
        <item m="1" x="418"/>
        <item m="1" x="335"/>
        <item m="1" x="378"/>
        <item m="1" x="407"/>
        <item m="1" x="444"/>
        <item m="1" x="293"/>
        <item m="1" x="177"/>
        <item m="1" x="471"/>
        <item m="1" x="417"/>
        <item m="1" x="438"/>
        <item m="1" x="320"/>
        <item m="1" x="321"/>
        <item m="1" x="74"/>
        <item m="1" x="78"/>
        <item m="1" x="436"/>
        <item m="1" x="502"/>
        <item m="1" x="472"/>
        <item m="1" x="75"/>
        <item m="1" x="322"/>
        <item m="1" x="73"/>
        <item m="1" x="324"/>
        <item m="1" x="79"/>
        <item m="1" x="80"/>
        <item m="1" x="203"/>
        <item m="1" x="495"/>
        <item m="1" x="77"/>
        <item m="1" x="76"/>
        <item m="1" x="307"/>
        <item m="1" x="302"/>
        <item m="1" x="328"/>
        <item m="1" x="490"/>
        <item m="1" x="506"/>
        <item m="1" x="395"/>
        <item m="1" x="99"/>
        <item x="1"/>
        <item m="1" x="101"/>
        <item m="1" x="288"/>
        <item m="1" x="468"/>
        <item m="1" x="396"/>
        <item m="1" x="426"/>
        <item m="1" x="109"/>
        <item m="1" x="110"/>
        <item m="1" x="330"/>
        <item m="1" x="541"/>
        <item m="1" x="118"/>
        <item m="1" x="119"/>
        <item m="1" x="532"/>
        <item m="1" x="482"/>
        <item m="1" x="228"/>
        <item m="1" x="229"/>
        <item m="1" x="126"/>
        <item m="1" x="131"/>
        <item m="1" x="132"/>
        <item m="1" x="133"/>
        <item m="1" x="235"/>
        <item m="1" x="140"/>
        <item m="1" x="239"/>
        <item m="1" x="241"/>
        <item m="1" x="441"/>
        <item m="1" x="377"/>
        <item m="1" x="81"/>
        <item m="1" x="403"/>
        <item m="1" x="467"/>
        <item m="1" x="533"/>
        <item m="1" x="149"/>
        <item m="1" x="534"/>
        <item m="1" x="477"/>
        <item m="1" x="442"/>
        <item m="1" x="392"/>
        <item m="1" x="485"/>
        <item m="1" x="521"/>
        <item m="1" x="153"/>
        <item m="1" x="344"/>
        <item m="1" x="154"/>
        <item m="1" x="434"/>
        <item m="1" x="276"/>
        <item m="1" x="555"/>
        <item m="1" x="514"/>
        <item m="1" x="363"/>
        <item m="1" x="537"/>
        <item m="1" x="364"/>
        <item m="1" x="399"/>
        <item m="1" x="401"/>
        <item m="1" x="253"/>
        <item m="1" x="182"/>
        <item m="1" x="183"/>
        <item m="1" x="258"/>
        <item m="1" x="405"/>
        <item m="1" x="530"/>
        <item m="1" x="557"/>
        <item m="1" x="272"/>
        <item m="1" x="554"/>
        <item m="1" x="400"/>
        <item m="1" x="423"/>
        <item x="9"/>
        <item x="8"/>
        <item m="1" x="98"/>
        <item m="1" x="372"/>
        <item m="1" x="519"/>
        <item m="1" x="404"/>
        <item m="1" x="206"/>
        <item m="1" x="527"/>
        <item x="30"/>
        <item m="1" x="511"/>
        <item m="1" x="520"/>
        <item m="1" x="299"/>
        <item m="1" x="488"/>
        <item m="1" x="455"/>
        <item x="2"/>
        <item x="22"/>
        <item x="25"/>
        <item m="1" x="216"/>
        <item x="18"/>
        <item m="1" x="433"/>
        <item m="1" x="71"/>
        <item m="1" x="311"/>
        <item m="1" x="384"/>
        <item m="1" x="385"/>
        <item x="23"/>
        <item m="1" x="373"/>
        <item m="1" x="195"/>
        <item m="1" x="317"/>
        <item m="1" x="374"/>
        <item m="1" x="325"/>
        <item m="1" x="227"/>
        <item m="1" x="331"/>
        <item m="1" x="375"/>
        <item m="1" x="334"/>
        <item m="1" x="240"/>
        <item m="1" x="376"/>
        <item m="1" x="242"/>
        <item m="1" x="336"/>
        <item m="1" x="379"/>
        <item m="1" x="362"/>
        <item m="1" x="383"/>
        <item m="1" x="252"/>
        <item m="1" x="33"/>
        <item m="1" x="268"/>
        <item m="1" x="306"/>
        <item x="19"/>
        <item m="1" x="59"/>
        <item m="1" x="370"/>
        <item m="1" x="297"/>
        <item m="1" x="39"/>
        <item x="28"/>
        <item x="29"/>
        <item x="24"/>
        <item m="1" x="371"/>
        <item m="1" x="316"/>
        <item m="1" x="201"/>
        <item m="1" x="323"/>
        <item m="1" x="202"/>
        <item m="1" x="327"/>
        <item m="1" x="210"/>
        <item m="1" x="105"/>
        <item m="1" x="282"/>
        <item m="1" x="114"/>
        <item m="1" x="291"/>
        <item m="1" x="127"/>
        <item m="1" x="332"/>
        <item m="1" x="333"/>
        <item m="1" x="135"/>
        <item m="1" x="136"/>
        <item m="1" x="234"/>
        <item m="1" x="139"/>
        <item m="1" x="143"/>
        <item m="1" x="238"/>
        <item m="1" x="337"/>
        <item m="1" x="338"/>
        <item m="1" x="145"/>
        <item m="1" x="146"/>
        <item m="1" x="147"/>
        <item m="1" x="339"/>
        <item m="1" x="340"/>
        <item m="1" x="269"/>
        <item m="1" x="341"/>
        <item m="1" x="342"/>
        <item m="1" x="273"/>
        <item m="1" x="348"/>
        <item m="1" x="349"/>
        <item m="1" x="353"/>
        <item m="1" x="355"/>
        <item m="1" x="168"/>
        <item m="1" x="358"/>
        <item m="1" x="175"/>
        <item m="1" x="176"/>
        <item m="1" x="178"/>
        <item m="1" x="359"/>
        <item m="1" x="360"/>
        <item m="1" x="361"/>
        <item m="1" x="181"/>
        <item m="1" x="189"/>
        <item m="1" x="190"/>
        <item m="1" x="193"/>
        <item m="1" x="298"/>
        <item x="20"/>
        <item m="1" x="55"/>
        <item m="1" x="204"/>
        <item m="1" x="207"/>
        <item m="1" x="301"/>
        <item m="1" x="284"/>
        <item m="1" x="305"/>
        <item m="1" x="283"/>
        <item m="1" x="212"/>
        <item x="7"/>
        <item m="1" x="308"/>
        <item m="1" x="236"/>
        <item m="1" x="274"/>
        <item m="1" x="267"/>
        <item m="1" x="275"/>
        <item m="1" x="277"/>
        <item m="1" x="278"/>
        <item m="1" x="279"/>
        <item m="1" x="123"/>
        <item m="1" x="122"/>
        <item m="1" x="280"/>
        <item m="1" x="281"/>
        <item x="16"/>
        <item m="1" x="286"/>
        <item m="1" x="34"/>
        <item m="1" x="63"/>
        <item m="1" x="290"/>
        <item m="1" x="295"/>
        <item m="1" x="115"/>
        <item m="1" x="116"/>
        <item m="1" x="117"/>
        <item m="1" x="264"/>
        <item m="1" x="265"/>
        <item m="1" x="266"/>
        <item m="1" x="271"/>
        <item m="1" x="215"/>
        <item m="1" x="200"/>
        <item m="1" x="205"/>
        <item m="1" x="100"/>
        <item m="1" x="217"/>
        <item m="1" x="223"/>
        <item m="1" x="224"/>
        <item m="1" x="225"/>
        <item m="1" x="226"/>
        <item m="1" x="230"/>
        <item m="1" x="128"/>
        <item m="1" x="231"/>
        <item m="1" x="232"/>
        <item m="1" x="137"/>
        <item m="1" x="233"/>
        <item m="1" x="237"/>
        <item m="1" x="150"/>
        <item m="1" x="56"/>
        <item m="1" x="250"/>
        <item m="1" x="251"/>
        <item m="1" x="256"/>
        <item m="1" x="260"/>
        <item m="1" x="262"/>
        <item m="1" x="263"/>
        <item m="1" x="96"/>
        <item x="11"/>
        <item m="1" x="102"/>
        <item m="1" x="104"/>
        <item m="1" x="120"/>
        <item m="1" x="121"/>
        <item m="1" x="124"/>
        <item m="1" x="125"/>
        <item m="1" x="129"/>
        <item m="1" x="130"/>
        <item m="1" x="134"/>
        <item m="1" x="138"/>
        <item m="1" x="141"/>
        <item m="1" x="142"/>
        <item m="1" x="144"/>
        <item m="1" x="148"/>
        <item m="1" x="152"/>
        <item m="1" x="155"/>
        <item m="1" x="169"/>
        <item m="1" x="173"/>
        <item m="1" x="174"/>
        <item m="1" x="179"/>
        <item m="1" x="188"/>
        <item m="1" x="191"/>
        <item m="1" x="192"/>
        <item m="1" x="31"/>
        <item x="3"/>
        <item x="10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1">
    <i>
      <x v="72"/>
      <x v="224"/>
    </i>
    <i>
      <x v="74"/>
      <x v="226"/>
    </i>
    <i>
      <x v="78"/>
      <x v="230"/>
    </i>
    <i>
      <x v="79"/>
      <x v="266"/>
    </i>
    <i>
      <x v="80"/>
      <x v="232"/>
    </i>
    <i>
      <x v="82"/>
      <x v="396"/>
    </i>
    <i>
      <x v="87"/>
      <x v="423"/>
    </i>
    <i>
      <x v="94"/>
      <x v="246"/>
    </i>
    <i>
      <x v="95"/>
      <x v="247"/>
    </i>
    <i>
      <x v="100"/>
      <x v="252"/>
    </i>
    <i>
      <x v="107"/>
      <x v="259"/>
    </i>
    <i>
      <x v="118"/>
      <x v="273"/>
    </i>
    <i>
      <x v="151"/>
      <x v="318"/>
    </i>
    <i>
      <x v="158"/>
      <x v="378"/>
    </i>
    <i>
      <x v="159"/>
      <x v="379"/>
    </i>
    <i>
      <x v="165"/>
      <x v="386"/>
    </i>
    <i>
      <x v="171"/>
      <x v="392"/>
    </i>
    <i>
      <x v="172"/>
      <x v="393"/>
    </i>
    <i>
      <x v="173"/>
      <x v="394"/>
    </i>
    <i>
      <x v="175"/>
      <x v="402"/>
    </i>
    <i>
      <x v="187"/>
      <x v="428"/>
    </i>
    <i>
      <x v="188"/>
      <x v="429"/>
    </i>
    <i>
      <x v="189"/>
      <x v="430"/>
    </i>
    <i>
      <x v="197"/>
      <x v="479"/>
    </i>
    <i>
      <x v="206"/>
      <x v="488"/>
    </i>
    <i>
      <x v="211"/>
      <x v="501"/>
    </i>
    <i>
      <x v="221"/>
      <x v="539"/>
    </i>
    <i>
      <x v="223"/>
      <x v="564"/>
    </i>
    <i>
      <x v="224"/>
      <x v="565"/>
    </i>
    <i>
      <x v="225"/>
      <x v="566"/>
    </i>
    <i>
      <x v="226"/>
      <x v="56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olumna3" fld="2" baseField="0" baseItem="0"/>
    <dataField name="Suma de Columna4" fld="3" baseField="0" baseItem="0"/>
    <dataField name="Suma de Columna5" fld="4" baseField="0" baseItem="0"/>
  </dataFields>
  <formats count="1">
    <format dxfId="43">
      <pivotArea outline="0" fieldPosition="0">
        <references count="3">
          <reference field="4294967294" count="2" selected="0">
            <x v="1"/>
            <x v="2"/>
          </reference>
          <reference field="0" count="0" selected="0"/>
          <reference field="1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UTAS" xr10:uid="{90663063-9218-4696-9032-1C18B01852B7}" sourceName="RUTAS">
  <pivotTables>
    <pivotTable tabId="154" name="TABLARUTAS"/>
  </pivotTables>
  <data>
    <tabular pivotCacheId="1636757863">
      <items count="12">
        <i x="0"/>
        <i x="1"/>
        <i x="2" s="1"/>
        <i x="3"/>
        <i x="4"/>
        <i x="5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UTAS" xr10:uid="{3A96D9E3-DBAF-4543-8577-66780EC77E18}" cache="SegmentaciónDeDatos_RUTAS" caption="RUTAS" style="PESO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F7A5F0-391F-4993-A2CE-A63291B45EA3}" name="RUTA471" displayName="RUTA471" ref="A1:E140" totalsRowShown="0">
  <autoFilter ref="A1:E140" xr:uid="{589E3EA9-A74E-4A79-9586-B54AD7BB733F}"/>
  <tableColumns count="5">
    <tableColumn id="1" xr3:uid="{E0D16A42-07C7-4FC1-907F-62363D693150}" name="Columna1"/>
    <tableColumn id="2" xr3:uid="{A1700141-0217-4F63-8EE5-6C78D6B7CE96}" name="Columna2"/>
    <tableColumn id="3" xr3:uid="{7B589657-75F7-4962-9C6A-D77FBF3BAE9D}" name="Columna3"/>
    <tableColumn id="4" xr3:uid="{957D6AAA-25F8-4D7B-8A84-7E4CD7958A4C}" name="Columna4" dataDxfId="40" dataCellStyle="Normal 2">
      <calculatedColumnFormula>VLOOKUP(RUTA471[[#This Row],[Columna1]],Tabla14[#All],6,0)</calculatedColumnFormula>
    </tableColumn>
    <tableColumn id="5" xr3:uid="{559C18FF-D194-47D2-B78B-3CD6301DD68F}" name="Columna5" dataDxfId="39" dataCellStyle="Normal 2">
      <calculatedColumnFormula>RUTA471[[#This Row],[Columna3]]*RUTA471[[#This Row],[Columna4]]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D3F815-1B16-41E3-AC65-255031622215}" name="RUTA472" displayName="RUTA472" ref="A1:E125" totalsRowShown="0">
  <autoFilter ref="A1:E125" xr:uid="{8AFC21B3-F66F-4D83-8F1A-D77D1487EF38}"/>
  <tableColumns count="5">
    <tableColumn id="1" xr3:uid="{79D98901-57F4-4AB3-B89B-B969FFE1D91F}" name="Columna1"/>
    <tableColumn id="2" xr3:uid="{C9738D21-193D-4972-8682-257558E76FE8}" name="Columna2"/>
    <tableColumn id="3" xr3:uid="{F8D866C2-CE34-4E3F-A11A-25C9C02146D2}" name="Columna3"/>
    <tableColumn id="4" xr3:uid="{4807DD13-7EFB-4C54-9AAC-BA9E574ECFEB}" name="Columna4" dataDxfId="38" dataCellStyle="Normal 2">
      <calculatedColumnFormula>VLOOKUP(RUTA472[[#This Row],[Columna1]],Tabla14[#All],6,0)</calculatedColumnFormula>
    </tableColumn>
    <tableColumn id="5" xr3:uid="{6ED07345-DD92-4037-BDCE-EE2DDE29D658}" name="Columna5" dataDxfId="37" dataCellStyle="Normal 2">
      <calculatedColumnFormula>RUTA472[[#This Row],[Columna3]]*RUTA472[[#This Row],[Columna4]]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DA5024-D047-4913-993C-C0EE14B6494E}" name="RUTA473" displayName="RUTA473" ref="A1:E147" totalsRowShown="0">
  <autoFilter ref="A1:E147" xr:uid="{B7C11BD5-67A8-4DEE-B335-006555182F37}"/>
  <tableColumns count="5">
    <tableColumn id="1" xr3:uid="{E9C07192-B67B-45D5-B2F6-BB990448F191}" name="Columna1"/>
    <tableColumn id="2" xr3:uid="{1989B90F-BFEC-4BEF-8AF8-01DBB9C6664F}" name="Columna2"/>
    <tableColumn id="3" xr3:uid="{D4ABE0A0-1F7B-46DC-85F5-089839783BA6}" name="Columna3"/>
    <tableColumn id="4" xr3:uid="{7F0AB3AB-C5EC-4524-84C6-17D6AC1C0726}" name="Columna4" dataDxfId="36" dataCellStyle="Normal 2">
      <calculatedColumnFormula>VLOOKUP(RUTA473[[#This Row],[Columna1]],Tabla14[#All],6,0)</calculatedColumnFormula>
    </tableColumn>
    <tableColumn id="5" xr3:uid="{0127F379-9957-4D44-87C4-F115D9F97AE4}" name="Columna5" dataDxfId="35" dataCellStyle="Normal 2">
      <calculatedColumnFormula>RUTA473[[#This Row],[Columna3]]*RUTA473[[#This Row],[Columna4]]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011C1B-542C-4BF4-BAEB-28374FCBC8FC}" name="RUTA474" displayName="RUTA474" ref="A1:E155" totalsRowShown="0">
  <autoFilter ref="A1:E155" xr:uid="{3C7EA12A-EDE5-42BB-BA85-DC274E87A53C}"/>
  <tableColumns count="5">
    <tableColumn id="1" xr3:uid="{7B4CFA41-52FD-4858-A11E-FDB70F572746}" name="Columna1"/>
    <tableColumn id="2" xr3:uid="{BBE3290E-E046-43FA-90B6-35605E3575B9}" name="Columna2"/>
    <tableColumn id="3" xr3:uid="{DBE35771-A1E6-4841-9F35-A20B3D4AFFF7}" name="Columna3"/>
    <tableColumn id="4" xr3:uid="{1A8142DD-B6DD-4545-B497-093C07AB3A32}" name="Columna4" dataDxfId="34" dataCellStyle="Normal 2">
      <calculatedColumnFormula>VLOOKUP(RUTA474[[#This Row],[Columna1]],Tabla14[#All],6,0)</calculatedColumnFormula>
    </tableColumn>
    <tableColumn id="5" xr3:uid="{888C3F5F-158E-4992-A0E8-F6CE46575A55}" name="Columna5" dataDxfId="33" dataCellStyle="Normal 2">
      <calculatedColumnFormula>RUTA474[[#This Row],[Columna3]]*RUTA474[[#This Row],[Columna4]]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6E097-2A2B-4971-B545-D25DA7481E62}" name="RUTA475" displayName="RUTA475" ref="A1:E134" totalsRowShown="0">
  <autoFilter ref="A1:E134" xr:uid="{A5B88666-2B8B-463F-A254-E6545B6DC54B}"/>
  <tableColumns count="5">
    <tableColumn id="1" xr3:uid="{42877AE5-43EE-4539-9286-D1F6805D244E}" name="Columna1"/>
    <tableColumn id="2" xr3:uid="{1FEC5087-E50C-44F6-A562-462730DA96E2}" name="Columna2"/>
    <tableColumn id="3" xr3:uid="{1921C294-D26D-4D28-AF79-D45D3EB51E6C}" name="Columna3"/>
    <tableColumn id="4" xr3:uid="{02CEDE75-B0F3-4F9C-B810-8DE963DA4CB7}" name="Columna4" dataDxfId="32" dataCellStyle="Normal 2">
      <calculatedColumnFormula>VLOOKUP(RUTA475[[#This Row],[Columna1]],Tabla14[#All],6,0)</calculatedColumnFormula>
    </tableColumn>
    <tableColumn id="5" xr3:uid="{5B20D1F9-C114-4F3C-8B2A-ED80F7EF2224}" name="Columna5" dataDxfId="31" dataCellStyle="Normal 2">
      <calculatedColumnFormula>RUTA475[[#This Row],[Columna3]]*RUTA475[[#This Row],[Columna4]]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0AA327-20B5-462B-BBE8-91012279AFAE}" name="RUTA476" displayName="RUTA476" ref="A1:E142" totalsRowShown="0">
  <autoFilter ref="A1:E142" xr:uid="{82430F55-C3AC-482F-ACE3-25E6AB72B4ED}"/>
  <tableColumns count="5">
    <tableColumn id="1" xr3:uid="{3FEA16CB-E7C3-4496-AED8-2AF81E267E03}" name="Columna1"/>
    <tableColumn id="2" xr3:uid="{6923B33B-3894-40DD-B26E-47B33F85028C}" name="Columna2"/>
    <tableColumn id="3" xr3:uid="{028DE708-768F-4C51-B0CE-C87BDA5500D0}" name="Columna3"/>
    <tableColumn id="4" xr3:uid="{F2CAFD4A-71EA-49D2-A2DC-C2E697D28220}" name="Columna4" dataDxfId="30" dataCellStyle="Normal 2">
      <calculatedColumnFormula>VLOOKUP(RUTA476[[#This Row],[Columna1]],Tabla14[#All],6,0)</calculatedColumnFormula>
    </tableColumn>
    <tableColumn id="5" xr3:uid="{5070626C-2FD6-4F26-83A4-DF760DDA4B6A}" name="Columna5" dataDxfId="29" dataCellStyle="Normal 2">
      <calculatedColumnFormula>RUTA476[[#This Row],[Columna3]]*RUTA476[[#This Row],[Columna4]]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DD1D17C-95BE-4FC8-86E2-94583F9AE69B}" name="RUTA477" displayName="RUTA477" ref="A1:E95" totalsRowShown="0">
  <autoFilter ref="A1:E95" xr:uid="{D642638B-0472-4EA7-A3A2-265828080F87}"/>
  <tableColumns count="5">
    <tableColumn id="1" xr3:uid="{BDA03294-B7D4-44CD-9F0A-95CE116ABD48}" name="Columna1"/>
    <tableColumn id="2" xr3:uid="{A366EBEE-A4C2-403D-A745-FDC4C22C7C78}" name="Columna2"/>
    <tableColumn id="3" xr3:uid="{7809470F-4352-4D46-B8F4-0DBFB04E4033}" name="Columna3"/>
    <tableColumn id="4" xr3:uid="{6A0B206F-68E9-474E-9823-FA94C8D8AC91}" name="Columna4" dataDxfId="28" dataCellStyle="Normal 2">
      <calculatedColumnFormula>VLOOKUP(RUTA477[[#This Row],[Columna1]],Tabla14[#All],6,0)</calculatedColumnFormula>
    </tableColumn>
    <tableColumn id="5" xr3:uid="{045708BD-388B-4B12-992A-8E548A23C562}" name="Columna5" dataDxfId="27" dataCellStyle="Normal 2">
      <calculatedColumnFormula>RUTA477[[#This Row],[Columna3]]*RUTA477[[#This Row],[Columna4]]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4850CD9-704D-4DF2-ADBF-95A1C7763236}" name="RUTA481" displayName="RUTA481" ref="A1:E36" totalsRowShown="0">
  <autoFilter ref="A1:E36" xr:uid="{DEC39B31-C175-4AB1-9CE6-0D085FA7E05A}"/>
  <tableColumns count="5">
    <tableColumn id="1" xr3:uid="{263CC737-053C-4342-B160-7EB49411A563}" name="Columna1"/>
    <tableColumn id="2" xr3:uid="{42B8B05E-2FA7-480E-B69D-9A8E7B218E55}" name="Columna2"/>
    <tableColumn id="3" xr3:uid="{B913738F-BE3E-4539-8F38-26D057E334B6}" name="Columna3"/>
    <tableColumn id="4" xr3:uid="{695F971B-46FD-4EAA-BE40-A2CDC7035691}" name="Columna4" dataDxfId="18" dataCellStyle="Normal 2">
      <calculatedColumnFormula>VLOOKUP(RUTA481[[#This Row],[Columna1]],Tabla14[#All],6,0)</calculatedColumnFormula>
    </tableColumn>
    <tableColumn id="5" xr3:uid="{C36F6880-B350-4D3B-9181-73D303296C77}" name="Columna5" dataDxfId="17" dataCellStyle="Normal 2">
      <calculatedColumnFormula>RUTA481[[#This Row],[Columna3]]*RUTA481[[#This Row],[Columna4]]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F8F8D82-06A5-47FB-A7DA-15C2ED94FD18}" name="RUTA480" displayName="RUTA480" ref="A1:E8" totalsRowShown="0">
  <autoFilter ref="A1:E8" xr:uid="{0F3C69D4-B3F6-477D-BF25-D405002D58AA}"/>
  <tableColumns count="5">
    <tableColumn id="1" xr3:uid="{CE228985-1939-4E84-B496-5559AED0379D}" name="Columna1"/>
    <tableColumn id="2" xr3:uid="{20C06D9F-FE00-481E-B473-C38526E00076}" name="Columna2"/>
    <tableColumn id="3" xr3:uid="{54FE5477-CA1C-4DD4-82F8-7CFAC08BEB91}" name="Columna3"/>
    <tableColumn id="4" xr3:uid="{C0800C68-31D1-4993-940F-FC12049DD2CA}" name="Columna4" dataDxfId="20" dataCellStyle="Normal 2">
      <calculatedColumnFormula>VLOOKUP(RUTA480[[#This Row],[Columna1]],Tabla14[#All],6,0)</calculatedColumnFormula>
    </tableColumn>
    <tableColumn id="5" xr3:uid="{090B6844-47DB-4F72-B6A4-07DDFAE9E858}" name="Columna5" dataDxfId="19" dataCellStyle="Normal 2">
      <calculatedColumnFormula>RUTA480[[#This Row],[Columna3]]*RUTA480[[#This Row],[Columna4]]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9AF1DE-850E-40E9-BB18-6CB446D48EF3}" name="RUTA479" displayName="RUTA479" ref="A1:E99" totalsRowShown="0">
  <autoFilter ref="A1:E99" xr:uid="{B3787C3A-E8FE-4B80-8D63-4012926941D8}">
    <filterColumn colId="4">
      <filters>
        <filter val="#N/D"/>
      </filters>
    </filterColumn>
  </autoFilter>
  <tableColumns count="5">
    <tableColumn id="1" xr3:uid="{61CF85DB-B375-447D-B413-6EA8EC4EDD4A}" name="Columna1"/>
    <tableColumn id="2" xr3:uid="{35087376-05E3-4176-B7A3-72DBAE0FA934}" name="Columna2"/>
    <tableColumn id="3" xr3:uid="{44952383-0D80-442A-802A-ABF097E08093}" name="Columna3"/>
    <tableColumn id="4" xr3:uid="{410EA808-E068-431B-B66F-8145FCA50703}" name="Columna4" dataDxfId="22" dataCellStyle="Normal 2">
      <calculatedColumnFormula>VLOOKUP(RUTA479[[#This Row],[Columna1]],Tabla14[#All],6,0)</calculatedColumnFormula>
    </tableColumn>
    <tableColumn id="5" xr3:uid="{FAE8240E-73F7-49C3-B4FB-8C771F9A92A2}" name="Columna5" dataDxfId="21" dataCellStyle="Normal 2">
      <calculatedColumnFormula>RUTA479[[#This Row],[Columna3]]*RUTA479[[#This Row],[Columna4]]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DE1909-D014-47E4-9A09-E6A3FCA99BDE}" name="RUTA478" displayName="RUTA478" ref="A1:E3" totalsRowShown="0">
  <autoFilter ref="A1:E3" xr:uid="{7A0CFAAE-67B4-44B6-A141-F6FA886E2442}"/>
  <tableColumns count="5">
    <tableColumn id="1" xr3:uid="{EC10298F-42FA-402A-8057-C4716BC2E4AB}" name="Columna1"/>
    <tableColumn id="2" xr3:uid="{5AC86E1B-2F48-4066-96BB-A2F4DAF7858B}" name="Columna2"/>
    <tableColumn id="3" xr3:uid="{A242EBBD-C96E-482E-915D-2F6ED82B4E33}" name="Columna3"/>
    <tableColumn id="4" xr3:uid="{F3BE324D-14C4-41B4-8FD8-C5FB67B1F823}" name="Columna4" dataDxfId="24" dataCellStyle="Normal 2">
      <calculatedColumnFormula>VLOOKUP(RUTA478[[#This Row],[Columna1]],Tabla14[#All],6,0)</calculatedColumnFormula>
    </tableColumn>
    <tableColumn id="5" xr3:uid="{791A1552-D890-4ABD-8143-DDE53B9EEF16}" name="Columna5" dataDxfId="23" dataCellStyle="Normal 2">
      <calculatedColumnFormula>RUTA478[[#This Row],[Columna3]]*RUTA478[[#This Row],[Columna4]]</calculatedColumnFormula>
    </tableColumn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1E31369-0D21-4FD5-A3D4-13B63D07C24E}" name="RUTA470" displayName="RUTA470" ref="A1:E137" totalsRowShown="0">
  <autoFilter ref="A1:E137" xr:uid="{1DFE24C4-C631-4E38-B8D4-E541BA1A6DB3}"/>
  <tableColumns count="5">
    <tableColumn id="1" xr3:uid="{6D5AD11D-9764-4DB4-99D7-EA2AD6243AB3}" name="Columna1"/>
    <tableColumn id="2" xr3:uid="{57AD5191-81ED-4EF1-92DA-97100E111A96}" name="Columna2"/>
    <tableColumn id="3" xr3:uid="{F5C19D41-B8AE-4B2D-B35F-FE216016C9AE}" name="Columna3"/>
    <tableColumn id="4" xr3:uid="{828CFC7F-7480-4A87-852F-502DE1A161A6}" name="Columna4" dataDxfId="26" dataCellStyle="Normal 2">
      <calculatedColumnFormula>VLOOKUP(RUTA470[[#This Row],[Columna1]],Tabla14[#All],6,0)</calculatedColumnFormula>
    </tableColumn>
    <tableColumn id="5" xr3:uid="{D30D4CFC-91A9-4199-BC2F-5A5AB9C481E2}" name="Columna5" dataDxfId="25" dataCellStyle="Normal 2">
      <calculatedColumnFormula>RUTA470[[#This Row],[Columna3]]*RUTA470[[#This Row],[Columna4]]</calculatedColumnFormula>
    </tableColumn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Tabla34" displayName="Tabla34" ref="C3:E15" totalsRowShown="0" headerRowDxfId="95" dataDxfId="94" tableBorderDxfId="93">
  <autoFilter ref="C3:E15" xr:uid="{00000000-0009-0000-0100-000022000000}"/>
  <sortState xmlns:xlrd2="http://schemas.microsoft.com/office/spreadsheetml/2017/richdata2" ref="C4:E15">
    <sortCondition ref="C3:C15"/>
  </sortState>
  <tableColumns count="3">
    <tableColumn id="1" xr3:uid="{00000000-0010-0000-0900-000001000000}" name="RUTAS" dataDxfId="92"/>
    <tableColumn id="2" xr3:uid="{00000000-0010-0000-0900-000002000000}" name="PESO LB" dataDxfId="91"/>
    <tableColumn id="3" xr3:uid="{00000000-0010-0000-0900-000003000000}" name="PESO QUINTALES" dataDxfId="90">
      <calculatedColumnFormula>Tabla34[[#This Row],[PESO LB]]/100</calculatedColumnFormula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5A3711-33F7-4854-8664-DB3C33C8EB24}" name="Tabla14" displayName="Tabla14" ref="D4:I1380" totalsRowShown="0" headerRowDxfId="89" dataDxfId="87" headerRowBorderDxfId="88" tableBorderDxfId="86" totalsRowBorderDxfId="85">
  <autoFilter ref="D4:I1380" xr:uid="{145A3711-33F7-4854-8664-DB3C33C8EB24}"/>
  <sortState xmlns:xlrd2="http://schemas.microsoft.com/office/spreadsheetml/2017/richdata2" ref="D304:I1007">
    <sortCondition ref="F4:F1007"/>
  </sortState>
  <tableColumns count="6">
    <tableColumn id="1" xr3:uid="{9A1915A9-3417-42AB-8CE1-A9E192FC6C6E}" name="ARTICULO" dataDxfId="84"/>
    <tableColumn id="2" xr3:uid="{99974544-4868-4B3A-BDFA-015354F461A3}" name="Categorio" dataDxfId="83"/>
    <tableColumn id="3" xr3:uid="{322F5C52-3A9A-41EF-B129-4B1669519C06}" name="DESCRIPCION" dataDxfId="82"/>
    <tableColumn id="4" xr3:uid="{1D625199-2715-4550-A067-6088D5017710}" name="UXFARDO" dataDxfId="81"/>
    <tableColumn id="5" xr3:uid="{C75F9863-532A-42AF-9C8D-F6ED28127E88}" name="FARDO" dataDxfId="80"/>
    <tableColumn id="6" xr3:uid="{BC7A8611-9CE9-48E0-B261-4BED8670237D}" name="UNIDAD" dataDxfId="79">
      <calculatedColumnFormula>H5/G5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Tabla24" displayName="Tabla24" ref="G1:H2" totalsRowShown="0">
  <autoFilter ref="G1:H2" xr:uid="{00000000-0009-0000-0100-000011000000}"/>
  <tableColumns count="2">
    <tableColumn id="1" xr3:uid="{00000000-0010-0000-1100-000001000000}" name="LIBRA" dataDxfId="77">
      <calculatedColumnFormula>SUM(E:E)</calculatedColumnFormula>
    </tableColumn>
    <tableColumn id="2" xr3:uid="{00000000-0010-0000-1100-000002000000}" name="QUINTALES" dataDxfId="76">
      <calculatedColumnFormula>CONVERT(G2,"lbm","cwt")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G1:H2" totalsRowShown="0">
  <autoFilter ref="G1:H2" xr:uid="{00000000-0009-0000-0100-00000A000000}"/>
  <tableColumns count="2">
    <tableColumn id="1" xr3:uid="{00000000-0010-0000-0A00-000001000000}" name="LB" dataDxfId="74">
      <calculatedColumnFormula>SUM(E:E)</calculatedColumnFormula>
    </tableColumn>
    <tableColumn id="2" xr3:uid="{00000000-0010-0000-0A00-000002000000}" name="QUINTALES" dataDxfId="73">
      <calculatedColumnFormula>CONVERT(G2,"lbm","cwt")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Tabla20" displayName="Tabla20" ref="G1:H2" totalsRowShown="0">
  <autoFilter ref="G1:H2" xr:uid="{00000000-0009-0000-0100-00000D000000}"/>
  <tableColumns count="2">
    <tableColumn id="1" xr3:uid="{00000000-0010-0000-0B00-000001000000}" name="LIBRA" dataDxfId="71">
      <calculatedColumnFormula>SUM(E:E)</calculatedColumnFormula>
    </tableColumn>
    <tableColumn id="2" xr3:uid="{00000000-0010-0000-0B00-000002000000}" name="QUINTALES" dataDxfId="70">
      <calculatedColumnFormula>CONVERT(G2,"lbm","cwt")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Tabla21" displayName="Tabla21" ref="G1:H2" totalsRowShown="0">
  <autoFilter ref="G1:H2" xr:uid="{00000000-0009-0000-0100-00000E000000}"/>
  <tableColumns count="2">
    <tableColumn id="1" xr3:uid="{00000000-0010-0000-0C00-000001000000}" name="LIBRA" dataDxfId="68">
      <calculatedColumnFormula>SUM(E:E)</calculatedColumnFormula>
    </tableColumn>
    <tableColumn id="2" xr3:uid="{00000000-0010-0000-0C00-000002000000}" name="QUINTALES" dataDxfId="67">
      <calculatedColumnFormula>CONVERT(G2,"lbm","cwt")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abla23" displayName="Tabla23" ref="G1:H2" totalsRowShown="0">
  <autoFilter ref="G1:H2" xr:uid="{00000000-0009-0000-0100-000010000000}"/>
  <tableColumns count="2">
    <tableColumn id="1" xr3:uid="{00000000-0010-0000-0D00-000001000000}" name="LIBRAS" dataDxfId="65">
      <calculatedColumnFormula>SUM(E:E)</calculatedColumnFormula>
    </tableColumn>
    <tableColumn id="2" xr3:uid="{00000000-0010-0000-0D00-000002000000}" name="QUINTALES" dataDxfId="64">
      <calculatedColumnFormula>CONVERT(G2,"lbm","cwt")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22" displayName="Tabla22" ref="G1:H2" totalsRowShown="0">
  <autoFilter ref="G1:H2" xr:uid="{00000000-0009-0000-0100-00000F000000}"/>
  <tableColumns count="2">
    <tableColumn id="1" xr3:uid="{00000000-0010-0000-0E00-000001000000}" name="LIBRAS" dataDxfId="61">
      <calculatedColumnFormula>SUM(E:E)</calculatedColumnFormula>
    </tableColumn>
    <tableColumn id="2" xr3:uid="{00000000-0010-0000-0E00-000002000000}" name="QUINTALES" dataDxfId="60">
      <calculatedColumnFormula>CONVERT(G2,"lbm","cwt")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0F000000}" name="Tabla104" displayName="Tabla104" ref="G1:H2" totalsRowShown="0">
  <autoFilter ref="G1:H2" xr:uid="{00000000-0009-0000-0100-000068000000}"/>
  <tableColumns count="2">
    <tableColumn id="1" xr3:uid="{00000000-0010-0000-0F00-000001000000}" name="LIBRAS" dataDxfId="57">
      <calculatedColumnFormula>SUM(E:E)</calculatedColumnFormula>
    </tableColumn>
    <tableColumn id="2" xr3:uid="{00000000-0010-0000-0F00-000002000000}" name="QUINTALES" dataDxfId="56">
      <calculatedColumnFormula>CONVERT(G2,"lbm","cwt")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abla11" displayName="Tabla11" ref="G1:H2" totalsRowShown="0">
  <autoFilter ref="G1:H2" xr:uid="{00000000-0009-0000-0100-00000B000000}"/>
  <tableColumns count="2">
    <tableColumn id="1" xr3:uid="{00000000-0010-0000-1000-000001000000}" name="LIBRAS" dataDxfId="54">
      <calculatedColumnFormula>SUM(E:E)</calculatedColumnFormula>
    </tableColumn>
    <tableColumn id="2" xr3:uid="{00000000-0010-0000-1000-000002000000}" name="QUINTALES" dataDxfId="53">
      <calculatedColumnFormula>CONVERT(G2,"lbm","cwt")</calculatedColumnFormula>
    </tableColumn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2000000}" name="Tabla242" displayName="Tabla242" ref="G1:H2" totalsRowShown="0">
  <autoFilter ref="G1:H2" xr:uid="{00000000-0009-0000-0100-000001000000}"/>
  <tableColumns count="2">
    <tableColumn id="1" xr3:uid="{00000000-0010-0000-1200-000001000000}" name="LIBRA" dataDxfId="51">
      <calculatedColumnFormula>SUM(E:E)</calculatedColumnFormula>
    </tableColumn>
    <tableColumn id="2" xr3:uid="{00000000-0010-0000-1200-000002000000}" name="QUINTALES" dataDxfId="50">
      <calculatedColumnFormula>CONVERT(G2,"lbm","cwt")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AC672E0-F555-462B-976D-743BF4DA6D16}" name="Tabla24241" displayName="Tabla24241" ref="G1:H2" totalsRowShown="0">
  <autoFilter ref="G1:H2" xr:uid="{00000000-0009-0000-0100-000001000000}"/>
  <tableColumns count="2">
    <tableColumn id="1" xr3:uid="{0D76A244-DC54-423C-8002-67DA45795CA9}" name="LIBRA" dataDxfId="48">
      <calculatedColumnFormula>SUM(E:E)</calculatedColumnFormula>
    </tableColumn>
    <tableColumn id="2" xr3:uid="{9FF8BB55-D288-4CD3-8039-0929262E6361}" name="QUINTALES" dataDxfId="47">
      <calculatedColumnFormula>CONVERT(G2,"lbm","cwt")</calculatedColumnFormula>
    </tableColumn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BE3B40A-21CD-4602-9A79-A8821B22FBAD}" name="Tabla2424142" displayName="Tabla2424142" ref="G1:H2" totalsRowShown="0">
  <autoFilter ref="G1:H2" xr:uid="{00000000-0009-0000-0100-000001000000}"/>
  <tableColumns count="2">
    <tableColumn id="1" xr3:uid="{35B8842A-F1AA-46C5-9482-F2EFDDB4D5EE}" name="LIBRA" dataDxfId="45">
      <calculatedColumnFormula>SUM(E:E)</calculatedColumnFormula>
    </tableColumn>
    <tableColumn id="2" xr3:uid="{D715A64F-8231-4BAA-97B4-375E4BD6C732}" name="QUINTALES" dataDxfId="44">
      <calculatedColumnFormula>CONVERT(G2,"lbm","cwt")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C757D9A-13E4-48CC-852A-1924DFD6F97C}" name="Tabla242414243" displayName="Tabla242414243" ref="G1:H2" totalsRowShown="0">
  <autoFilter ref="G1:H2" xr:uid="{00000000-0009-0000-0100-000001000000}"/>
  <tableColumns count="2">
    <tableColumn id="1" xr3:uid="{B0118BED-18BE-48D2-B66D-E8EDD2C640D8}" name="LIBRA" dataDxfId="42">
      <calculatedColumnFormula>SUM(E:E)</calculatedColumnFormula>
    </tableColumn>
    <tableColumn id="2" xr3:uid="{BA9D3DC2-EB62-46F7-AD44-D77FF9598B68}" name="QUINTALES" dataDxfId="41">
      <calculatedColumnFormula>CONVERT(G2,"lbm","cwt")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ivotTable" Target="../pivotTables/pivotTable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ivotTable" Target="../pivotTables/pivotTable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ivotTable" Target="../pivotTables/pivotTable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ivotTable" Target="../pivotTables/pivotTable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ivotTable" Target="../pivotTables/pivot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ivotTable" Target="../pivotTables/pivotTable1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749992370372631"/>
  </sheetPr>
  <dimension ref="A8:T196"/>
  <sheetViews>
    <sheetView view="pageBreakPreview" zoomScale="70" zoomScaleNormal="95" zoomScaleSheetLayoutView="70" workbookViewId="0">
      <selection activeCell="O16" sqref="O16"/>
    </sheetView>
  </sheetViews>
  <sheetFormatPr baseColWidth="10" defaultColWidth="9.109375" defaultRowHeight="14.4"/>
  <cols>
    <col min="5" max="5" width="9.109375" customWidth="1"/>
  </cols>
  <sheetData>
    <row r="8" spans="1:20">
      <c r="T8" s="58"/>
    </row>
    <row r="10" spans="1:20">
      <c r="P10" t="s">
        <v>1409</v>
      </c>
    </row>
    <row r="11" spans="1:20">
      <c r="A11" t="s">
        <v>1592</v>
      </c>
    </row>
    <row r="13" spans="1:20">
      <c r="R13" t="s">
        <v>1686</v>
      </c>
    </row>
    <row r="16" spans="1:20">
      <c r="P16" t="s">
        <v>1409</v>
      </c>
    </row>
    <row r="20" spans="8:13">
      <c r="M20" t="s">
        <v>1409</v>
      </c>
    </row>
    <row r="27" spans="8:13">
      <c r="H27" t="s">
        <v>1578</v>
      </c>
    </row>
    <row r="38" spans="9:9">
      <c r="I38" t="s">
        <v>1409</v>
      </c>
    </row>
    <row r="54" spans="16:16">
      <c r="P54" t="s">
        <v>1686</v>
      </c>
    </row>
    <row r="97" spans="16:16">
      <c r="P97" t="s">
        <v>1409</v>
      </c>
    </row>
    <row r="167" spans="16:16">
      <c r="P167" t="s">
        <v>1732</v>
      </c>
    </row>
    <row r="185" spans="18:18">
      <c r="R185" t="s">
        <v>1733</v>
      </c>
    </row>
    <row r="186" spans="18:18">
      <c r="R186" t="s">
        <v>1733</v>
      </c>
    </row>
    <row r="187" spans="18:18">
      <c r="R187" t="s">
        <v>1733</v>
      </c>
    </row>
    <row r="188" spans="18:18">
      <c r="R188" t="s">
        <v>1733</v>
      </c>
    </row>
    <row r="189" spans="18:18">
      <c r="R189" t="s">
        <v>1733</v>
      </c>
    </row>
    <row r="190" spans="18:18">
      <c r="R190" t="s">
        <v>1733</v>
      </c>
    </row>
    <row r="191" spans="18:18">
      <c r="R191" t="s">
        <v>1733</v>
      </c>
    </row>
    <row r="192" spans="18:18">
      <c r="R192" t="s">
        <v>1733</v>
      </c>
    </row>
    <row r="193" spans="18:18">
      <c r="R193" t="s">
        <v>1733</v>
      </c>
    </row>
    <row r="194" spans="18:18">
      <c r="R194" t="s">
        <v>1733</v>
      </c>
    </row>
    <row r="195" spans="18:18">
      <c r="R195" t="s">
        <v>1733</v>
      </c>
    </row>
    <row r="196" spans="18:18">
      <c r="R196" t="s">
        <v>1409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PEN_ALL">
                <anchor moveWithCells="1" sizeWithCells="1">
                  <from>
                    <xdr:col>5</xdr:col>
                    <xdr:colOff>579120</xdr:colOff>
                    <xdr:row>30</xdr:row>
                    <xdr:rowOff>175260</xdr:rowOff>
                  </from>
                  <to>
                    <xdr:col>9</xdr:col>
                    <xdr:colOff>114300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">
                <anchor moveWithCells="1" sizeWithCells="1">
                  <from>
                    <xdr:col>9</xdr:col>
                    <xdr:colOff>297180</xdr:colOff>
                    <xdr:row>13</xdr:row>
                    <xdr:rowOff>83820</xdr:rowOff>
                  </from>
                  <to>
                    <xdr:col>13</xdr:col>
                    <xdr:colOff>342900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DB">
                <anchor moveWithCells="1" sizeWithCells="1">
                  <from>
                    <xdr:col>0</xdr:col>
                    <xdr:colOff>548640</xdr:colOff>
                    <xdr:row>17</xdr:row>
                    <xdr:rowOff>106680</xdr:rowOff>
                  </from>
                  <to>
                    <xdr:col>3</xdr:col>
                    <xdr:colOff>243840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utton 6">
              <controlPr defaultSize="0" print="0" autoFill="0" autoPict="0" macro="[0]!CREAR_TABLA_470_a_LA_477">
                <anchor moveWithCells="1" sizeWithCells="1">
                  <from>
                    <xdr:col>0</xdr:col>
                    <xdr:colOff>335280</xdr:colOff>
                    <xdr:row>3</xdr:row>
                    <xdr:rowOff>0</xdr:rowOff>
                  </from>
                  <to>
                    <xdr:col>3</xdr:col>
                    <xdr:colOff>609600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Button 7">
              <controlPr defaultSize="0" print="0" autoFill="0" autoPict="0" macro="[0]!RUTA_478">
                <anchor moveWithCells="1" sizeWithCells="1">
                  <from>
                    <xdr:col>4</xdr:col>
                    <xdr:colOff>495300</xdr:colOff>
                    <xdr:row>2</xdr:row>
                    <xdr:rowOff>144780</xdr:rowOff>
                  </from>
                  <to>
                    <xdr:col>8</xdr:col>
                    <xdr:colOff>144780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RUTA_479">
                <anchor moveWithCells="1" sizeWithCells="1">
                  <from>
                    <xdr:col>9</xdr:col>
                    <xdr:colOff>381000</xdr:colOff>
                    <xdr:row>2</xdr:row>
                    <xdr:rowOff>144780</xdr:rowOff>
                  </from>
                  <to>
                    <xdr:col>13</xdr:col>
                    <xdr:colOff>30480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RUTA_480">
                <anchor moveWithCells="1" sizeWithCells="1">
                  <from>
                    <xdr:col>2</xdr:col>
                    <xdr:colOff>304800</xdr:colOff>
                    <xdr:row>7</xdr:row>
                    <xdr:rowOff>7620</xdr:rowOff>
                  </from>
                  <to>
                    <xdr:col>5</xdr:col>
                    <xdr:colOff>579120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RUTA_481">
                <anchor moveWithCells="1" sizeWithCells="1">
                  <from>
                    <xdr:col>7</xdr:col>
                    <xdr:colOff>274320</xdr:colOff>
                    <xdr:row>6</xdr:row>
                    <xdr:rowOff>175260</xdr:rowOff>
                  </from>
                  <to>
                    <xdr:col>10</xdr:col>
                    <xdr:colOff>548640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Button 11">
              <controlPr defaultSize="0" print="0" autoFill="0" autoPict="0" macro="[0]!limpiar">
                <anchor moveWithCells="1" sizeWithCells="1">
                  <from>
                    <xdr:col>6</xdr:col>
                    <xdr:colOff>198120</xdr:colOff>
                    <xdr:row>12</xdr:row>
                    <xdr:rowOff>68580</xdr:rowOff>
                  </from>
                  <to>
                    <xdr:col>8</xdr:col>
                    <xdr:colOff>480060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8BAC3-42FA-49CA-BD43-803EB9FB0F55}">
  <dimension ref="A1:E140"/>
  <sheetViews>
    <sheetView workbookViewId="0"/>
  </sheetViews>
  <sheetFormatPr baseColWidth="10" defaultRowHeight="14.4"/>
  <cols>
    <col min="1" max="1" width="11.5546875" style="30"/>
    <col min="2" max="2" width="46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44</v>
      </c>
      <c r="D2" s="30">
        <f>VLOOKUP(RUTA471[[#This Row],[Columna1]],Tabla14[#All],6,0)</f>
        <v>0.88200000000000001</v>
      </c>
      <c r="E2" s="30">
        <f>RUTA471[[#This Row],[Columna3]]*RUTA471[[#This Row],[Columna4]]</f>
        <v>38.808</v>
      </c>
    </row>
    <row r="3" spans="1:5">
      <c r="A3" s="30">
        <v>10020040002</v>
      </c>
      <c r="B3" s="30" t="s">
        <v>145</v>
      </c>
      <c r="C3" s="30">
        <v>15</v>
      </c>
      <c r="D3" s="30">
        <f>VLOOKUP(RUTA471[[#This Row],[Columna1]],Tabla14[#All],6,0)</f>
        <v>0.88200000000000001</v>
      </c>
      <c r="E3" s="30">
        <f>RUTA471[[#This Row],[Columna3]]*RUTA471[[#This Row],[Columna4]]</f>
        <v>13.23</v>
      </c>
    </row>
    <row r="4" spans="1:5">
      <c r="A4" s="30">
        <v>1008010073</v>
      </c>
      <c r="B4" s="30" t="s">
        <v>443</v>
      </c>
      <c r="C4" s="30">
        <v>19</v>
      </c>
      <c r="D4" s="30">
        <f>VLOOKUP(RUTA471[[#This Row],[Columna1]],Tabla14[#All],6,0)</f>
        <v>0.33071428571428568</v>
      </c>
      <c r="E4" s="30">
        <f>RUTA471[[#This Row],[Columna3]]*RUTA471[[#This Row],[Columna4]]</f>
        <v>6.2835714285714284</v>
      </c>
    </row>
    <row r="5" spans="1:5">
      <c r="A5" s="30">
        <v>1008014100</v>
      </c>
      <c r="B5" s="30" t="s">
        <v>444</v>
      </c>
      <c r="C5" s="30">
        <v>1</v>
      </c>
      <c r="D5" s="30">
        <f>VLOOKUP(RUTA471[[#This Row],[Columna1]],Tabla14[#All],6,0)</f>
        <v>1.1031249999999999</v>
      </c>
      <c r="E5" s="30">
        <f>RUTA471[[#This Row],[Columna3]]*RUTA471[[#This Row],[Columna4]]</f>
        <v>1.1031249999999999</v>
      </c>
    </row>
    <row r="6" spans="1:5">
      <c r="A6" s="30">
        <v>1008071533</v>
      </c>
      <c r="B6" s="30" t="s">
        <v>442</v>
      </c>
      <c r="C6" s="30">
        <v>7</v>
      </c>
      <c r="D6" s="30">
        <f>VLOOKUP(RUTA471[[#This Row],[Columna1]],Tabla14[#All],6,0)</f>
        <v>0.39821428571428574</v>
      </c>
      <c r="E6" s="30">
        <f>RUTA471[[#This Row],[Columna3]]*RUTA471[[#This Row],[Columna4]]</f>
        <v>2.7875000000000001</v>
      </c>
    </row>
    <row r="7" spans="1:5">
      <c r="A7" s="30">
        <v>19640304</v>
      </c>
      <c r="B7" s="30" t="s">
        <v>317</v>
      </c>
      <c r="C7" s="30">
        <v>2</v>
      </c>
      <c r="D7" s="30">
        <f>VLOOKUP(RUTA471[[#This Row],[Columna1]],Tabla14[#All],6,0)</f>
        <v>0.79400000000000004</v>
      </c>
      <c r="E7" s="30">
        <f>RUTA471[[#This Row],[Columna3]]*RUTA471[[#This Row],[Columna4]]</f>
        <v>1.5880000000000001</v>
      </c>
    </row>
    <row r="8" spans="1:5">
      <c r="A8" s="30">
        <v>400000048</v>
      </c>
      <c r="B8" s="30" t="s">
        <v>580</v>
      </c>
      <c r="C8" s="30">
        <v>1</v>
      </c>
      <c r="D8" s="30">
        <f>VLOOKUP(RUTA471[[#This Row],[Columna1]],Tabla14[#All],6,0)</f>
        <v>0.25</v>
      </c>
      <c r="E8" s="30">
        <f>RUTA471[[#This Row],[Columna3]]*RUTA471[[#This Row],[Columna4]]</f>
        <v>0.25</v>
      </c>
    </row>
    <row r="9" spans="1:5">
      <c r="A9" s="30">
        <v>400000127</v>
      </c>
      <c r="B9" s="30" t="s">
        <v>585</v>
      </c>
      <c r="C9" s="30">
        <v>9</v>
      </c>
      <c r="D9" s="30">
        <f>VLOOKUP(RUTA471[[#This Row],[Columna1]],Tabla14[#All],6,0)</f>
        <v>1.5449999999999999</v>
      </c>
      <c r="E9" s="30">
        <f>RUTA471[[#This Row],[Columna3]]*RUTA471[[#This Row],[Columna4]]</f>
        <v>13.904999999999999</v>
      </c>
    </row>
    <row r="10" spans="1:5">
      <c r="A10" s="30">
        <v>400000160</v>
      </c>
      <c r="B10" s="30" t="s">
        <v>584</v>
      </c>
      <c r="C10" s="30">
        <v>6</v>
      </c>
      <c r="D10" s="30">
        <f>VLOOKUP(RUTA471[[#This Row],[Columna1]],Tabla14[#All],6,0)</f>
        <v>1.4166666666666667</v>
      </c>
      <c r="E10" s="30">
        <f>RUTA471[[#This Row],[Columna3]]*RUTA471[[#This Row],[Columna4]]</f>
        <v>8.5</v>
      </c>
    </row>
    <row r="11" spans="1:5">
      <c r="A11" s="30">
        <v>400000412</v>
      </c>
      <c r="B11" s="30" t="s">
        <v>581</v>
      </c>
      <c r="C11" s="30">
        <v>1</v>
      </c>
      <c r="D11" s="30">
        <f>VLOOKUP(RUTA471[[#This Row],[Columna1]],Tabla14[#All],6,0)</f>
        <v>0.3</v>
      </c>
      <c r="E11" s="30">
        <f>RUTA471[[#This Row],[Columna3]]*RUTA471[[#This Row],[Columna4]]</f>
        <v>0.3</v>
      </c>
    </row>
    <row r="12" spans="1:5">
      <c r="A12" s="30">
        <v>50470111</v>
      </c>
      <c r="B12" s="30" t="s">
        <v>2055</v>
      </c>
      <c r="C12" s="30">
        <v>1</v>
      </c>
      <c r="D12" s="30">
        <f>VLOOKUP(RUTA471[[#This Row],[Columna1]],Tabla14[#All],6,0)</f>
        <v>2.48</v>
      </c>
      <c r="E12" s="30">
        <f>RUTA471[[#This Row],[Columna3]]*RUTA471[[#This Row],[Columna4]]</f>
        <v>2.48</v>
      </c>
    </row>
    <row r="13" spans="1:5">
      <c r="A13" s="30">
        <v>50491100</v>
      </c>
      <c r="B13" s="30" t="s">
        <v>1899</v>
      </c>
      <c r="C13" s="30">
        <v>1</v>
      </c>
      <c r="D13" s="30">
        <f>VLOOKUP(RUTA471[[#This Row],[Columna1]],Tabla14[#All],6,0)</f>
        <v>2.65</v>
      </c>
      <c r="E13" s="30">
        <f>RUTA471[[#This Row],[Columna3]]*RUTA471[[#This Row],[Columna4]]</f>
        <v>2.65</v>
      </c>
    </row>
    <row r="14" spans="1:5">
      <c r="A14" s="30">
        <v>50491102</v>
      </c>
      <c r="B14" s="30" t="s">
        <v>1898</v>
      </c>
      <c r="C14" s="30">
        <v>12</v>
      </c>
      <c r="D14" s="30">
        <f>VLOOKUP(RUTA471[[#This Row],[Columna1]],Tabla14[#All],6,0)</f>
        <v>2.65</v>
      </c>
      <c r="E14" s="30">
        <f>RUTA471[[#This Row],[Columna3]]*RUTA471[[#This Row],[Columna4]]</f>
        <v>31.799999999999997</v>
      </c>
    </row>
    <row r="15" spans="1:5">
      <c r="A15" s="30">
        <v>50491103</v>
      </c>
      <c r="B15" s="30" t="s">
        <v>2269</v>
      </c>
      <c r="C15" s="30">
        <v>12</v>
      </c>
      <c r="D15" s="30">
        <f>VLOOKUP(RUTA471[[#This Row],[Columna1]],Tabla14[#All],6,0)</f>
        <v>2.65</v>
      </c>
      <c r="E15" s="30">
        <f>RUTA471[[#This Row],[Columna3]]*RUTA471[[#This Row],[Columna4]]</f>
        <v>31.799999999999997</v>
      </c>
    </row>
    <row r="16" spans="1:5">
      <c r="A16" s="30">
        <v>50491132</v>
      </c>
      <c r="B16" s="30" t="s">
        <v>1762</v>
      </c>
      <c r="C16" s="30">
        <v>1</v>
      </c>
      <c r="D16" s="30">
        <f>VLOOKUP(RUTA471[[#This Row],[Columna1]],Tabla14[#All],6,0)</f>
        <v>3.3049999999999997</v>
      </c>
      <c r="E16" s="30">
        <f>RUTA471[[#This Row],[Columna3]]*RUTA471[[#This Row],[Columna4]]</f>
        <v>3.3049999999999997</v>
      </c>
    </row>
    <row r="17" spans="1:5">
      <c r="A17" s="30">
        <v>50491133</v>
      </c>
      <c r="B17" s="30" t="s">
        <v>1761</v>
      </c>
      <c r="C17" s="30">
        <v>12</v>
      </c>
      <c r="D17" s="30">
        <f>VLOOKUP(RUTA471[[#This Row],[Columna1]],Tabla14[#All],6,0)</f>
        <v>3.3049999999999997</v>
      </c>
      <c r="E17" s="30">
        <f>RUTA471[[#This Row],[Columna3]]*RUTA471[[#This Row],[Columna4]]</f>
        <v>39.659999999999997</v>
      </c>
    </row>
    <row r="18" spans="1:5">
      <c r="A18" s="30">
        <v>52480086</v>
      </c>
      <c r="B18" s="30" t="s">
        <v>1939</v>
      </c>
      <c r="C18" s="30">
        <v>6</v>
      </c>
      <c r="D18" s="30">
        <f>VLOOKUP(RUTA471[[#This Row],[Columna1]],Tabla14[#All],6,0)</f>
        <v>0.23805555555555558</v>
      </c>
      <c r="E18" s="30">
        <f>RUTA471[[#This Row],[Columna3]]*RUTA471[[#This Row],[Columna4]]</f>
        <v>1.4283333333333335</v>
      </c>
    </row>
    <row r="19" spans="1:5">
      <c r="A19" s="30">
        <v>5460400</v>
      </c>
      <c r="B19" s="30" t="s">
        <v>2133</v>
      </c>
      <c r="C19" s="30">
        <v>120</v>
      </c>
      <c r="D19" s="30">
        <f>VLOOKUP(RUTA471[[#This Row],[Columna1]],Tabla14[#All],6,0)</f>
        <v>0.75</v>
      </c>
      <c r="E19" s="30">
        <f>RUTA471[[#This Row],[Columna3]]*RUTA471[[#This Row],[Columna4]]</f>
        <v>90</v>
      </c>
    </row>
    <row r="20" spans="1:5">
      <c r="A20" s="30">
        <v>5467000</v>
      </c>
      <c r="B20" s="30" t="s">
        <v>2066</v>
      </c>
      <c r="C20" s="30">
        <v>6</v>
      </c>
      <c r="D20" s="30">
        <f>VLOOKUP(RUTA471[[#This Row],[Columna1]],Tabla14[#All],6,0)</f>
        <v>1.1100000000000001</v>
      </c>
      <c r="E20" s="30">
        <f>RUTA471[[#This Row],[Columna3]]*RUTA471[[#This Row],[Columna4]]</f>
        <v>6.66</v>
      </c>
    </row>
    <row r="21" spans="1:5">
      <c r="A21" s="30">
        <v>576003</v>
      </c>
      <c r="B21" s="30" t="s">
        <v>2084</v>
      </c>
      <c r="C21" s="30">
        <v>85</v>
      </c>
      <c r="D21" s="30">
        <f>VLOOKUP(RUTA471[[#This Row],[Columna1]],Tabla14[#All],6,0)</f>
        <v>0.11944444444444444</v>
      </c>
      <c r="E21" s="30">
        <f>RUTA471[[#This Row],[Columna3]]*RUTA471[[#This Row],[Columna4]]</f>
        <v>10.152777777777777</v>
      </c>
    </row>
    <row r="22" spans="1:5">
      <c r="A22" s="30">
        <v>586703</v>
      </c>
      <c r="B22" s="30" t="s">
        <v>2257</v>
      </c>
      <c r="C22" s="30">
        <v>7</v>
      </c>
      <c r="D22" s="30">
        <f>VLOOKUP(RUTA471[[#This Row],[Columna1]],Tabla14[#All],6,0)</f>
        <v>0.12833333333333333</v>
      </c>
      <c r="E22" s="30">
        <f>RUTA471[[#This Row],[Columna3]]*RUTA471[[#This Row],[Columna4]]</f>
        <v>0.89833333333333332</v>
      </c>
    </row>
    <row r="23" spans="1:5">
      <c r="A23" s="30">
        <v>60000094</v>
      </c>
      <c r="B23" s="30" t="s">
        <v>1387</v>
      </c>
      <c r="C23" s="30">
        <v>540</v>
      </c>
      <c r="D23" s="30">
        <f>VLOOKUP(RUTA471[[#This Row],[Columna1]],Tabla14[#All],6,0)</f>
        <v>1.76</v>
      </c>
      <c r="E23" s="30">
        <f>RUTA471[[#This Row],[Columna3]]*RUTA471[[#This Row],[Columna4]]</f>
        <v>950.4</v>
      </c>
    </row>
    <row r="24" spans="1:5">
      <c r="A24" s="30">
        <v>60000210</v>
      </c>
      <c r="B24" s="30" t="s">
        <v>148</v>
      </c>
      <c r="C24" s="30">
        <v>61</v>
      </c>
      <c r="D24" s="30">
        <f>VLOOKUP(RUTA471[[#This Row],[Columna1]],Tabla14[#All],6,0)</f>
        <v>0.77200000000000002</v>
      </c>
      <c r="E24" s="30">
        <f>RUTA471[[#This Row],[Columna3]]*RUTA471[[#This Row],[Columna4]]</f>
        <v>47.091999999999999</v>
      </c>
    </row>
    <row r="25" spans="1:5">
      <c r="A25" s="30">
        <v>620845</v>
      </c>
      <c r="B25" s="30" t="s">
        <v>1627</v>
      </c>
      <c r="C25" s="30">
        <v>2</v>
      </c>
      <c r="D25" s="30">
        <f>VLOOKUP(RUTA471[[#This Row],[Columna1]],Tabla14[#All],6,0)</f>
        <v>1.6555555555555557</v>
      </c>
      <c r="E25" s="30">
        <f>RUTA471[[#This Row],[Columna3]]*RUTA471[[#This Row],[Columna4]]</f>
        <v>3.3111111111111113</v>
      </c>
    </row>
    <row r="26" spans="1:5">
      <c r="A26" s="30">
        <v>621330</v>
      </c>
      <c r="B26" s="30" t="s">
        <v>652</v>
      </c>
      <c r="C26" s="30">
        <v>8</v>
      </c>
      <c r="D26" s="30">
        <f>VLOOKUP(RUTA471[[#This Row],[Columna1]],Tabla14[#All],6,0)</f>
        <v>0.8833333333333333</v>
      </c>
      <c r="E26" s="30">
        <f>RUTA471[[#This Row],[Columna3]]*RUTA471[[#This Row],[Columna4]]</f>
        <v>7.0666666666666664</v>
      </c>
    </row>
    <row r="27" spans="1:5">
      <c r="A27" s="30">
        <v>640683</v>
      </c>
      <c r="B27" s="30" t="s">
        <v>215</v>
      </c>
      <c r="C27" s="30">
        <v>7</v>
      </c>
      <c r="D27" s="30">
        <f>VLOOKUP(RUTA471[[#This Row],[Columna1]],Tabla14[#All],6,0)</f>
        <v>2.65</v>
      </c>
      <c r="E27" s="30">
        <f>RUTA471[[#This Row],[Columna3]]*RUTA471[[#This Row],[Columna4]]</f>
        <v>18.55</v>
      </c>
    </row>
    <row r="28" spans="1:5">
      <c r="A28" s="30">
        <v>641833</v>
      </c>
      <c r="B28" s="30" t="s">
        <v>217</v>
      </c>
      <c r="C28" s="30">
        <v>19</v>
      </c>
      <c r="D28" s="30">
        <f>VLOOKUP(RUTA471[[#This Row],[Columna1]],Tabla14[#All],6,0)</f>
        <v>2.65</v>
      </c>
      <c r="E28" s="30">
        <f>RUTA471[[#This Row],[Columna3]]*RUTA471[[#This Row],[Columna4]]</f>
        <v>50.35</v>
      </c>
    </row>
    <row r="29" spans="1:5">
      <c r="A29" s="30">
        <v>642557</v>
      </c>
      <c r="B29" s="30" t="s">
        <v>220</v>
      </c>
      <c r="C29" s="30">
        <v>18</v>
      </c>
      <c r="D29" s="30">
        <f>VLOOKUP(RUTA471[[#This Row],[Columna1]],Tabla14[#All],6,0)</f>
        <v>2.65</v>
      </c>
      <c r="E29" s="30">
        <f>RUTA471[[#This Row],[Columna3]]*RUTA471[[#This Row],[Columna4]]</f>
        <v>47.699999999999996</v>
      </c>
    </row>
    <row r="30" spans="1:5">
      <c r="A30" s="30">
        <v>68170124</v>
      </c>
      <c r="B30" s="30" t="s">
        <v>632</v>
      </c>
      <c r="C30" s="30">
        <v>3</v>
      </c>
      <c r="D30" s="30">
        <f>VLOOKUP(RUTA471[[#This Row],[Columna1]],Tabla14[#All],6,0)</f>
        <v>0.9916666666666667</v>
      </c>
      <c r="E30" s="30">
        <f>RUTA471[[#This Row],[Columna3]]*RUTA471[[#This Row],[Columna4]]</f>
        <v>2.9750000000000001</v>
      </c>
    </row>
    <row r="31" spans="1:5">
      <c r="A31" s="30">
        <v>68798139</v>
      </c>
      <c r="B31" s="30" t="s">
        <v>1993</v>
      </c>
      <c r="C31" s="30">
        <v>5</v>
      </c>
      <c r="D31" s="30">
        <f>VLOOKUP(RUTA471[[#This Row],[Columna1]],Tabla14[#All],6,0)</f>
        <v>0.1275</v>
      </c>
      <c r="E31" s="30">
        <f>RUTA471[[#This Row],[Columna3]]*RUTA471[[#This Row],[Columna4]]</f>
        <v>0.63749999999999996</v>
      </c>
    </row>
    <row r="32" spans="1:5">
      <c r="A32" s="30">
        <v>68798140</v>
      </c>
      <c r="B32" s="30" t="s">
        <v>1992</v>
      </c>
      <c r="C32" s="30">
        <v>12</v>
      </c>
      <c r="D32" s="30">
        <f>VLOOKUP(RUTA471[[#This Row],[Columna1]],Tabla14[#All],6,0)</f>
        <v>0.1275</v>
      </c>
      <c r="E32" s="30">
        <f>RUTA471[[#This Row],[Columna3]]*RUTA471[[#This Row],[Columna4]]</f>
        <v>1.53</v>
      </c>
    </row>
    <row r="33" spans="1:5">
      <c r="A33" s="30">
        <v>69584486</v>
      </c>
      <c r="B33" s="30" t="s">
        <v>1834</v>
      </c>
      <c r="C33" s="30">
        <v>1</v>
      </c>
      <c r="D33" s="30">
        <f>VLOOKUP(RUTA471[[#This Row],[Columna1]],Tabla14[#All],6,0)</f>
        <v>1.190625</v>
      </c>
      <c r="E33" s="30">
        <f>RUTA471[[#This Row],[Columna3]]*RUTA471[[#This Row],[Columna4]]</f>
        <v>1.190625</v>
      </c>
    </row>
    <row r="34" spans="1:5">
      <c r="A34" s="30">
        <v>69584500</v>
      </c>
      <c r="B34" s="30" t="s">
        <v>2166</v>
      </c>
      <c r="C34" s="30">
        <v>131</v>
      </c>
      <c r="D34" s="30">
        <f>VLOOKUP(RUTA471[[#This Row],[Columna1]],Tabla14[#All],6,0)</f>
        <v>9.9124999999999991E-2</v>
      </c>
      <c r="E34" s="30">
        <f>RUTA471[[#This Row],[Columna3]]*RUTA471[[#This Row],[Columna4]]</f>
        <v>12.985374999999999</v>
      </c>
    </row>
    <row r="35" spans="1:5">
      <c r="A35" s="30">
        <v>69678219</v>
      </c>
      <c r="B35" s="30" t="s">
        <v>2240</v>
      </c>
      <c r="C35" s="30">
        <v>8</v>
      </c>
      <c r="D35" s="30">
        <f>VLOOKUP(RUTA471[[#This Row],[Columna1]],Tabla14[#All],6,0)</f>
        <v>0.55541666666666667</v>
      </c>
      <c r="E35" s="30">
        <f>RUTA471[[#This Row],[Columna3]]*RUTA471[[#This Row],[Columna4]]</f>
        <v>4.4433333333333334</v>
      </c>
    </row>
    <row r="36" spans="1:5">
      <c r="A36" s="30">
        <v>69678222</v>
      </c>
      <c r="B36" s="30" t="s">
        <v>2088</v>
      </c>
      <c r="C36" s="30">
        <v>18</v>
      </c>
      <c r="D36" s="30">
        <f>VLOOKUP(RUTA471[[#This Row],[Columna1]],Tabla14[#All],6,0)</f>
        <v>0.5541666666666667</v>
      </c>
      <c r="E36" s="30">
        <f>RUTA471[[#This Row],[Columna3]]*RUTA471[[#This Row],[Columna4]]</f>
        <v>9.9750000000000014</v>
      </c>
    </row>
    <row r="37" spans="1:5">
      <c r="A37" s="30">
        <v>69761861</v>
      </c>
      <c r="B37" s="30" t="s">
        <v>1987</v>
      </c>
      <c r="C37" s="30">
        <v>104</v>
      </c>
      <c r="D37" s="30">
        <f>VLOOKUP(RUTA471[[#This Row],[Columna1]],Tabla14[#All],6,0)</f>
        <v>0.19833333333333333</v>
      </c>
      <c r="E37" s="30">
        <f>RUTA471[[#This Row],[Columna3]]*RUTA471[[#This Row],[Columna4]]</f>
        <v>20.626666666666665</v>
      </c>
    </row>
    <row r="38" spans="1:5">
      <c r="A38" s="30">
        <v>69761868</v>
      </c>
      <c r="B38" s="30" t="s">
        <v>2024</v>
      </c>
      <c r="C38" s="30">
        <v>179</v>
      </c>
      <c r="D38" s="30">
        <f>VLOOKUP(RUTA471[[#This Row],[Columna1]],Tabla14[#All],6,0)</f>
        <v>0.19843750000000002</v>
      </c>
      <c r="E38" s="30">
        <f>RUTA471[[#This Row],[Columna3]]*RUTA471[[#This Row],[Columna4]]</f>
        <v>35.520312500000003</v>
      </c>
    </row>
    <row r="39" spans="1:5">
      <c r="A39" s="30">
        <v>69761870</v>
      </c>
      <c r="B39" s="30" t="s">
        <v>1972</v>
      </c>
      <c r="C39" s="30">
        <v>12</v>
      </c>
      <c r="D39" s="30">
        <f>VLOOKUP(RUTA471[[#This Row],[Columna1]],Tabla14[#All],6,0)</f>
        <v>0.19833333333333333</v>
      </c>
      <c r="E39" s="30">
        <f>RUTA471[[#This Row],[Columna3]]*RUTA471[[#This Row],[Columna4]]</f>
        <v>2.38</v>
      </c>
    </row>
    <row r="40" spans="1:5">
      <c r="A40" s="30">
        <v>69780941</v>
      </c>
      <c r="B40" s="30" t="s">
        <v>1951</v>
      </c>
      <c r="C40" s="30">
        <v>1128</v>
      </c>
      <c r="D40" s="30">
        <f>VLOOKUP(RUTA471[[#This Row],[Columna1]],Tabla14[#All],6,0)</f>
        <v>0.19833333333333333</v>
      </c>
      <c r="E40" s="30">
        <f>RUTA471[[#This Row],[Columna3]]*RUTA471[[#This Row],[Columna4]]</f>
        <v>223.72</v>
      </c>
    </row>
    <row r="41" spans="1:5">
      <c r="A41" s="30">
        <v>84153562</v>
      </c>
      <c r="B41" s="30" t="s">
        <v>320</v>
      </c>
      <c r="C41" s="30">
        <v>1</v>
      </c>
      <c r="D41" s="30">
        <f>VLOOKUP(RUTA471[[#This Row],[Columna1]],Tabla14[#All],6,0)</f>
        <v>2.6875E-2</v>
      </c>
      <c r="E41" s="30">
        <f>RUTA471[[#This Row],[Columna3]]*RUTA471[[#This Row],[Columna4]]</f>
        <v>2.6875E-2</v>
      </c>
    </row>
    <row r="42" spans="1:5">
      <c r="A42" s="30" t="s">
        <v>1026</v>
      </c>
      <c r="B42" s="30" t="s">
        <v>1025</v>
      </c>
      <c r="C42" s="30">
        <v>2</v>
      </c>
      <c r="D42" s="30">
        <f>VLOOKUP(RUTA471[[#This Row],[Columna1]],Tabla14[#All],6,0)</f>
        <v>0.9</v>
      </c>
      <c r="E42" s="30">
        <f>RUTA471[[#This Row],[Columna3]]*RUTA471[[#This Row],[Columna4]]</f>
        <v>1.8</v>
      </c>
    </row>
    <row r="43" spans="1:5">
      <c r="A43" s="30" t="s">
        <v>1355</v>
      </c>
      <c r="B43" s="30" t="s">
        <v>1354</v>
      </c>
      <c r="C43" s="30">
        <v>7</v>
      </c>
      <c r="D43" s="30">
        <f>VLOOKUP(RUTA471[[#This Row],[Columna1]],Tabla14[#All],6,0)</f>
        <v>0.9</v>
      </c>
      <c r="E43" s="30">
        <f>RUTA471[[#This Row],[Columna3]]*RUTA471[[#This Row],[Columna4]]</f>
        <v>6.3</v>
      </c>
    </row>
    <row r="44" spans="1:5">
      <c r="A44" s="30" t="s">
        <v>1525</v>
      </c>
      <c r="B44" s="30" t="s">
        <v>1524</v>
      </c>
      <c r="C44" s="30">
        <v>8</v>
      </c>
      <c r="D44" s="30">
        <f>VLOOKUP(RUTA471[[#This Row],[Columna1]],Tabla14[#All],6,0)</f>
        <v>0.9</v>
      </c>
      <c r="E44" s="30">
        <f>RUTA471[[#This Row],[Columna3]]*RUTA471[[#This Row],[Columna4]]</f>
        <v>7.2</v>
      </c>
    </row>
    <row r="45" spans="1:5">
      <c r="A45" s="30" t="s">
        <v>1347</v>
      </c>
      <c r="B45" s="30" t="s">
        <v>1346</v>
      </c>
      <c r="C45" s="30">
        <v>1</v>
      </c>
      <c r="D45" s="30">
        <f>VLOOKUP(RUTA471[[#This Row],[Columna1]],Tabla14[#All],6,0)</f>
        <v>0.9</v>
      </c>
      <c r="E45" s="30">
        <f>RUTA471[[#This Row],[Columna3]]*RUTA471[[#This Row],[Columna4]]</f>
        <v>0.9</v>
      </c>
    </row>
    <row r="46" spans="1:5">
      <c r="A46" s="30" t="s">
        <v>1473</v>
      </c>
      <c r="B46" s="30" t="s">
        <v>1472</v>
      </c>
      <c r="C46" s="30">
        <v>2</v>
      </c>
      <c r="D46" s="30">
        <f>VLOOKUP(RUTA471[[#This Row],[Columna1]],Tabla14[#All],6,0)</f>
        <v>0.9</v>
      </c>
      <c r="E46" s="30">
        <f>RUTA471[[#This Row],[Columna3]]*RUTA471[[#This Row],[Columna4]]</f>
        <v>1.8</v>
      </c>
    </row>
    <row r="47" spans="1:5">
      <c r="A47" s="30" t="s">
        <v>1359</v>
      </c>
      <c r="B47" s="30" t="s">
        <v>1358</v>
      </c>
      <c r="C47" s="30">
        <v>2</v>
      </c>
      <c r="D47" s="30">
        <f>VLOOKUP(RUTA471[[#This Row],[Columna1]],Tabla14[#All],6,0)</f>
        <v>0.9</v>
      </c>
      <c r="E47" s="30">
        <f>RUTA471[[#This Row],[Columna3]]*RUTA471[[#This Row],[Columna4]]</f>
        <v>1.8</v>
      </c>
    </row>
    <row r="48" spans="1:5">
      <c r="A48" s="30" t="s">
        <v>1475</v>
      </c>
      <c r="B48" s="30" t="s">
        <v>1474</v>
      </c>
      <c r="C48" s="30">
        <v>4</v>
      </c>
      <c r="D48" s="30">
        <f>VLOOKUP(RUTA471[[#This Row],[Columna1]],Tabla14[#All],6,0)</f>
        <v>0.9</v>
      </c>
      <c r="E48" s="30">
        <f>RUTA471[[#This Row],[Columna3]]*RUTA471[[#This Row],[Columna4]]</f>
        <v>3.6</v>
      </c>
    </row>
    <row r="49" spans="1:5">
      <c r="A49" s="30" t="s">
        <v>1674</v>
      </c>
      <c r="B49" s="30" t="s">
        <v>1673</v>
      </c>
      <c r="C49" s="30">
        <v>2</v>
      </c>
      <c r="D49" s="30">
        <f>VLOOKUP(RUTA471[[#This Row],[Columna1]],Tabla14[#All],6,0)</f>
        <v>0.9</v>
      </c>
      <c r="E49" s="30">
        <f>RUTA471[[#This Row],[Columna3]]*RUTA471[[#This Row],[Columna4]]</f>
        <v>1.8</v>
      </c>
    </row>
    <row r="50" spans="1:5">
      <c r="A50" s="30" t="s">
        <v>1471</v>
      </c>
      <c r="B50" s="30" t="s">
        <v>1470</v>
      </c>
      <c r="C50" s="30">
        <v>8</v>
      </c>
      <c r="D50" s="30">
        <f>VLOOKUP(RUTA471[[#This Row],[Columna1]],Tabla14[#All],6,0)</f>
        <v>0.9</v>
      </c>
      <c r="E50" s="30">
        <f>RUTA471[[#This Row],[Columna3]]*RUTA471[[#This Row],[Columna4]]</f>
        <v>7.2</v>
      </c>
    </row>
    <row r="51" spans="1:5">
      <c r="A51" s="30" t="s">
        <v>1349</v>
      </c>
      <c r="B51" s="30" t="s">
        <v>1348</v>
      </c>
      <c r="C51" s="30">
        <v>1</v>
      </c>
      <c r="D51" s="30">
        <f>VLOOKUP(RUTA471[[#This Row],[Columna1]],Tabla14[#All],6,0)</f>
        <v>0.9</v>
      </c>
      <c r="E51" s="30">
        <f>RUTA471[[#This Row],[Columna3]]*RUTA471[[#This Row],[Columna4]]</f>
        <v>0.9</v>
      </c>
    </row>
    <row r="52" spans="1:5">
      <c r="A52" s="30" t="s">
        <v>2090</v>
      </c>
      <c r="B52" s="30" t="s">
        <v>2089</v>
      </c>
      <c r="C52" s="30">
        <v>1</v>
      </c>
      <c r="D52" s="30">
        <f>VLOOKUP(RUTA471[[#This Row],[Columna1]],Tabla14[#All],6,0)</f>
        <v>100</v>
      </c>
      <c r="E52" s="30">
        <f>RUTA471[[#This Row],[Columna3]]*RUTA471[[#This Row],[Columna4]]</f>
        <v>100</v>
      </c>
    </row>
    <row r="53" spans="1:5">
      <c r="A53" s="30" t="s">
        <v>1692</v>
      </c>
      <c r="B53" s="30" t="s">
        <v>1691</v>
      </c>
      <c r="C53" s="30">
        <v>10</v>
      </c>
      <c r="D53" s="30">
        <f>VLOOKUP(RUTA471[[#This Row],[Columna1]],Tabla14[#All],6,0)</f>
        <v>0.92524999999999991</v>
      </c>
      <c r="E53" s="30">
        <f>RUTA471[[#This Row],[Columna3]]*RUTA471[[#This Row],[Columna4]]</f>
        <v>9.2524999999999995</v>
      </c>
    </row>
    <row r="54" spans="1:5">
      <c r="A54" s="30" t="s">
        <v>1690</v>
      </c>
      <c r="B54" s="30" t="s">
        <v>1689</v>
      </c>
      <c r="C54" s="30">
        <v>10</v>
      </c>
      <c r="D54" s="30">
        <f>VLOOKUP(RUTA471[[#This Row],[Columna1]],Tabla14[#All],6,0)</f>
        <v>0.92524999999999991</v>
      </c>
      <c r="E54" s="30">
        <f>RUTA471[[#This Row],[Columna3]]*RUTA471[[#This Row],[Columna4]]</f>
        <v>9.2524999999999995</v>
      </c>
    </row>
    <row r="55" spans="1:5">
      <c r="A55" s="30" t="s">
        <v>2188</v>
      </c>
      <c r="B55" s="30" t="s">
        <v>2187</v>
      </c>
      <c r="C55" s="30">
        <v>10</v>
      </c>
      <c r="D55" s="30">
        <f>VLOOKUP(RUTA471[[#This Row],[Columna1]],Tabla14[#All],6,0)</f>
        <v>0.52916666666666667</v>
      </c>
      <c r="E55" s="30">
        <f>RUTA471[[#This Row],[Columna3]]*RUTA471[[#This Row],[Columna4]]</f>
        <v>5.291666666666667</v>
      </c>
    </row>
    <row r="56" spans="1:5">
      <c r="A56" s="30" t="s">
        <v>2191</v>
      </c>
      <c r="B56" s="30" t="s">
        <v>2190</v>
      </c>
      <c r="C56" s="30">
        <v>4</v>
      </c>
      <c r="D56" s="30">
        <f>VLOOKUP(RUTA471[[#This Row],[Columna1]],Tabla14[#All],6,0)</f>
        <v>0.52916666666666667</v>
      </c>
      <c r="E56" s="30">
        <f>RUTA471[[#This Row],[Columna3]]*RUTA471[[#This Row],[Columna4]]</f>
        <v>2.1166666666666667</v>
      </c>
    </row>
    <row r="57" spans="1:5">
      <c r="A57" s="30" t="s">
        <v>1974</v>
      </c>
      <c r="B57" s="30" t="s">
        <v>1973</v>
      </c>
      <c r="C57" s="30">
        <v>4</v>
      </c>
      <c r="D57" s="30">
        <f>VLOOKUP(RUTA471[[#This Row],[Columna1]],Tabla14[#All],6,0)</f>
        <v>0.47599999999999998</v>
      </c>
      <c r="E57" s="30">
        <f>RUTA471[[#This Row],[Columna3]]*RUTA471[[#This Row],[Columna4]]</f>
        <v>1.9039999999999999</v>
      </c>
    </row>
    <row r="58" spans="1:5">
      <c r="A58" s="30" t="s">
        <v>2200</v>
      </c>
      <c r="B58" s="30" t="s">
        <v>2199</v>
      </c>
      <c r="C58" s="30">
        <v>10</v>
      </c>
      <c r="D58" s="30">
        <f>VLOOKUP(RUTA471[[#This Row],[Columna1]],Tabla14[#All],6,0)</f>
        <v>0.1648</v>
      </c>
      <c r="E58" s="30">
        <f>RUTA471[[#This Row],[Columna3]]*RUTA471[[#This Row],[Columna4]]</f>
        <v>1.6480000000000001</v>
      </c>
    </row>
    <row r="59" spans="1:5">
      <c r="A59" s="30" t="s">
        <v>1261</v>
      </c>
      <c r="B59" s="30" t="s">
        <v>1513</v>
      </c>
      <c r="C59" s="30">
        <v>6</v>
      </c>
      <c r="D59" s="30">
        <f>VLOOKUP(RUTA471[[#This Row],[Columna1]],Tabla14[#All],6,0)</f>
        <v>0.36249999999999999</v>
      </c>
      <c r="E59" s="30">
        <f>RUTA471[[#This Row],[Columna3]]*RUTA471[[#This Row],[Columna4]]</f>
        <v>2.1749999999999998</v>
      </c>
    </row>
    <row r="60" spans="1:5">
      <c r="A60" s="30" t="s">
        <v>1289</v>
      </c>
      <c r="B60" s="30" t="s">
        <v>1431</v>
      </c>
      <c r="C60" s="30">
        <v>13</v>
      </c>
      <c r="D60" s="30">
        <f>VLOOKUP(RUTA471[[#This Row],[Columna1]],Tabla14[#All],6,0)</f>
        <v>0.36249999999999999</v>
      </c>
      <c r="E60" s="30">
        <f>RUTA471[[#This Row],[Columna3]]*RUTA471[[#This Row],[Columna4]]</f>
        <v>4.7124999999999995</v>
      </c>
    </row>
    <row r="61" spans="1:5">
      <c r="A61" s="30" t="s">
        <v>1269</v>
      </c>
      <c r="B61" s="30" t="s">
        <v>1647</v>
      </c>
      <c r="C61" s="30">
        <v>26</v>
      </c>
      <c r="D61" s="30">
        <f>VLOOKUP(RUTA471[[#This Row],[Columna1]],Tabla14[#All],6,0)</f>
        <v>0.22041666666666668</v>
      </c>
      <c r="E61" s="30">
        <f>RUTA471[[#This Row],[Columna3]]*RUTA471[[#This Row],[Columna4]]</f>
        <v>5.7308333333333339</v>
      </c>
    </row>
    <row r="62" spans="1:5">
      <c r="A62" s="30" t="s">
        <v>1267</v>
      </c>
      <c r="B62" s="30" t="s">
        <v>1662</v>
      </c>
      <c r="C62" s="30">
        <v>6</v>
      </c>
      <c r="D62" s="30">
        <f>VLOOKUP(RUTA471[[#This Row],[Columna1]],Tabla14[#All],6,0)</f>
        <v>0.44083333333333335</v>
      </c>
      <c r="E62" s="30">
        <f>RUTA471[[#This Row],[Columna3]]*RUTA471[[#This Row],[Columna4]]</f>
        <v>2.645</v>
      </c>
    </row>
    <row r="63" spans="1:5">
      <c r="A63" s="30" t="s">
        <v>1271</v>
      </c>
      <c r="B63" s="30" t="s">
        <v>1642</v>
      </c>
      <c r="C63" s="30">
        <v>38</v>
      </c>
      <c r="D63" s="30">
        <f>VLOOKUP(RUTA471[[#This Row],[Columna1]],Tabla14[#All],6,0)</f>
        <v>0.83750000000000002</v>
      </c>
      <c r="E63" s="30">
        <f>RUTA471[[#This Row],[Columna3]]*RUTA471[[#This Row],[Columna4]]</f>
        <v>31.824999999999999</v>
      </c>
    </row>
    <row r="64" spans="1:5">
      <c r="A64" s="30" t="s">
        <v>1291</v>
      </c>
      <c r="B64" s="30" t="s">
        <v>1290</v>
      </c>
      <c r="C64" s="30">
        <v>6</v>
      </c>
      <c r="D64" s="30">
        <f>VLOOKUP(RUTA471[[#This Row],[Columna1]],Tabla14[#All],6,0)</f>
        <v>0.22041666666666668</v>
      </c>
      <c r="E64" s="30">
        <f>RUTA471[[#This Row],[Columna3]]*RUTA471[[#This Row],[Columna4]]</f>
        <v>1.3225</v>
      </c>
    </row>
    <row r="65" spans="1:5">
      <c r="A65" s="30" t="s">
        <v>1265</v>
      </c>
      <c r="B65" s="30" t="s">
        <v>1264</v>
      </c>
      <c r="C65" s="30">
        <v>180</v>
      </c>
      <c r="D65" s="30">
        <f>VLOOKUP(RUTA471[[#This Row],[Columna1]],Tabla14[#All],6,0)</f>
        <v>0.22041666666666668</v>
      </c>
      <c r="E65" s="30">
        <f>RUTA471[[#This Row],[Columna3]]*RUTA471[[#This Row],[Columna4]]</f>
        <v>39.675000000000004</v>
      </c>
    </row>
    <row r="66" spans="1:5">
      <c r="A66" s="30" t="s">
        <v>1301</v>
      </c>
      <c r="B66" s="30" t="s">
        <v>1300</v>
      </c>
      <c r="C66" s="30">
        <v>9</v>
      </c>
      <c r="D66" s="30">
        <f>VLOOKUP(RUTA471[[#This Row],[Columna1]],Tabla14[#All],6,0)</f>
        <v>0.22041666666666668</v>
      </c>
      <c r="E66" s="30">
        <f>RUTA471[[#This Row],[Columna3]]*RUTA471[[#This Row],[Columna4]]</f>
        <v>1.9837500000000001</v>
      </c>
    </row>
    <row r="67" spans="1:5">
      <c r="A67" s="30" t="s">
        <v>1449</v>
      </c>
      <c r="B67" s="30" t="s">
        <v>1448</v>
      </c>
      <c r="C67" s="30">
        <v>2</v>
      </c>
      <c r="D67" s="30">
        <f>VLOOKUP(RUTA471[[#This Row],[Columna1]],Tabla14[#All],6,0)</f>
        <v>1.1875</v>
      </c>
      <c r="E67" s="30">
        <f>RUTA471[[#This Row],[Columna3]]*RUTA471[[#This Row],[Columna4]]</f>
        <v>2.375</v>
      </c>
    </row>
    <row r="68" spans="1:5">
      <c r="A68" s="30" t="s">
        <v>1277</v>
      </c>
      <c r="B68" s="30" t="s">
        <v>1276</v>
      </c>
      <c r="C68" s="30">
        <v>9</v>
      </c>
      <c r="D68" s="30">
        <f>VLOOKUP(RUTA471[[#This Row],[Columna1]],Tabla14[#All],6,0)</f>
        <v>0.22041666666666668</v>
      </c>
      <c r="E68" s="30">
        <f>RUTA471[[#This Row],[Columna3]]*RUTA471[[#This Row],[Columna4]]</f>
        <v>1.9837500000000001</v>
      </c>
    </row>
    <row r="69" spans="1:5">
      <c r="A69" s="30" t="s">
        <v>1273</v>
      </c>
      <c r="B69" s="30" t="s">
        <v>1272</v>
      </c>
      <c r="C69" s="30">
        <v>15</v>
      </c>
      <c r="D69" s="30">
        <f>VLOOKUP(RUTA471[[#This Row],[Columna1]],Tabla14[#All],6,0)</f>
        <v>0.79375000000000007</v>
      </c>
      <c r="E69" s="30">
        <f>RUTA471[[#This Row],[Columna3]]*RUTA471[[#This Row],[Columna4]]</f>
        <v>11.906250000000002</v>
      </c>
    </row>
    <row r="70" spans="1:5">
      <c r="A70" s="30" t="s">
        <v>1263</v>
      </c>
      <c r="B70" s="30" t="s">
        <v>1262</v>
      </c>
      <c r="C70" s="30">
        <v>1</v>
      </c>
      <c r="D70" s="30">
        <f>VLOOKUP(RUTA471[[#This Row],[Columna1]],Tabla14[#All],6,0)</f>
        <v>1.6600000000000001</v>
      </c>
      <c r="E70" s="30">
        <f>RUTA471[[#This Row],[Columna3]]*RUTA471[[#This Row],[Columna4]]</f>
        <v>1.6600000000000001</v>
      </c>
    </row>
    <row r="71" spans="1:5">
      <c r="A71" s="30" t="s">
        <v>662</v>
      </c>
      <c r="B71" s="30" t="s">
        <v>2171</v>
      </c>
      <c r="C71" s="30">
        <v>4</v>
      </c>
      <c r="D71" s="30">
        <f>VLOOKUP(RUTA471[[#This Row],[Columna1]],Tabla14[#All],6,0)</f>
        <v>8.3333333333333329E-2</v>
      </c>
      <c r="E71" s="30">
        <f>RUTA471[[#This Row],[Columna3]]*RUTA471[[#This Row],[Columna4]]</f>
        <v>0.33333333333333331</v>
      </c>
    </row>
    <row r="72" spans="1:5">
      <c r="A72" s="30" t="s">
        <v>671</v>
      </c>
      <c r="B72" s="30" t="s">
        <v>670</v>
      </c>
      <c r="C72" s="30">
        <v>6</v>
      </c>
      <c r="D72" s="30">
        <f>VLOOKUP(RUTA471[[#This Row],[Columna1]],Tabla14[#All],6,0)</f>
        <v>0.25</v>
      </c>
      <c r="E72" s="30">
        <f>RUTA471[[#This Row],[Columna3]]*RUTA471[[#This Row],[Columna4]]</f>
        <v>1.5</v>
      </c>
    </row>
    <row r="73" spans="1:5">
      <c r="A73" s="30" t="s">
        <v>21</v>
      </c>
      <c r="B73" s="30" t="s">
        <v>20</v>
      </c>
      <c r="C73" s="30">
        <v>24</v>
      </c>
      <c r="D73" s="30">
        <f>VLOOKUP(RUTA471[[#This Row],[Columna1]],Tabla14[#All],6,0)</f>
        <v>0.8833333333333333</v>
      </c>
      <c r="E73" s="30">
        <f>RUTA471[[#This Row],[Columna3]]*RUTA471[[#This Row],[Columna4]]</f>
        <v>21.2</v>
      </c>
    </row>
    <row r="74" spans="1:5">
      <c r="A74" s="30" t="s">
        <v>2136</v>
      </c>
      <c r="B74" s="30" t="s">
        <v>2135</v>
      </c>
      <c r="C74" s="30">
        <v>4</v>
      </c>
      <c r="D74" s="30">
        <f>VLOOKUP(RUTA471[[#This Row],[Columna1]],Tabla14[#All],6,0)</f>
        <v>0.82750000000000001</v>
      </c>
      <c r="E74" s="30">
        <f>RUTA471[[#This Row],[Columna3]]*RUTA471[[#This Row],[Columna4]]</f>
        <v>3.31</v>
      </c>
    </row>
    <row r="75" spans="1:5">
      <c r="A75" s="30" t="s">
        <v>2087</v>
      </c>
      <c r="B75" s="30" t="s">
        <v>2086</v>
      </c>
      <c r="C75" s="30">
        <v>4</v>
      </c>
      <c r="D75" s="30">
        <f>VLOOKUP(RUTA471[[#This Row],[Columna1]],Tabla14[#All],6,0)</f>
        <v>0.82750000000000001</v>
      </c>
      <c r="E75" s="30">
        <f>RUTA471[[#This Row],[Columna3]]*RUTA471[[#This Row],[Columna4]]</f>
        <v>3.31</v>
      </c>
    </row>
    <row r="76" spans="1:5">
      <c r="A76" s="30" t="s">
        <v>1821</v>
      </c>
      <c r="B76" s="30" t="s">
        <v>1820</v>
      </c>
      <c r="C76" s="30">
        <v>12</v>
      </c>
      <c r="D76" s="30">
        <f>VLOOKUP(RUTA471[[#This Row],[Columna1]],Tabla14[#All],6,0)</f>
        <v>1.3216666666666665</v>
      </c>
      <c r="E76" s="30">
        <f>RUTA471[[#This Row],[Columna3]]*RUTA471[[#This Row],[Columna4]]</f>
        <v>15.86</v>
      </c>
    </row>
    <row r="77" spans="1:5">
      <c r="A77" s="30" t="s">
        <v>2246</v>
      </c>
      <c r="B77" s="30" t="s">
        <v>2245</v>
      </c>
      <c r="C77" s="30">
        <v>1</v>
      </c>
      <c r="D77" s="30">
        <f>VLOOKUP(RUTA471[[#This Row],[Columna1]],Tabla14[#All],6,0)</f>
        <v>0.1</v>
      </c>
      <c r="E77" s="30">
        <f>RUTA471[[#This Row],[Columna3]]*RUTA471[[#This Row],[Columna4]]</f>
        <v>0.1</v>
      </c>
    </row>
    <row r="78" spans="1:5">
      <c r="A78" s="30" t="s">
        <v>1894</v>
      </c>
      <c r="B78" s="30" t="s">
        <v>1893</v>
      </c>
      <c r="C78" s="30">
        <v>2</v>
      </c>
      <c r="D78" s="30">
        <f>VLOOKUP(RUTA471[[#This Row],[Columna1]],Tabla14[#All],6,0)</f>
        <v>0.8833333333333333</v>
      </c>
      <c r="E78" s="30">
        <f>RUTA471[[#This Row],[Columna3]]*RUTA471[[#This Row],[Columna4]]</f>
        <v>1.7666666666666666</v>
      </c>
    </row>
    <row r="79" spans="1:5">
      <c r="A79" s="30" t="s">
        <v>706</v>
      </c>
      <c r="B79" s="30" t="s">
        <v>705</v>
      </c>
      <c r="C79" s="30">
        <v>10</v>
      </c>
      <c r="D79" s="30">
        <f>VLOOKUP(RUTA471[[#This Row],[Columna1]],Tabla14[#All],6,0)</f>
        <v>0.70833333333333337</v>
      </c>
      <c r="E79" s="30">
        <f>RUTA471[[#This Row],[Columna3]]*RUTA471[[#This Row],[Columna4]]</f>
        <v>7.0833333333333339</v>
      </c>
    </row>
    <row r="80" spans="1:5">
      <c r="A80" s="30" t="s">
        <v>2068</v>
      </c>
      <c r="B80" s="30" t="s">
        <v>2067</v>
      </c>
      <c r="C80" s="30">
        <v>6</v>
      </c>
      <c r="D80" s="30">
        <f>VLOOKUP(RUTA471[[#This Row],[Columna1]],Tabla14[#All],6,0)</f>
        <v>1.1008333333333333</v>
      </c>
      <c r="E80" s="30">
        <f>RUTA471[[#This Row],[Columna3]]*RUTA471[[#This Row],[Columna4]]</f>
        <v>6.6050000000000004</v>
      </c>
    </row>
    <row r="81" spans="1:5">
      <c r="A81" s="30" t="s">
        <v>1659</v>
      </c>
      <c r="B81" s="30" t="s">
        <v>2184</v>
      </c>
      <c r="C81" s="30">
        <v>6</v>
      </c>
      <c r="D81" s="30">
        <f>VLOOKUP(RUTA471[[#This Row],[Columna1]],Tabla14[#All],6,0)</f>
        <v>1.1016666666666668</v>
      </c>
      <c r="E81" s="30">
        <f>RUTA471[[#This Row],[Columna3]]*RUTA471[[#This Row],[Columna4]]</f>
        <v>6.6100000000000012</v>
      </c>
    </row>
    <row r="82" spans="1:5">
      <c r="A82" s="30" t="s">
        <v>1657</v>
      </c>
      <c r="B82" s="30" t="s">
        <v>2167</v>
      </c>
      <c r="C82" s="30">
        <v>6</v>
      </c>
      <c r="D82" s="30">
        <f>VLOOKUP(RUTA471[[#This Row],[Columna1]],Tabla14[#All],6,0)</f>
        <v>1.1016666666666668</v>
      </c>
      <c r="E82" s="30">
        <f>RUTA471[[#This Row],[Columna3]]*RUTA471[[#This Row],[Columna4]]</f>
        <v>6.6100000000000012</v>
      </c>
    </row>
    <row r="83" spans="1:5">
      <c r="A83" s="30" t="s">
        <v>13</v>
      </c>
      <c r="B83" s="30" t="s">
        <v>12</v>
      </c>
      <c r="C83" s="30">
        <v>24</v>
      </c>
      <c r="D83" s="30">
        <f>VLOOKUP(RUTA471[[#This Row],[Columna1]],Tabla14[#All],6,0)</f>
        <v>3.1091666666666669</v>
      </c>
      <c r="E83" s="30">
        <f>RUTA471[[#This Row],[Columna3]]*RUTA471[[#This Row],[Columna4]]</f>
        <v>74.62</v>
      </c>
    </row>
    <row r="84" spans="1:5">
      <c r="A84" s="30" t="s">
        <v>109</v>
      </c>
      <c r="B84" s="30" t="s">
        <v>108</v>
      </c>
      <c r="C84" s="30">
        <v>253</v>
      </c>
      <c r="D84" s="30">
        <f>VLOOKUP(RUTA471[[#This Row],[Columna1]],Tabla14[#All],6,0)</f>
        <v>0.44166666666666665</v>
      </c>
      <c r="E84" s="30">
        <f>RUTA471[[#This Row],[Columna3]]*RUTA471[[#This Row],[Columna4]]</f>
        <v>111.74166666666666</v>
      </c>
    </row>
    <row r="85" spans="1:5">
      <c r="A85" s="30" t="s">
        <v>107</v>
      </c>
      <c r="B85" s="30" t="s">
        <v>106</v>
      </c>
      <c r="C85" s="30">
        <v>219</v>
      </c>
      <c r="D85" s="30">
        <f>VLOOKUP(RUTA471[[#This Row],[Columna1]],Tabla14[#All],6,0)</f>
        <v>0.44166666666666665</v>
      </c>
      <c r="E85" s="30">
        <f>RUTA471[[#This Row],[Columna3]]*RUTA471[[#This Row],[Columna4]]</f>
        <v>96.724999999999994</v>
      </c>
    </row>
    <row r="86" spans="1:5">
      <c r="A86" s="30" t="s">
        <v>482</v>
      </c>
      <c r="B86" s="30" t="s">
        <v>481</v>
      </c>
      <c r="C86" s="30">
        <v>30</v>
      </c>
      <c r="D86" s="30">
        <f>VLOOKUP(RUTA471[[#This Row],[Columna1]],Tabla14[#All],6,0)</f>
        <v>0.11493055555555556</v>
      </c>
      <c r="E86" s="30">
        <f>RUTA471[[#This Row],[Columna3]]*RUTA471[[#This Row],[Columna4]]</f>
        <v>3.447916666666667</v>
      </c>
    </row>
    <row r="87" spans="1:5">
      <c r="A87" s="30" t="s">
        <v>533</v>
      </c>
      <c r="B87" s="30" t="s">
        <v>532</v>
      </c>
      <c r="C87" s="30">
        <v>132</v>
      </c>
      <c r="D87" s="30">
        <f>VLOOKUP(RUTA471[[#This Row],[Columna1]],Tabla14[#All],6,0)</f>
        <v>0.5</v>
      </c>
      <c r="E87" s="30">
        <f>RUTA471[[#This Row],[Columna3]]*RUTA471[[#This Row],[Columna4]]</f>
        <v>66</v>
      </c>
    </row>
    <row r="88" spans="1:5">
      <c r="A88" s="30" t="s">
        <v>119</v>
      </c>
      <c r="B88" s="30" t="s">
        <v>118</v>
      </c>
      <c r="C88" s="30">
        <v>28</v>
      </c>
      <c r="D88" s="30">
        <f>VLOOKUP(RUTA471[[#This Row],[Columna1]],Tabla14[#All],6,0)</f>
        <v>0.875</v>
      </c>
      <c r="E88" s="30">
        <f>RUTA471[[#This Row],[Columna3]]*RUTA471[[#This Row],[Columna4]]</f>
        <v>24.5</v>
      </c>
    </row>
    <row r="89" spans="1:5">
      <c r="A89" s="30" t="s">
        <v>525</v>
      </c>
      <c r="B89" s="30" t="s">
        <v>524</v>
      </c>
      <c r="C89" s="30">
        <v>12</v>
      </c>
      <c r="D89" s="30">
        <f>VLOOKUP(RUTA471[[#This Row],[Columna1]],Tabla14[#All],6,0)</f>
        <v>0.5</v>
      </c>
      <c r="E89" s="30">
        <f>RUTA471[[#This Row],[Columna3]]*RUTA471[[#This Row],[Columna4]]</f>
        <v>6</v>
      </c>
    </row>
    <row r="90" spans="1:5">
      <c r="A90" s="30" t="s">
        <v>492</v>
      </c>
      <c r="B90" s="30" t="s">
        <v>491</v>
      </c>
      <c r="C90" s="30">
        <v>6</v>
      </c>
      <c r="D90" s="30">
        <f>VLOOKUP(RUTA471[[#This Row],[Columna1]],Tabla14[#All],6,0)</f>
        <v>0.82708333333333339</v>
      </c>
      <c r="E90" s="30">
        <f>RUTA471[[#This Row],[Columna3]]*RUTA471[[#This Row],[Columna4]]</f>
        <v>4.9625000000000004</v>
      </c>
    </row>
    <row r="91" spans="1:5">
      <c r="A91" s="30" t="s">
        <v>553</v>
      </c>
      <c r="B91" s="30" t="s">
        <v>552</v>
      </c>
      <c r="C91" s="30">
        <v>8</v>
      </c>
      <c r="D91" s="30">
        <f>VLOOKUP(RUTA471[[#This Row],[Columna1]],Tabla14[#All],6,0)</f>
        <v>0.7729166666666667</v>
      </c>
      <c r="E91" s="30">
        <f>RUTA471[[#This Row],[Columna3]]*RUTA471[[#This Row],[Columna4]]</f>
        <v>6.1833333333333336</v>
      </c>
    </row>
    <row r="92" spans="1:5">
      <c r="A92" s="30" t="s">
        <v>103</v>
      </c>
      <c r="B92" s="30" t="s">
        <v>1147</v>
      </c>
      <c r="C92" s="30">
        <v>246</v>
      </c>
      <c r="D92" s="30">
        <f>VLOOKUP(RUTA471[[#This Row],[Columna1]],Tabla14[#All],6,0)</f>
        <v>0.72916666666666663</v>
      </c>
      <c r="E92" s="30">
        <f>RUTA471[[#This Row],[Columna3]]*RUTA471[[#This Row],[Columna4]]</f>
        <v>179.375</v>
      </c>
    </row>
    <row r="93" spans="1:5">
      <c r="A93" s="30" t="s">
        <v>535</v>
      </c>
      <c r="B93" s="30" t="s">
        <v>534</v>
      </c>
      <c r="C93" s="30">
        <v>41</v>
      </c>
      <c r="D93" s="30">
        <f>VLOOKUP(RUTA471[[#This Row],[Columna1]],Tabla14[#All],6,0)</f>
        <v>1.75</v>
      </c>
      <c r="E93" s="30">
        <f>RUTA471[[#This Row],[Columna3]]*RUTA471[[#This Row],[Columna4]]</f>
        <v>71.75</v>
      </c>
    </row>
    <row r="94" spans="1:5">
      <c r="A94" s="30" t="s">
        <v>555</v>
      </c>
      <c r="B94" s="30" t="s">
        <v>554</v>
      </c>
      <c r="C94" s="30">
        <v>11</v>
      </c>
      <c r="D94" s="30">
        <f>VLOOKUP(RUTA471[[#This Row],[Columna1]],Tabla14[#All],6,0)</f>
        <v>0.7729166666666667</v>
      </c>
      <c r="E94" s="30">
        <f>RUTA471[[#This Row],[Columna3]]*RUTA471[[#This Row],[Columna4]]</f>
        <v>8.5020833333333332</v>
      </c>
    </row>
    <row r="95" spans="1:5">
      <c r="A95" s="30" t="s">
        <v>102</v>
      </c>
      <c r="B95" s="30" t="s">
        <v>101</v>
      </c>
      <c r="C95" s="30">
        <v>20</v>
      </c>
      <c r="D95" s="30">
        <f>VLOOKUP(RUTA471[[#This Row],[Columna1]],Tabla14[#All],6,0)</f>
        <v>0.72916666666666663</v>
      </c>
      <c r="E95" s="30">
        <f>RUTA471[[#This Row],[Columna3]]*RUTA471[[#This Row],[Columna4]]</f>
        <v>14.583333333333332</v>
      </c>
    </row>
    <row r="96" spans="1:5">
      <c r="A96" s="30" t="s">
        <v>510</v>
      </c>
      <c r="B96" s="30" t="s">
        <v>1237</v>
      </c>
      <c r="C96" s="30">
        <v>32</v>
      </c>
      <c r="D96" s="30">
        <f>VLOOKUP(RUTA471[[#This Row],[Columna1]],Tabla14[#All],6,0)</f>
        <v>0.72916666666666663</v>
      </c>
      <c r="E96" s="30">
        <f>RUTA471[[#This Row],[Columna3]]*RUTA471[[#This Row],[Columna4]]</f>
        <v>23.333333333333332</v>
      </c>
    </row>
    <row r="97" spans="1:5">
      <c r="A97" s="30" t="s">
        <v>519</v>
      </c>
      <c r="B97" s="30" t="s">
        <v>518</v>
      </c>
      <c r="C97" s="30">
        <v>6</v>
      </c>
      <c r="D97" s="30">
        <f>VLOOKUP(RUTA471[[#This Row],[Columna1]],Tabla14[#All],6,0)</f>
        <v>0.5</v>
      </c>
      <c r="E97" s="30">
        <f>RUTA471[[#This Row],[Columna3]]*RUTA471[[#This Row],[Columna4]]</f>
        <v>3</v>
      </c>
    </row>
    <row r="98" spans="1:5">
      <c r="A98" s="30" t="s">
        <v>517</v>
      </c>
      <c r="B98" s="30" t="s">
        <v>516</v>
      </c>
      <c r="C98" s="30">
        <v>6</v>
      </c>
      <c r="D98" s="30">
        <f>VLOOKUP(RUTA471[[#This Row],[Columna1]],Tabla14[#All],6,0)</f>
        <v>0.96875</v>
      </c>
      <c r="E98" s="30">
        <f>RUTA471[[#This Row],[Columna3]]*RUTA471[[#This Row],[Columna4]]</f>
        <v>5.8125</v>
      </c>
    </row>
    <row r="99" spans="1:5">
      <c r="A99" s="30" t="s">
        <v>2228</v>
      </c>
      <c r="B99" s="30" t="s">
        <v>2227</v>
      </c>
      <c r="C99" s="30">
        <v>1159</v>
      </c>
      <c r="D99" s="30">
        <f>VLOOKUP(RUTA471[[#This Row],[Columna1]],Tabla14[#All],6,0)</f>
        <v>0.33958333333333335</v>
      </c>
      <c r="E99" s="30">
        <f>RUTA471[[#This Row],[Columna3]]*RUTA471[[#This Row],[Columna4]]</f>
        <v>393.57708333333335</v>
      </c>
    </row>
    <row r="100" spans="1:5">
      <c r="A100" s="30" t="s">
        <v>1422</v>
      </c>
      <c r="B100" s="30" t="s">
        <v>1421</v>
      </c>
      <c r="C100" s="30">
        <v>11</v>
      </c>
      <c r="D100" s="30">
        <f>VLOOKUP(RUTA471[[#This Row],[Columna1]],Tabla14[#All],6,0)</f>
        <v>0.7729166666666667</v>
      </c>
      <c r="E100" s="30">
        <f>RUTA471[[#This Row],[Columna3]]*RUTA471[[#This Row],[Columna4]]</f>
        <v>8.5020833333333332</v>
      </c>
    </row>
    <row r="101" spans="1:5">
      <c r="A101" s="30" t="s">
        <v>1716</v>
      </c>
      <c r="B101" s="30" t="s">
        <v>1715</v>
      </c>
      <c r="C101" s="30">
        <v>27</v>
      </c>
      <c r="D101" s="30">
        <f>VLOOKUP(RUTA471[[#This Row],[Columna1]],Tabla14[#All],6,0)</f>
        <v>0.25</v>
      </c>
      <c r="E101" s="30">
        <f>RUTA471[[#This Row],[Columna3]]*RUTA471[[#This Row],[Columna4]]</f>
        <v>6.75</v>
      </c>
    </row>
    <row r="102" spans="1:5">
      <c r="A102" s="30" t="s">
        <v>531</v>
      </c>
      <c r="B102" s="30" t="s">
        <v>530</v>
      </c>
      <c r="C102" s="30">
        <v>9</v>
      </c>
      <c r="D102" s="30">
        <f>VLOOKUP(RUTA471[[#This Row],[Columna1]],Tabla14[#All],6,0)</f>
        <v>1.8125</v>
      </c>
      <c r="E102" s="30">
        <f>RUTA471[[#This Row],[Columna3]]*RUTA471[[#This Row],[Columna4]]</f>
        <v>16.3125</v>
      </c>
    </row>
    <row r="103" spans="1:5">
      <c r="A103" s="30" t="s">
        <v>111</v>
      </c>
      <c r="B103" s="30" t="s">
        <v>110</v>
      </c>
      <c r="C103" s="30">
        <v>48</v>
      </c>
      <c r="D103" s="30">
        <f>VLOOKUP(RUTA471[[#This Row],[Columna1]],Tabla14[#All],6,0)</f>
        <v>0.34375</v>
      </c>
      <c r="E103" s="30">
        <f>RUTA471[[#This Row],[Columna3]]*RUTA471[[#This Row],[Columna4]]</f>
        <v>16.5</v>
      </c>
    </row>
    <row r="104" spans="1:5">
      <c r="A104" s="30" t="s">
        <v>115</v>
      </c>
      <c r="B104" s="30" t="s">
        <v>114</v>
      </c>
      <c r="C104" s="30">
        <v>100</v>
      </c>
      <c r="D104" s="30">
        <f>VLOOKUP(RUTA471[[#This Row],[Columna1]],Tabla14[#All],6,0)</f>
        <v>0.65625</v>
      </c>
      <c r="E104" s="30">
        <f>RUTA471[[#This Row],[Columna3]]*RUTA471[[#This Row],[Columna4]]</f>
        <v>65.625</v>
      </c>
    </row>
    <row r="105" spans="1:5">
      <c r="A105" s="30" t="s">
        <v>529</v>
      </c>
      <c r="B105" s="30" t="s">
        <v>528</v>
      </c>
      <c r="C105" s="30">
        <v>352</v>
      </c>
      <c r="D105" s="30">
        <f>VLOOKUP(RUTA471[[#This Row],[Columna1]],Tabla14[#All],6,0)</f>
        <v>0.34375</v>
      </c>
      <c r="E105" s="30">
        <f>RUTA471[[#This Row],[Columna3]]*RUTA471[[#This Row],[Columna4]]</f>
        <v>121</v>
      </c>
    </row>
    <row r="106" spans="1:5">
      <c r="A106" s="30" t="s">
        <v>506</v>
      </c>
      <c r="B106" s="30" t="s">
        <v>505</v>
      </c>
      <c r="C106" s="30">
        <v>20</v>
      </c>
      <c r="D106" s="30">
        <f>VLOOKUP(RUTA471[[#This Row],[Columna1]],Tabla14[#All],6,0)</f>
        <v>0.72916666666666663</v>
      </c>
      <c r="E106" s="30">
        <f>RUTA471[[#This Row],[Columna3]]*RUTA471[[#This Row],[Columna4]]</f>
        <v>14.583333333333332</v>
      </c>
    </row>
    <row r="107" spans="1:5">
      <c r="A107" s="30" t="s">
        <v>113</v>
      </c>
      <c r="B107" s="30" t="s">
        <v>112</v>
      </c>
      <c r="C107" s="30">
        <v>18</v>
      </c>
      <c r="D107" s="30">
        <f>VLOOKUP(RUTA471[[#This Row],[Columna1]],Tabla14[#All],6,0)</f>
        <v>0.9375</v>
      </c>
      <c r="E107" s="30">
        <f>RUTA471[[#This Row],[Columna3]]*RUTA471[[#This Row],[Columna4]]</f>
        <v>16.875</v>
      </c>
    </row>
    <row r="108" spans="1:5">
      <c r="A108" s="30" t="s">
        <v>1795</v>
      </c>
      <c r="B108" s="30" t="s">
        <v>1794</v>
      </c>
      <c r="C108" s="30">
        <v>12</v>
      </c>
      <c r="D108" s="30">
        <f>VLOOKUP(RUTA471[[#This Row],[Columna1]],Tabla14[#All],6,0)</f>
        <v>0.2</v>
      </c>
      <c r="E108" s="30">
        <f>RUTA471[[#This Row],[Columna3]]*RUTA471[[#This Row],[Columna4]]</f>
        <v>2.4000000000000004</v>
      </c>
    </row>
    <row r="109" spans="1:5">
      <c r="A109" s="30" t="s">
        <v>425</v>
      </c>
      <c r="B109" s="30" t="s">
        <v>424</v>
      </c>
      <c r="C109" s="30">
        <v>2</v>
      </c>
      <c r="D109" s="30">
        <f>VLOOKUP(RUTA471[[#This Row],[Columna1]],Tabla14[#All],6,0)</f>
        <v>8.8888888888888892E-2</v>
      </c>
      <c r="E109" s="30">
        <f>RUTA471[[#This Row],[Columna3]]*RUTA471[[#This Row],[Columna4]]</f>
        <v>0.17777777777777778</v>
      </c>
    </row>
    <row r="110" spans="1:5">
      <c r="A110" s="30" t="s">
        <v>1941</v>
      </c>
      <c r="B110" s="30" t="s">
        <v>1940</v>
      </c>
      <c r="C110" s="30">
        <v>2</v>
      </c>
      <c r="D110" s="30">
        <f>VLOOKUP(RUTA471[[#This Row],[Columna1]],Tabla14[#All],6,0)</f>
        <v>0.10416666666666667</v>
      </c>
      <c r="E110" s="30">
        <f>RUTA471[[#This Row],[Columna3]]*RUTA471[[#This Row],[Columna4]]</f>
        <v>0.20833333333333334</v>
      </c>
    </row>
    <row r="111" spans="1:5">
      <c r="A111" s="30" t="s">
        <v>1944</v>
      </c>
      <c r="B111" s="30" t="s">
        <v>1943</v>
      </c>
      <c r="C111" s="30">
        <v>1</v>
      </c>
      <c r="D111" s="30">
        <f>VLOOKUP(RUTA471[[#This Row],[Columna1]],Tabla14[#All],6,0)</f>
        <v>0.10416666666666667</v>
      </c>
      <c r="E111" s="30">
        <f>RUTA471[[#This Row],[Columna3]]*RUTA471[[#This Row],[Columna4]]</f>
        <v>0.10416666666666667</v>
      </c>
    </row>
    <row r="112" spans="1:5">
      <c r="A112" s="30" t="s">
        <v>431</v>
      </c>
      <c r="B112" s="30" t="s">
        <v>430</v>
      </c>
      <c r="C112" s="30">
        <v>1</v>
      </c>
      <c r="D112" s="30">
        <f>VLOOKUP(RUTA471[[#This Row],[Columna1]],Tabla14[#All],6,0)</f>
        <v>2.1166666666666667</v>
      </c>
      <c r="E112" s="30">
        <f>RUTA471[[#This Row],[Columna3]]*RUTA471[[#This Row],[Columna4]]</f>
        <v>2.1166666666666667</v>
      </c>
    </row>
    <row r="113" spans="1:5">
      <c r="A113" s="30" t="s">
        <v>1081</v>
      </c>
      <c r="B113" s="30" t="s">
        <v>1080</v>
      </c>
      <c r="C113" s="30">
        <v>10</v>
      </c>
      <c r="D113" s="30">
        <f>VLOOKUP(RUTA471[[#This Row],[Columna1]],Tabla14[#All],6,0)</f>
        <v>2.1166666666666667</v>
      </c>
      <c r="E113" s="30">
        <f>RUTA471[[#This Row],[Columna3]]*RUTA471[[#This Row],[Columna4]]</f>
        <v>21.166666666666668</v>
      </c>
    </row>
    <row r="114" spans="1:5">
      <c r="A114" s="30" t="s">
        <v>391</v>
      </c>
      <c r="B114" s="30" t="s">
        <v>2260</v>
      </c>
      <c r="C114" s="30">
        <v>1</v>
      </c>
      <c r="D114" s="30">
        <f>VLOOKUP(RUTA471[[#This Row],[Columna1]],Tabla14[#All],6,0)</f>
        <v>1.5</v>
      </c>
      <c r="E114" s="30">
        <f>RUTA471[[#This Row],[Columna3]]*RUTA471[[#This Row],[Columna4]]</f>
        <v>1.5</v>
      </c>
    </row>
    <row r="115" spans="1:5">
      <c r="A115" s="30" t="s">
        <v>397</v>
      </c>
      <c r="B115" s="30" t="s">
        <v>396</v>
      </c>
      <c r="C115" s="30">
        <v>3</v>
      </c>
      <c r="D115" s="30">
        <f>VLOOKUP(RUTA471[[#This Row],[Columna1]],Tabla14[#All],6,0)</f>
        <v>0.24270833333333333</v>
      </c>
      <c r="E115" s="30">
        <f>RUTA471[[#This Row],[Columna3]]*RUTA471[[#This Row],[Columna4]]</f>
        <v>0.72812500000000002</v>
      </c>
    </row>
    <row r="116" spans="1:5">
      <c r="A116" s="30" t="s">
        <v>41</v>
      </c>
      <c r="B116" s="30" t="s">
        <v>40</v>
      </c>
      <c r="C116" s="30">
        <v>3</v>
      </c>
      <c r="D116" s="30">
        <f>VLOOKUP(RUTA471[[#This Row],[Columna1]],Tabla14[#All],6,0)</f>
        <v>0.24270833333333333</v>
      </c>
      <c r="E116" s="30">
        <f>RUTA471[[#This Row],[Columna3]]*RUTA471[[#This Row],[Columna4]]</f>
        <v>0.72812500000000002</v>
      </c>
    </row>
    <row r="117" spans="1:5">
      <c r="A117" s="30" t="s">
        <v>37</v>
      </c>
      <c r="B117" s="30" t="s">
        <v>36</v>
      </c>
      <c r="C117" s="30">
        <v>3</v>
      </c>
      <c r="D117" s="30">
        <f>VLOOKUP(RUTA471[[#This Row],[Columna1]],Tabla14[#All],6,0)</f>
        <v>0.24270833333333333</v>
      </c>
      <c r="E117" s="30">
        <f>RUTA471[[#This Row],[Columna3]]*RUTA471[[#This Row],[Columna4]]</f>
        <v>0.72812500000000002</v>
      </c>
    </row>
    <row r="118" spans="1:5">
      <c r="A118" s="30" t="s">
        <v>39</v>
      </c>
      <c r="B118" s="30" t="s">
        <v>38</v>
      </c>
      <c r="C118" s="30">
        <v>3</v>
      </c>
      <c r="D118" s="30">
        <f>VLOOKUP(RUTA471[[#This Row],[Columna1]],Tabla14[#All],6,0)</f>
        <v>0.24270833333333333</v>
      </c>
      <c r="E118" s="30">
        <f>RUTA471[[#This Row],[Columna3]]*RUTA471[[#This Row],[Columna4]]</f>
        <v>0.72812500000000002</v>
      </c>
    </row>
    <row r="119" spans="1:5">
      <c r="A119" s="30" t="s">
        <v>387</v>
      </c>
      <c r="B119" s="30" t="s">
        <v>2271</v>
      </c>
      <c r="C119" s="30">
        <v>20</v>
      </c>
      <c r="D119" s="30">
        <f>VLOOKUP(RUTA471[[#This Row],[Columna1]],Tabla14[#All],6,0)</f>
        <v>0.88249999999999995</v>
      </c>
      <c r="E119" s="30">
        <f>RUTA471[[#This Row],[Columna3]]*RUTA471[[#This Row],[Columna4]]</f>
        <v>17.649999999999999</v>
      </c>
    </row>
    <row r="120" spans="1:5">
      <c r="A120" s="30" t="s">
        <v>429</v>
      </c>
      <c r="B120" s="30" t="s">
        <v>428</v>
      </c>
      <c r="C120" s="30">
        <v>1</v>
      </c>
      <c r="D120" s="30">
        <f>VLOOKUP(RUTA471[[#This Row],[Columna1]],Tabla14[#All],6,0)</f>
        <v>2.1166666666666667</v>
      </c>
      <c r="E120" s="30">
        <f>RUTA471[[#This Row],[Columna3]]*RUTA471[[#This Row],[Columna4]]</f>
        <v>2.1166666666666667</v>
      </c>
    </row>
    <row r="121" spans="1:5">
      <c r="A121" s="30" t="s">
        <v>31</v>
      </c>
      <c r="B121" s="30" t="s">
        <v>30</v>
      </c>
      <c r="C121" s="30">
        <v>46</v>
      </c>
      <c r="D121" s="30">
        <f>VLOOKUP(RUTA471[[#This Row],[Columna1]],Tabla14[#All],6,0)</f>
        <v>0.11</v>
      </c>
      <c r="E121" s="30">
        <f>RUTA471[[#This Row],[Columna3]]*RUTA471[[#This Row],[Columna4]]</f>
        <v>5.0599999999999996</v>
      </c>
    </row>
    <row r="122" spans="1:5">
      <c r="A122" s="30" t="s">
        <v>1136</v>
      </c>
      <c r="B122" s="30" t="s">
        <v>1135</v>
      </c>
      <c r="C122" s="30">
        <v>1</v>
      </c>
      <c r="D122" s="30">
        <f>VLOOKUP(RUTA471[[#This Row],[Columna1]],Tabla14[#All],6,0)</f>
        <v>0.06</v>
      </c>
      <c r="E122" s="30">
        <f>RUTA471[[#This Row],[Columna3]]*RUTA471[[#This Row],[Columna4]]</f>
        <v>0.06</v>
      </c>
    </row>
    <row r="123" spans="1:5">
      <c r="A123" s="30" t="s">
        <v>5</v>
      </c>
      <c r="B123" s="30" t="s">
        <v>4</v>
      </c>
      <c r="C123" s="30">
        <v>1</v>
      </c>
      <c r="D123" s="30">
        <f>VLOOKUP(RUTA471[[#This Row],[Columna1]],Tabla14[#All],6,0)</f>
        <v>1.1041666666666667</v>
      </c>
      <c r="E123" s="30">
        <f>RUTA471[[#This Row],[Columna3]]*RUTA471[[#This Row],[Columna4]]</f>
        <v>1.1041666666666667</v>
      </c>
    </row>
    <row r="124" spans="1:5">
      <c r="A124" s="30" t="s">
        <v>339</v>
      </c>
      <c r="B124" s="30" t="s">
        <v>338</v>
      </c>
      <c r="C124" s="30">
        <v>4</v>
      </c>
      <c r="D124" s="30">
        <f>VLOOKUP(RUTA471[[#This Row],[Columna1]],Tabla14[#All],6,0)</f>
        <v>1.1041666666666667</v>
      </c>
      <c r="E124" s="30">
        <f>RUTA471[[#This Row],[Columna3]]*RUTA471[[#This Row],[Columna4]]</f>
        <v>4.416666666666667</v>
      </c>
    </row>
    <row r="125" spans="1:5">
      <c r="A125" s="30" t="s">
        <v>7</v>
      </c>
      <c r="B125" s="30" t="s">
        <v>6</v>
      </c>
      <c r="C125" s="30">
        <v>2</v>
      </c>
      <c r="D125" s="30">
        <f>VLOOKUP(RUTA471[[#This Row],[Columna1]],Tabla14[#All],6,0)</f>
        <v>1.1041666666666667</v>
      </c>
      <c r="E125" s="30">
        <f>RUTA471[[#This Row],[Columna3]]*RUTA471[[#This Row],[Columna4]]</f>
        <v>2.2083333333333335</v>
      </c>
    </row>
    <row r="126" spans="1:5">
      <c r="A126" s="30" t="s">
        <v>343</v>
      </c>
      <c r="B126" s="30" t="s">
        <v>342</v>
      </c>
      <c r="C126" s="30">
        <v>2</v>
      </c>
      <c r="D126" s="30">
        <f>VLOOKUP(RUTA471[[#This Row],[Columna1]],Tabla14[#All],6,0)</f>
        <v>1.1041666666666667</v>
      </c>
      <c r="E126" s="30">
        <f>RUTA471[[#This Row],[Columna3]]*RUTA471[[#This Row],[Columna4]]</f>
        <v>2.2083333333333335</v>
      </c>
    </row>
    <row r="127" spans="1:5">
      <c r="A127" s="30" t="s">
        <v>3</v>
      </c>
      <c r="B127" s="30" t="s">
        <v>2</v>
      </c>
      <c r="C127" s="30">
        <v>4</v>
      </c>
      <c r="D127" s="30">
        <f>VLOOKUP(RUTA471[[#This Row],[Columna1]],Tabla14[#All],6,0)</f>
        <v>1.1041666666666667</v>
      </c>
      <c r="E127" s="30">
        <f>RUTA471[[#This Row],[Columna3]]*RUTA471[[#This Row],[Columna4]]</f>
        <v>4.416666666666667</v>
      </c>
    </row>
    <row r="128" spans="1:5">
      <c r="A128" s="30" t="s">
        <v>825</v>
      </c>
      <c r="B128" s="30" t="s">
        <v>824</v>
      </c>
      <c r="C128" s="30">
        <v>2</v>
      </c>
      <c r="D128" s="30">
        <f>VLOOKUP(RUTA471[[#This Row],[Columna1]],Tabla14[#All],6,0)</f>
        <v>0.37040000000000001</v>
      </c>
      <c r="E128" s="30">
        <f>RUTA471[[#This Row],[Columna3]]*RUTA471[[#This Row],[Columna4]]</f>
        <v>0.74080000000000001</v>
      </c>
    </row>
    <row r="129" spans="1:5">
      <c r="A129" s="30" t="s">
        <v>1718</v>
      </c>
      <c r="B129" s="30" t="s">
        <v>1717</v>
      </c>
      <c r="C129" s="30">
        <v>2</v>
      </c>
      <c r="D129" s="30">
        <f>VLOOKUP(RUTA471[[#This Row],[Columna1]],Tabla14[#All],6,0)</f>
        <v>0.6</v>
      </c>
      <c r="E129" s="30">
        <f>RUTA471[[#This Row],[Columna3]]*RUTA471[[#This Row],[Columna4]]</f>
        <v>1.2</v>
      </c>
    </row>
    <row r="130" spans="1:5">
      <c r="A130" s="30" t="s">
        <v>1712</v>
      </c>
      <c r="B130" s="30" t="s">
        <v>1711</v>
      </c>
      <c r="C130" s="30">
        <v>2</v>
      </c>
      <c r="D130" s="30">
        <f>VLOOKUP(RUTA471[[#This Row],[Columna1]],Tabla14[#All],6,0)</f>
        <v>0.6</v>
      </c>
      <c r="E130" s="30">
        <f>RUTA471[[#This Row],[Columna3]]*RUTA471[[#This Row],[Columna4]]</f>
        <v>1.2</v>
      </c>
    </row>
    <row r="131" spans="1:5">
      <c r="A131" s="30" t="s">
        <v>1710</v>
      </c>
      <c r="B131" s="30" t="s">
        <v>1709</v>
      </c>
      <c r="C131" s="30">
        <v>1</v>
      </c>
      <c r="D131" s="30">
        <f>VLOOKUP(RUTA471[[#This Row],[Columna1]],Tabla14[#All],6,0)</f>
        <v>0.6</v>
      </c>
      <c r="E131" s="30">
        <f>RUTA471[[#This Row],[Columna3]]*RUTA471[[#This Row],[Columna4]]</f>
        <v>0.6</v>
      </c>
    </row>
    <row r="132" spans="1:5">
      <c r="A132" s="30" t="s">
        <v>1722</v>
      </c>
      <c r="B132" s="30" t="s">
        <v>1721</v>
      </c>
      <c r="C132" s="30">
        <v>2</v>
      </c>
      <c r="D132" s="30">
        <f>VLOOKUP(RUTA471[[#This Row],[Columna1]],Tabla14[#All],6,0)</f>
        <v>0.6</v>
      </c>
      <c r="E132" s="30">
        <f>RUTA471[[#This Row],[Columna3]]*RUTA471[[#This Row],[Columna4]]</f>
        <v>1.2</v>
      </c>
    </row>
    <row r="133" spans="1:5">
      <c r="A133" s="30" t="s">
        <v>1210</v>
      </c>
      <c r="B133" s="30" t="s">
        <v>1166</v>
      </c>
      <c r="C133" s="30">
        <v>1</v>
      </c>
      <c r="D133" s="30">
        <f>VLOOKUP(RUTA471[[#This Row],[Columna1]],Tabla14[#All],6,0)</f>
        <v>0.9277777777777777</v>
      </c>
      <c r="E133" s="30">
        <f>RUTA471[[#This Row],[Columna3]]*RUTA471[[#This Row],[Columna4]]</f>
        <v>0.9277777777777777</v>
      </c>
    </row>
    <row r="134" spans="1:5">
      <c r="A134" s="30" t="s">
        <v>1935</v>
      </c>
      <c r="B134" s="30" t="s">
        <v>1936</v>
      </c>
      <c r="C134" s="30">
        <v>30</v>
      </c>
      <c r="D134" s="30">
        <f>VLOOKUP(RUTA471[[#This Row],[Columna1]],Tabla14[#All],6,0)</f>
        <v>1.1008333333333333</v>
      </c>
      <c r="E134" s="30">
        <f>RUTA471[[#This Row],[Columna3]]*RUTA471[[#This Row],[Columna4]]</f>
        <v>33.024999999999999</v>
      </c>
    </row>
    <row r="135" spans="1:5">
      <c r="A135" s="30" t="s">
        <v>1749</v>
      </c>
      <c r="B135" s="30" t="s">
        <v>2008</v>
      </c>
      <c r="C135" s="30">
        <v>5</v>
      </c>
      <c r="D135" s="30">
        <f>VLOOKUP(RUTA471[[#This Row],[Columna1]],Tabla14[#All],6,0)</f>
        <v>0.71375</v>
      </c>
      <c r="E135" s="30">
        <f>RUTA471[[#This Row],[Columna3]]*RUTA471[[#This Row],[Columna4]]</f>
        <v>3.5687500000000001</v>
      </c>
    </row>
    <row r="136" spans="1:5">
      <c r="A136" s="30" t="s">
        <v>1330</v>
      </c>
      <c r="B136" s="30" t="s">
        <v>2221</v>
      </c>
      <c r="C136" s="30">
        <v>16</v>
      </c>
      <c r="D136" s="30">
        <f>VLOOKUP(RUTA471[[#This Row],[Columna1]],Tabla14[#All],6,0)</f>
        <v>0.62</v>
      </c>
      <c r="E136" s="30">
        <f>RUTA471[[#This Row],[Columna3]]*RUTA471[[#This Row],[Columna4]]</f>
        <v>9.92</v>
      </c>
    </row>
    <row r="137" spans="1:5">
      <c r="A137" s="30" t="s">
        <v>1332</v>
      </c>
      <c r="B137" s="30" t="s">
        <v>2270</v>
      </c>
      <c r="C137" s="30">
        <v>2</v>
      </c>
      <c r="D137" s="30">
        <f>VLOOKUP(RUTA471[[#This Row],[Columna1]],Tabla14[#All],6,0)</f>
        <v>0.48</v>
      </c>
      <c r="E137" s="30">
        <f>RUTA471[[#This Row],[Columna3]]*RUTA471[[#This Row],[Columna4]]</f>
        <v>0.96</v>
      </c>
    </row>
    <row r="138" spans="1:5">
      <c r="A138" s="30" t="s">
        <v>1953</v>
      </c>
      <c r="B138" s="30" t="s">
        <v>1952</v>
      </c>
      <c r="C138" s="30">
        <v>2</v>
      </c>
      <c r="D138" s="30">
        <f>VLOOKUP(RUTA471[[#This Row],[Columna1]],Tabla14[#All],6,0)</f>
        <v>1.5714285714285715E-2</v>
      </c>
      <c r="E138" s="30">
        <f>RUTA471[[#This Row],[Columna3]]*RUTA471[[#This Row],[Columna4]]</f>
        <v>3.1428571428571431E-2</v>
      </c>
    </row>
    <row r="139" spans="1:5">
      <c r="A139" s="30" t="s">
        <v>2065</v>
      </c>
      <c r="B139" s="30" t="s">
        <v>2064</v>
      </c>
      <c r="C139" s="30">
        <v>24</v>
      </c>
      <c r="D139" s="30">
        <f>VLOOKUP(RUTA471[[#This Row],[Columna1]],Tabla14[#All],6,0)</f>
        <v>0.88166666666666671</v>
      </c>
      <c r="E139" s="30">
        <f>RUTA471[[#This Row],[Columna3]]*RUTA471[[#This Row],[Columna4]]</f>
        <v>21.16</v>
      </c>
    </row>
    <row r="140" spans="1:5">
      <c r="A140" s="30" t="s">
        <v>1148</v>
      </c>
      <c r="B140" s="30" t="s">
        <v>1512</v>
      </c>
      <c r="C140" s="30">
        <v>25</v>
      </c>
      <c r="D140" s="30">
        <f>VLOOKUP(RUTA471[[#This Row],[Columna1]],Tabla14[#All],6,0)</f>
        <v>0.88</v>
      </c>
      <c r="E140" s="30">
        <f>RUTA471[[#This Row],[Columna3]]*RUTA471[[#This Row],[Columna4]]</f>
        <v>22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52AF-38B7-445B-BAC0-31CC43B05113}">
  <dimension ref="A1:E125"/>
  <sheetViews>
    <sheetView workbookViewId="0"/>
  </sheetViews>
  <sheetFormatPr baseColWidth="10" defaultRowHeight="14.4"/>
  <cols>
    <col min="1" max="1" width="11.5546875" style="30"/>
    <col min="2" max="2" width="4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18</v>
      </c>
      <c r="D2" s="30">
        <f>VLOOKUP(RUTA472[[#This Row],[Columna1]],Tabla14[#All],6,0)</f>
        <v>0.88200000000000001</v>
      </c>
      <c r="E2" s="30">
        <f>RUTA472[[#This Row],[Columna3]]*RUTA472[[#This Row],[Columna4]]</f>
        <v>15.875999999999999</v>
      </c>
    </row>
    <row r="3" spans="1:5">
      <c r="A3" s="30">
        <v>10010020002</v>
      </c>
      <c r="B3" s="30" t="s">
        <v>144</v>
      </c>
      <c r="C3" s="30">
        <v>3</v>
      </c>
      <c r="D3" s="30">
        <f>VLOOKUP(RUTA472[[#This Row],[Columna1]],Tabla14[#All],6,0)</f>
        <v>0.88200000000000001</v>
      </c>
      <c r="E3" s="30">
        <f>RUTA472[[#This Row],[Columna3]]*RUTA472[[#This Row],[Columna4]]</f>
        <v>2.6459999999999999</v>
      </c>
    </row>
    <row r="4" spans="1:5">
      <c r="A4" s="30">
        <v>10020010007</v>
      </c>
      <c r="B4" s="30" t="s">
        <v>143</v>
      </c>
      <c r="C4" s="30">
        <v>12</v>
      </c>
      <c r="D4" s="30">
        <f>VLOOKUP(RUTA472[[#This Row],[Columna1]],Tabla14[#All],6,0)</f>
        <v>0.88200000000000001</v>
      </c>
      <c r="E4" s="30">
        <f>RUTA472[[#This Row],[Columna3]]*RUTA472[[#This Row],[Columna4]]</f>
        <v>10.584</v>
      </c>
    </row>
    <row r="5" spans="1:5">
      <c r="A5" s="30">
        <v>10020040002</v>
      </c>
      <c r="B5" s="30" t="s">
        <v>145</v>
      </c>
      <c r="C5" s="30">
        <v>6</v>
      </c>
      <c r="D5" s="30">
        <f>VLOOKUP(RUTA472[[#This Row],[Columna1]],Tabla14[#All],6,0)</f>
        <v>0.88200000000000001</v>
      </c>
      <c r="E5" s="30">
        <f>RUTA472[[#This Row],[Columna3]]*RUTA472[[#This Row],[Columna4]]</f>
        <v>5.2919999999999998</v>
      </c>
    </row>
    <row r="6" spans="1:5">
      <c r="A6" s="30">
        <v>1008010073</v>
      </c>
      <c r="B6" s="30" t="s">
        <v>443</v>
      </c>
      <c r="C6" s="30">
        <v>3</v>
      </c>
      <c r="D6" s="30">
        <f>VLOOKUP(RUTA472[[#This Row],[Columna1]],Tabla14[#All],6,0)</f>
        <v>0.33071428571428568</v>
      </c>
      <c r="E6" s="30">
        <f>RUTA472[[#This Row],[Columna3]]*RUTA472[[#This Row],[Columna4]]</f>
        <v>0.99214285714285699</v>
      </c>
    </row>
    <row r="7" spans="1:5">
      <c r="A7" s="30">
        <v>2103011672</v>
      </c>
      <c r="B7" s="30" t="s">
        <v>2229</v>
      </c>
      <c r="C7" s="30">
        <v>7</v>
      </c>
      <c r="D7" s="30">
        <f>VLOOKUP(RUTA472[[#This Row],[Columna1]],Tabla14[#All],6,0)</f>
        <v>0.25351851851851853</v>
      </c>
      <c r="E7" s="30">
        <f>RUTA472[[#This Row],[Columna3]]*RUTA472[[#This Row],[Columna4]]</f>
        <v>1.7746296296296298</v>
      </c>
    </row>
    <row r="8" spans="1:5">
      <c r="A8" s="30">
        <v>400000127</v>
      </c>
      <c r="B8" s="30" t="s">
        <v>585</v>
      </c>
      <c r="C8" s="30">
        <v>2</v>
      </c>
      <c r="D8" s="30">
        <f>VLOOKUP(RUTA472[[#This Row],[Columna1]],Tabla14[#All],6,0)</f>
        <v>1.5449999999999999</v>
      </c>
      <c r="E8" s="30">
        <f>RUTA472[[#This Row],[Columna3]]*RUTA472[[#This Row],[Columna4]]</f>
        <v>3.09</v>
      </c>
    </row>
    <row r="9" spans="1:5">
      <c r="A9" s="30">
        <v>400000221</v>
      </c>
      <c r="B9" s="30" t="s">
        <v>587</v>
      </c>
      <c r="C9" s="30">
        <v>15</v>
      </c>
      <c r="D9" s="30">
        <f>VLOOKUP(RUTA472[[#This Row],[Columna1]],Tabla14[#All],6,0)</f>
        <v>0.8</v>
      </c>
      <c r="E9" s="30">
        <f>RUTA472[[#This Row],[Columna3]]*RUTA472[[#This Row],[Columna4]]</f>
        <v>12</v>
      </c>
    </row>
    <row r="10" spans="1:5">
      <c r="A10" s="30">
        <v>400000412</v>
      </c>
      <c r="B10" s="30" t="s">
        <v>581</v>
      </c>
      <c r="C10" s="30">
        <v>1</v>
      </c>
      <c r="D10" s="30">
        <f>VLOOKUP(RUTA472[[#This Row],[Columna1]],Tabla14[#All],6,0)</f>
        <v>0.3</v>
      </c>
      <c r="E10" s="30">
        <f>RUTA472[[#This Row],[Columna3]]*RUTA472[[#This Row],[Columna4]]</f>
        <v>0.3</v>
      </c>
    </row>
    <row r="11" spans="1:5">
      <c r="A11" s="30">
        <v>50491100</v>
      </c>
      <c r="B11" s="30" t="s">
        <v>1899</v>
      </c>
      <c r="C11" s="30">
        <v>6</v>
      </c>
      <c r="D11" s="30">
        <f>VLOOKUP(RUTA472[[#This Row],[Columna1]],Tabla14[#All],6,0)</f>
        <v>2.65</v>
      </c>
      <c r="E11" s="30">
        <f>RUTA472[[#This Row],[Columna3]]*RUTA472[[#This Row],[Columna4]]</f>
        <v>15.899999999999999</v>
      </c>
    </row>
    <row r="12" spans="1:5">
      <c r="A12" s="30">
        <v>50491102</v>
      </c>
      <c r="B12" s="30" t="s">
        <v>1898</v>
      </c>
      <c r="C12" s="30">
        <v>6</v>
      </c>
      <c r="D12" s="30">
        <f>VLOOKUP(RUTA472[[#This Row],[Columna1]],Tabla14[#All],6,0)</f>
        <v>2.65</v>
      </c>
      <c r="E12" s="30">
        <f>RUTA472[[#This Row],[Columna3]]*RUTA472[[#This Row],[Columna4]]</f>
        <v>15.899999999999999</v>
      </c>
    </row>
    <row r="13" spans="1:5">
      <c r="A13" s="30">
        <v>50491131</v>
      </c>
      <c r="B13" s="30" t="s">
        <v>1759</v>
      </c>
      <c r="C13" s="30">
        <v>6</v>
      </c>
      <c r="D13" s="30">
        <f>VLOOKUP(RUTA472[[#This Row],[Columna1]],Tabla14[#All],6,0)</f>
        <v>3.2916666666666665</v>
      </c>
      <c r="E13" s="30">
        <f>RUTA472[[#This Row],[Columna3]]*RUTA472[[#This Row],[Columna4]]</f>
        <v>19.75</v>
      </c>
    </row>
    <row r="14" spans="1:5">
      <c r="A14" s="30">
        <v>52480086</v>
      </c>
      <c r="B14" s="30" t="s">
        <v>1939</v>
      </c>
      <c r="C14" s="30">
        <v>3</v>
      </c>
      <c r="D14" s="30">
        <f>VLOOKUP(RUTA472[[#This Row],[Columna1]],Tabla14[#All],6,0)</f>
        <v>0.23805555555555558</v>
      </c>
      <c r="E14" s="30">
        <f>RUTA472[[#This Row],[Columna3]]*RUTA472[[#This Row],[Columna4]]</f>
        <v>0.71416666666666673</v>
      </c>
    </row>
    <row r="15" spans="1:5">
      <c r="A15" s="30">
        <v>5460400</v>
      </c>
      <c r="B15" s="30" t="s">
        <v>2133</v>
      </c>
      <c r="C15" s="30">
        <v>132</v>
      </c>
      <c r="D15" s="30">
        <f>VLOOKUP(RUTA472[[#This Row],[Columna1]],Tabla14[#All],6,0)</f>
        <v>0.75</v>
      </c>
      <c r="E15" s="30">
        <f>RUTA472[[#This Row],[Columna3]]*RUTA472[[#This Row],[Columna4]]</f>
        <v>99</v>
      </c>
    </row>
    <row r="16" spans="1:5">
      <c r="A16" s="30">
        <v>5467000</v>
      </c>
      <c r="B16" s="30" t="s">
        <v>2066</v>
      </c>
      <c r="C16" s="30">
        <v>6</v>
      </c>
      <c r="D16" s="30">
        <f>VLOOKUP(RUTA472[[#This Row],[Columna1]],Tabla14[#All],6,0)</f>
        <v>1.1100000000000001</v>
      </c>
      <c r="E16" s="30">
        <f>RUTA472[[#This Row],[Columna3]]*RUTA472[[#This Row],[Columna4]]</f>
        <v>6.66</v>
      </c>
    </row>
    <row r="17" spans="1:5">
      <c r="A17" s="30">
        <v>576003</v>
      </c>
      <c r="B17" s="30" t="s">
        <v>2084</v>
      </c>
      <c r="C17" s="30">
        <v>12</v>
      </c>
      <c r="D17" s="30">
        <f>VLOOKUP(RUTA472[[#This Row],[Columna1]],Tabla14[#All],6,0)</f>
        <v>0.11944444444444444</v>
      </c>
      <c r="E17" s="30">
        <f>RUTA472[[#This Row],[Columna3]]*RUTA472[[#This Row],[Columna4]]</f>
        <v>1.4333333333333331</v>
      </c>
    </row>
    <row r="18" spans="1:5">
      <c r="A18" s="30">
        <v>579407</v>
      </c>
      <c r="B18" s="30" t="s">
        <v>2230</v>
      </c>
      <c r="C18" s="30">
        <v>1</v>
      </c>
      <c r="D18" s="30">
        <f>VLOOKUP(RUTA472[[#This Row],[Columna1]],Tabla14[#All],6,0)</f>
        <v>0.11041666666666666</v>
      </c>
      <c r="E18" s="30">
        <f>RUTA472[[#This Row],[Columna3]]*RUTA472[[#This Row],[Columna4]]</f>
        <v>0.11041666666666666</v>
      </c>
    </row>
    <row r="19" spans="1:5">
      <c r="A19" s="30">
        <v>579409</v>
      </c>
      <c r="B19" s="30" t="s">
        <v>2233</v>
      </c>
      <c r="C19" s="30">
        <v>1</v>
      </c>
      <c r="D19" s="30">
        <f>VLOOKUP(RUTA472[[#This Row],[Columna1]],Tabla14[#All],6,0)</f>
        <v>0.11041666666666666</v>
      </c>
      <c r="E19" s="30">
        <f>RUTA472[[#This Row],[Columna3]]*RUTA472[[#This Row],[Columna4]]</f>
        <v>0.11041666666666666</v>
      </c>
    </row>
    <row r="20" spans="1:5">
      <c r="A20" s="30">
        <v>586703</v>
      </c>
      <c r="B20" s="30" t="s">
        <v>2257</v>
      </c>
      <c r="C20" s="30">
        <v>3</v>
      </c>
      <c r="D20" s="30">
        <f>VLOOKUP(RUTA472[[#This Row],[Columna1]],Tabla14[#All],6,0)</f>
        <v>0.12833333333333333</v>
      </c>
      <c r="E20" s="30">
        <f>RUTA472[[#This Row],[Columna3]]*RUTA472[[#This Row],[Columna4]]</f>
        <v>0.38500000000000001</v>
      </c>
    </row>
    <row r="21" spans="1:5">
      <c r="A21" s="30">
        <v>60000094</v>
      </c>
      <c r="B21" s="30" t="s">
        <v>1387</v>
      </c>
      <c r="C21" s="30">
        <v>72</v>
      </c>
      <c r="D21" s="30">
        <f>VLOOKUP(RUTA472[[#This Row],[Columna1]],Tabla14[#All],6,0)</f>
        <v>1.76</v>
      </c>
      <c r="E21" s="30">
        <f>RUTA472[[#This Row],[Columna3]]*RUTA472[[#This Row],[Columna4]]</f>
        <v>126.72</v>
      </c>
    </row>
    <row r="22" spans="1:5">
      <c r="A22" s="30">
        <v>60000210</v>
      </c>
      <c r="B22" s="30" t="s">
        <v>148</v>
      </c>
      <c r="C22" s="30">
        <v>24</v>
      </c>
      <c r="D22" s="30">
        <f>VLOOKUP(RUTA472[[#This Row],[Columna1]],Tabla14[#All],6,0)</f>
        <v>0.77200000000000002</v>
      </c>
      <c r="E22" s="30">
        <f>RUTA472[[#This Row],[Columna3]]*RUTA472[[#This Row],[Columna4]]</f>
        <v>18.527999999999999</v>
      </c>
    </row>
    <row r="23" spans="1:5">
      <c r="A23" s="30">
        <v>621330</v>
      </c>
      <c r="B23" s="30" t="s">
        <v>652</v>
      </c>
      <c r="C23" s="30">
        <v>2</v>
      </c>
      <c r="D23" s="30">
        <f>VLOOKUP(RUTA472[[#This Row],[Columna1]],Tabla14[#All],6,0)</f>
        <v>0.8833333333333333</v>
      </c>
      <c r="E23" s="30">
        <f>RUTA472[[#This Row],[Columna3]]*RUTA472[[#This Row],[Columna4]]</f>
        <v>1.7666666666666666</v>
      </c>
    </row>
    <row r="24" spans="1:5">
      <c r="A24" s="30">
        <v>640676</v>
      </c>
      <c r="B24" s="30" t="s">
        <v>218</v>
      </c>
      <c r="C24" s="30">
        <v>6</v>
      </c>
      <c r="D24" s="30">
        <f>VLOOKUP(RUTA472[[#This Row],[Columna1]],Tabla14[#All],6,0)</f>
        <v>2.65</v>
      </c>
      <c r="E24" s="30">
        <f>RUTA472[[#This Row],[Columna3]]*RUTA472[[#This Row],[Columna4]]</f>
        <v>15.899999999999999</v>
      </c>
    </row>
    <row r="25" spans="1:5">
      <c r="A25" s="30">
        <v>642366</v>
      </c>
      <c r="B25" s="30" t="s">
        <v>2275</v>
      </c>
      <c r="C25" s="30">
        <v>2</v>
      </c>
      <c r="D25" s="30">
        <f>VLOOKUP(RUTA472[[#This Row],[Columna1]],Tabla14[#All],6,0)</f>
        <v>0.24263888888888888</v>
      </c>
      <c r="E25" s="30">
        <f>RUTA472[[#This Row],[Columna3]]*RUTA472[[#This Row],[Columna4]]</f>
        <v>0.48527777777777775</v>
      </c>
    </row>
    <row r="26" spans="1:5">
      <c r="A26" s="30">
        <v>68436586</v>
      </c>
      <c r="B26" s="30" t="s">
        <v>272</v>
      </c>
      <c r="C26" s="30">
        <v>6</v>
      </c>
      <c r="D26" s="30">
        <f>VLOOKUP(RUTA472[[#This Row],[Columna1]],Tabla14[#All],6,0)</f>
        <v>0.1125</v>
      </c>
      <c r="E26" s="30">
        <f>RUTA472[[#This Row],[Columna3]]*RUTA472[[#This Row],[Columna4]]</f>
        <v>0.67500000000000004</v>
      </c>
    </row>
    <row r="27" spans="1:5">
      <c r="A27" s="30">
        <v>68436592</v>
      </c>
      <c r="B27" s="30" t="s">
        <v>1909</v>
      </c>
      <c r="C27" s="30">
        <v>1</v>
      </c>
      <c r="D27" s="30">
        <f>VLOOKUP(RUTA472[[#This Row],[Columna1]],Tabla14[#All],6,0)</f>
        <v>0.10166666666666667</v>
      </c>
      <c r="E27" s="30">
        <f>RUTA472[[#This Row],[Columna3]]*RUTA472[[#This Row],[Columna4]]</f>
        <v>0.10166666666666667</v>
      </c>
    </row>
    <row r="28" spans="1:5">
      <c r="A28" s="30">
        <v>68798139</v>
      </c>
      <c r="B28" s="30" t="s">
        <v>1993</v>
      </c>
      <c r="C28" s="30">
        <v>1</v>
      </c>
      <c r="D28" s="30">
        <f>VLOOKUP(RUTA472[[#This Row],[Columna1]],Tabla14[#All],6,0)</f>
        <v>0.1275</v>
      </c>
      <c r="E28" s="30">
        <f>RUTA472[[#This Row],[Columna3]]*RUTA472[[#This Row],[Columna4]]</f>
        <v>0.1275</v>
      </c>
    </row>
    <row r="29" spans="1:5">
      <c r="A29" s="30">
        <v>69584500</v>
      </c>
      <c r="B29" s="30" t="s">
        <v>2166</v>
      </c>
      <c r="C29" s="30">
        <v>72</v>
      </c>
      <c r="D29" s="30">
        <f>VLOOKUP(RUTA472[[#This Row],[Columna1]],Tabla14[#All],6,0)</f>
        <v>9.9124999999999991E-2</v>
      </c>
      <c r="E29" s="30">
        <f>RUTA472[[#This Row],[Columna3]]*RUTA472[[#This Row],[Columna4]]</f>
        <v>7.1369999999999996</v>
      </c>
    </row>
    <row r="30" spans="1:5">
      <c r="A30" s="30">
        <v>69678219</v>
      </c>
      <c r="B30" s="30" t="s">
        <v>2240</v>
      </c>
      <c r="C30" s="30">
        <v>3</v>
      </c>
      <c r="D30" s="30">
        <f>VLOOKUP(RUTA472[[#This Row],[Columna1]],Tabla14[#All],6,0)</f>
        <v>0.55541666666666667</v>
      </c>
      <c r="E30" s="30">
        <f>RUTA472[[#This Row],[Columna3]]*RUTA472[[#This Row],[Columna4]]</f>
        <v>1.66625</v>
      </c>
    </row>
    <row r="31" spans="1:5">
      <c r="A31" s="30">
        <v>69678222</v>
      </c>
      <c r="B31" s="30" t="s">
        <v>2088</v>
      </c>
      <c r="C31" s="30">
        <v>12</v>
      </c>
      <c r="D31" s="30">
        <f>VLOOKUP(RUTA472[[#This Row],[Columna1]],Tabla14[#All],6,0)</f>
        <v>0.5541666666666667</v>
      </c>
      <c r="E31" s="30">
        <f>RUTA472[[#This Row],[Columna3]]*RUTA472[[#This Row],[Columna4]]</f>
        <v>6.65</v>
      </c>
    </row>
    <row r="32" spans="1:5">
      <c r="A32" s="30">
        <v>69717303</v>
      </c>
      <c r="B32" s="30" t="s">
        <v>1942</v>
      </c>
      <c r="C32" s="30">
        <v>12</v>
      </c>
      <c r="D32" s="30">
        <f>VLOOKUP(RUTA472[[#This Row],[Columna1]],Tabla14[#All],6,0)</f>
        <v>0.25</v>
      </c>
      <c r="E32" s="30">
        <f>RUTA472[[#This Row],[Columna3]]*RUTA472[[#This Row],[Columna4]]</f>
        <v>3</v>
      </c>
    </row>
    <row r="33" spans="1:5">
      <c r="A33" s="30">
        <v>69761861</v>
      </c>
      <c r="B33" s="30" t="s">
        <v>1987</v>
      </c>
      <c r="C33" s="30">
        <v>6</v>
      </c>
      <c r="D33" s="30">
        <f>VLOOKUP(RUTA472[[#This Row],[Columna1]],Tabla14[#All],6,0)</f>
        <v>0.19833333333333333</v>
      </c>
      <c r="E33" s="30">
        <f>RUTA472[[#This Row],[Columna3]]*RUTA472[[#This Row],[Columna4]]</f>
        <v>1.19</v>
      </c>
    </row>
    <row r="34" spans="1:5">
      <c r="A34" s="30">
        <v>69761868</v>
      </c>
      <c r="B34" s="30" t="s">
        <v>2024</v>
      </c>
      <c r="C34" s="30">
        <v>21</v>
      </c>
      <c r="D34" s="30">
        <f>VLOOKUP(RUTA472[[#This Row],[Columna1]],Tabla14[#All],6,0)</f>
        <v>0.19843750000000002</v>
      </c>
      <c r="E34" s="30">
        <f>RUTA472[[#This Row],[Columna3]]*RUTA472[[#This Row],[Columna4]]</f>
        <v>4.1671875000000007</v>
      </c>
    </row>
    <row r="35" spans="1:5">
      <c r="A35" s="30">
        <v>69780941</v>
      </c>
      <c r="B35" s="30" t="s">
        <v>1951</v>
      </c>
      <c r="C35" s="30">
        <v>216</v>
      </c>
      <c r="D35" s="30">
        <f>VLOOKUP(RUTA472[[#This Row],[Columna1]],Tabla14[#All],6,0)</f>
        <v>0.19833333333333333</v>
      </c>
      <c r="E35" s="30">
        <f>RUTA472[[#This Row],[Columna3]]*RUTA472[[#This Row],[Columna4]]</f>
        <v>42.84</v>
      </c>
    </row>
    <row r="36" spans="1:5">
      <c r="A36" s="30">
        <v>84158961</v>
      </c>
      <c r="B36" s="30" t="s">
        <v>246</v>
      </c>
      <c r="C36" s="30">
        <v>1</v>
      </c>
      <c r="D36" s="30">
        <f>VLOOKUP(RUTA472[[#This Row],[Columna1]],Tabla14[#All],6,0)</f>
        <v>0.75</v>
      </c>
      <c r="E36" s="30">
        <f>RUTA472[[#This Row],[Columna3]]*RUTA472[[#This Row],[Columna4]]</f>
        <v>0.75</v>
      </c>
    </row>
    <row r="37" spans="1:5">
      <c r="A37" s="30" t="s">
        <v>1026</v>
      </c>
      <c r="B37" s="30" t="s">
        <v>1025</v>
      </c>
      <c r="C37" s="30">
        <v>16</v>
      </c>
      <c r="D37" s="30">
        <f>VLOOKUP(RUTA472[[#This Row],[Columna1]],Tabla14[#All],6,0)</f>
        <v>0.9</v>
      </c>
      <c r="E37" s="30">
        <f>RUTA472[[#This Row],[Columna3]]*RUTA472[[#This Row],[Columna4]]</f>
        <v>14.4</v>
      </c>
    </row>
    <row r="38" spans="1:5">
      <c r="A38" s="30" t="s">
        <v>1355</v>
      </c>
      <c r="B38" s="30" t="s">
        <v>1354</v>
      </c>
      <c r="C38" s="30">
        <v>1</v>
      </c>
      <c r="D38" s="30">
        <f>VLOOKUP(RUTA472[[#This Row],[Columna1]],Tabla14[#All],6,0)</f>
        <v>0.9</v>
      </c>
      <c r="E38" s="30">
        <f>RUTA472[[#This Row],[Columna3]]*RUTA472[[#This Row],[Columna4]]</f>
        <v>0.9</v>
      </c>
    </row>
    <row r="39" spans="1:5">
      <c r="A39" s="30" t="s">
        <v>1525</v>
      </c>
      <c r="B39" s="30" t="s">
        <v>1524</v>
      </c>
      <c r="C39" s="30">
        <v>16</v>
      </c>
      <c r="D39" s="30">
        <f>VLOOKUP(RUTA472[[#This Row],[Columna1]],Tabla14[#All],6,0)</f>
        <v>0.9</v>
      </c>
      <c r="E39" s="30">
        <f>RUTA472[[#This Row],[Columna3]]*RUTA472[[#This Row],[Columna4]]</f>
        <v>14.4</v>
      </c>
    </row>
    <row r="40" spans="1:5">
      <c r="A40" s="30" t="s">
        <v>1359</v>
      </c>
      <c r="B40" s="30" t="s">
        <v>1358</v>
      </c>
      <c r="C40" s="30">
        <v>18</v>
      </c>
      <c r="D40" s="30">
        <f>VLOOKUP(RUTA472[[#This Row],[Columna1]],Tabla14[#All],6,0)</f>
        <v>0.9</v>
      </c>
      <c r="E40" s="30">
        <f>RUTA472[[#This Row],[Columna3]]*RUTA472[[#This Row],[Columna4]]</f>
        <v>16.2</v>
      </c>
    </row>
    <row r="41" spans="1:5">
      <c r="A41" s="30" t="s">
        <v>1477</v>
      </c>
      <c r="B41" s="30" t="s">
        <v>1476</v>
      </c>
      <c r="C41" s="30">
        <v>3</v>
      </c>
      <c r="D41" s="30">
        <f>VLOOKUP(RUTA472[[#This Row],[Columna1]],Tabla14[#All],6,0)</f>
        <v>0.9</v>
      </c>
      <c r="E41" s="30">
        <f>RUTA472[[#This Row],[Columna3]]*RUTA472[[#This Row],[Columna4]]</f>
        <v>2.7</v>
      </c>
    </row>
    <row r="42" spans="1:5">
      <c r="A42" s="30" t="s">
        <v>1475</v>
      </c>
      <c r="B42" s="30" t="s">
        <v>1474</v>
      </c>
      <c r="C42" s="30">
        <v>30</v>
      </c>
      <c r="D42" s="30">
        <f>VLOOKUP(RUTA472[[#This Row],[Columna1]],Tabla14[#All],6,0)</f>
        <v>0.9</v>
      </c>
      <c r="E42" s="30">
        <f>RUTA472[[#This Row],[Columna3]]*RUTA472[[#This Row],[Columna4]]</f>
        <v>27</v>
      </c>
    </row>
    <row r="43" spans="1:5">
      <c r="A43" s="30" t="s">
        <v>1674</v>
      </c>
      <c r="B43" s="30" t="s">
        <v>1673</v>
      </c>
      <c r="C43" s="30">
        <v>2</v>
      </c>
      <c r="D43" s="30">
        <f>VLOOKUP(RUTA472[[#This Row],[Columna1]],Tabla14[#All],6,0)</f>
        <v>0.9</v>
      </c>
      <c r="E43" s="30">
        <f>RUTA472[[#This Row],[Columna3]]*RUTA472[[#This Row],[Columna4]]</f>
        <v>1.8</v>
      </c>
    </row>
    <row r="44" spans="1:5">
      <c r="A44" s="30" t="s">
        <v>1471</v>
      </c>
      <c r="B44" s="30" t="s">
        <v>1470</v>
      </c>
      <c r="C44" s="30">
        <v>16</v>
      </c>
      <c r="D44" s="30">
        <f>VLOOKUP(RUTA472[[#This Row],[Columna1]],Tabla14[#All],6,0)</f>
        <v>0.9</v>
      </c>
      <c r="E44" s="30">
        <f>RUTA472[[#This Row],[Columna3]]*RUTA472[[#This Row],[Columna4]]</f>
        <v>14.4</v>
      </c>
    </row>
    <row r="45" spans="1:5">
      <c r="A45" s="30" t="s">
        <v>1349</v>
      </c>
      <c r="B45" s="30" t="s">
        <v>1348</v>
      </c>
      <c r="C45" s="30">
        <v>2</v>
      </c>
      <c r="D45" s="30">
        <f>VLOOKUP(RUTA472[[#This Row],[Columna1]],Tabla14[#All],6,0)</f>
        <v>0.9</v>
      </c>
      <c r="E45" s="30">
        <f>RUTA472[[#This Row],[Columna3]]*RUTA472[[#This Row],[Columna4]]</f>
        <v>1.8</v>
      </c>
    </row>
    <row r="46" spans="1:5">
      <c r="A46" s="30" t="s">
        <v>2050</v>
      </c>
      <c r="B46" s="30" t="s">
        <v>2049</v>
      </c>
      <c r="C46" s="30">
        <v>18</v>
      </c>
      <c r="D46" s="30">
        <f>VLOOKUP(RUTA472[[#This Row],[Columna1]],Tabla14[#All],6,0)</f>
        <v>0.12125000000000001</v>
      </c>
      <c r="E46" s="30">
        <f>RUTA472[[#This Row],[Columna3]]*RUTA472[[#This Row],[Columna4]]</f>
        <v>2.1825000000000001</v>
      </c>
    </row>
    <row r="47" spans="1:5">
      <c r="A47" s="30" t="s">
        <v>2046</v>
      </c>
      <c r="B47" s="30" t="s">
        <v>2045</v>
      </c>
      <c r="C47" s="30">
        <v>6</v>
      </c>
      <c r="D47" s="30">
        <f>VLOOKUP(RUTA472[[#This Row],[Columna1]],Tabla14[#All],6,0)</f>
        <v>0.12125000000000001</v>
      </c>
      <c r="E47" s="30">
        <f>RUTA472[[#This Row],[Columna3]]*RUTA472[[#This Row],[Columna4]]</f>
        <v>0.72750000000000004</v>
      </c>
    </row>
    <row r="48" spans="1:5">
      <c r="A48" s="30" t="s">
        <v>1692</v>
      </c>
      <c r="B48" s="30" t="s">
        <v>1691</v>
      </c>
      <c r="C48" s="30">
        <v>3</v>
      </c>
      <c r="D48" s="30">
        <f>VLOOKUP(RUTA472[[#This Row],[Columna1]],Tabla14[#All],6,0)</f>
        <v>0.92524999999999991</v>
      </c>
      <c r="E48" s="30">
        <f>RUTA472[[#This Row],[Columna3]]*RUTA472[[#This Row],[Columna4]]</f>
        <v>2.7757499999999995</v>
      </c>
    </row>
    <row r="49" spans="1:5">
      <c r="A49" s="30" t="s">
        <v>1690</v>
      </c>
      <c r="B49" s="30" t="s">
        <v>1689</v>
      </c>
      <c r="C49" s="30">
        <v>3</v>
      </c>
      <c r="D49" s="30">
        <f>VLOOKUP(RUTA472[[#This Row],[Columna1]],Tabla14[#All],6,0)</f>
        <v>0.92524999999999991</v>
      </c>
      <c r="E49" s="30">
        <f>RUTA472[[#This Row],[Columna3]]*RUTA472[[#This Row],[Columna4]]</f>
        <v>2.7757499999999995</v>
      </c>
    </row>
    <row r="50" spans="1:5">
      <c r="A50" s="30" t="s">
        <v>2188</v>
      </c>
      <c r="B50" s="30" t="s">
        <v>2187</v>
      </c>
      <c r="C50" s="30">
        <v>8</v>
      </c>
      <c r="D50" s="30">
        <f>VLOOKUP(RUTA472[[#This Row],[Columna1]],Tabla14[#All],6,0)</f>
        <v>0.52916666666666667</v>
      </c>
      <c r="E50" s="30">
        <f>RUTA472[[#This Row],[Columna3]]*RUTA472[[#This Row],[Columna4]]</f>
        <v>4.2333333333333334</v>
      </c>
    </row>
    <row r="51" spans="1:5">
      <c r="A51" s="30" t="s">
        <v>2191</v>
      </c>
      <c r="B51" s="30" t="s">
        <v>2190</v>
      </c>
      <c r="C51" s="30">
        <v>4</v>
      </c>
      <c r="D51" s="30">
        <f>VLOOKUP(RUTA472[[#This Row],[Columna1]],Tabla14[#All],6,0)</f>
        <v>0.52916666666666667</v>
      </c>
      <c r="E51" s="30">
        <f>RUTA472[[#This Row],[Columna3]]*RUTA472[[#This Row],[Columna4]]</f>
        <v>2.1166666666666667</v>
      </c>
    </row>
    <row r="52" spans="1:5">
      <c r="A52" s="30" t="s">
        <v>2218</v>
      </c>
      <c r="B52" s="30" t="s">
        <v>2217</v>
      </c>
      <c r="C52" s="30">
        <v>1</v>
      </c>
      <c r="D52" s="30">
        <f>VLOOKUP(RUTA472[[#This Row],[Columna1]],Tabla14[#All],6,0)</f>
        <v>1.3125</v>
      </c>
      <c r="E52" s="30">
        <f>RUTA472[[#This Row],[Columna3]]*RUTA472[[#This Row],[Columna4]]</f>
        <v>1.3125</v>
      </c>
    </row>
    <row r="53" spans="1:5">
      <c r="A53" s="30" t="s">
        <v>1976</v>
      </c>
      <c r="B53" s="30" t="s">
        <v>1975</v>
      </c>
      <c r="C53" s="30">
        <v>4</v>
      </c>
      <c r="D53" s="30">
        <f>VLOOKUP(RUTA472[[#This Row],[Columna1]],Tabla14[#All],6,0)</f>
        <v>0.47599999999999998</v>
      </c>
      <c r="E53" s="30">
        <f>RUTA472[[#This Row],[Columna3]]*RUTA472[[#This Row],[Columna4]]</f>
        <v>1.9039999999999999</v>
      </c>
    </row>
    <row r="54" spans="1:5">
      <c r="A54" s="30" t="s">
        <v>1974</v>
      </c>
      <c r="B54" s="30" t="s">
        <v>1973</v>
      </c>
      <c r="C54" s="30">
        <v>3</v>
      </c>
      <c r="D54" s="30">
        <f>VLOOKUP(RUTA472[[#This Row],[Columna1]],Tabla14[#All],6,0)</f>
        <v>0.47599999999999998</v>
      </c>
      <c r="E54" s="30">
        <f>RUTA472[[#This Row],[Columna3]]*RUTA472[[#This Row],[Columna4]]</f>
        <v>1.4279999999999999</v>
      </c>
    </row>
    <row r="55" spans="1:5">
      <c r="A55" s="30" t="s">
        <v>2213</v>
      </c>
      <c r="B55" s="30" t="s">
        <v>2212</v>
      </c>
      <c r="C55" s="30">
        <v>9</v>
      </c>
      <c r="D55" s="30">
        <f>VLOOKUP(RUTA472[[#This Row],[Columna1]],Tabla14[#All],6,0)</f>
        <v>0.77159999999999995</v>
      </c>
      <c r="E55" s="30">
        <f>RUTA472[[#This Row],[Columna3]]*RUTA472[[#This Row],[Columna4]]</f>
        <v>6.9443999999999999</v>
      </c>
    </row>
    <row r="56" spans="1:5">
      <c r="A56" s="30" t="s">
        <v>1261</v>
      </c>
      <c r="B56" s="30" t="s">
        <v>1513</v>
      </c>
      <c r="C56" s="30">
        <v>12</v>
      </c>
      <c r="D56" s="30">
        <f>VLOOKUP(RUTA472[[#This Row],[Columna1]],Tabla14[#All],6,0)</f>
        <v>0.36249999999999999</v>
      </c>
      <c r="E56" s="30">
        <f>RUTA472[[#This Row],[Columna3]]*RUTA472[[#This Row],[Columna4]]</f>
        <v>4.3499999999999996</v>
      </c>
    </row>
    <row r="57" spans="1:5">
      <c r="A57" s="30" t="s">
        <v>1289</v>
      </c>
      <c r="B57" s="30" t="s">
        <v>1431</v>
      </c>
      <c r="C57" s="30">
        <v>13</v>
      </c>
      <c r="D57" s="30">
        <f>VLOOKUP(RUTA472[[#This Row],[Columna1]],Tabla14[#All],6,0)</f>
        <v>0.36249999999999999</v>
      </c>
      <c r="E57" s="30">
        <f>RUTA472[[#This Row],[Columna3]]*RUTA472[[#This Row],[Columna4]]</f>
        <v>4.7124999999999995</v>
      </c>
    </row>
    <row r="58" spans="1:5">
      <c r="A58" s="30" t="s">
        <v>1269</v>
      </c>
      <c r="B58" s="30" t="s">
        <v>1647</v>
      </c>
      <c r="C58" s="30">
        <v>19</v>
      </c>
      <c r="D58" s="30">
        <f>VLOOKUP(RUTA472[[#This Row],[Columna1]],Tabla14[#All],6,0)</f>
        <v>0.22041666666666668</v>
      </c>
      <c r="E58" s="30">
        <f>RUTA472[[#This Row],[Columna3]]*RUTA472[[#This Row],[Columna4]]</f>
        <v>4.1879166666666672</v>
      </c>
    </row>
    <row r="59" spans="1:5">
      <c r="A59" s="30" t="s">
        <v>1267</v>
      </c>
      <c r="B59" s="30" t="s">
        <v>1662</v>
      </c>
      <c r="C59" s="30">
        <v>18</v>
      </c>
      <c r="D59" s="30">
        <f>VLOOKUP(RUTA472[[#This Row],[Columna1]],Tabla14[#All],6,0)</f>
        <v>0.44083333333333335</v>
      </c>
      <c r="E59" s="30">
        <f>RUTA472[[#This Row],[Columna3]]*RUTA472[[#This Row],[Columna4]]</f>
        <v>7.9350000000000005</v>
      </c>
    </row>
    <row r="60" spans="1:5">
      <c r="A60" s="30" t="s">
        <v>1271</v>
      </c>
      <c r="B60" s="30" t="s">
        <v>1642</v>
      </c>
      <c r="C60" s="30">
        <v>3</v>
      </c>
      <c r="D60" s="30">
        <f>VLOOKUP(RUTA472[[#This Row],[Columna1]],Tabla14[#All],6,0)</f>
        <v>0.83750000000000002</v>
      </c>
      <c r="E60" s="30">
        <f>RUTA472[[#This Row],[Columna3]]*RUTA472[[#This Row],[Columna4]]</f>
        <v>2.5125000000000002</v>
      </c>
    </row>
    <row r="61" spans="1:5">
      <c r="A61" s="30" t="s">
        <v>1291</v>
      </c>
      <c r="B61" s="30" t="s">
        <v>1290</v>
      </c>
      <c r="C61" s="30">
        <v>6</v>
      </c>
      <c r="D61" s="30">
        <f>VLOOKUP(RUTA472[[#This Row],[Columna1]],Tabla14[#All],6,0)</f>
        <v>0.22041666666666668</v>
      </c>
      <c r="E61" s="30">
        <f>RUTA472[[#This Row],[Columna3]]*RUTA472[[#This Row],[Columna4]]</f>
        <v>1.3225</v>
      </c>
    </row>
    <row r="62" spans="1:5">
      <c r="A62" s="30" t="s">
        <v>1467</v>
      </c>
      <c r="B62" s="30" t="s">
        <v>1466</v>
      </c>
      <c r="C62" s="30">
        <v>2</v>
      </c>
      <c r="D62" s="30">
        <f>VLOOKUP(RUTA472[[#This Row],[Columna1]],Tabla14[#All],6,0)</f>
        <v>0.44062499999999999</v>
      </c>
      <c r="E62" s="30">
        <f>RUTA472[[#This Row],[Columna3]]*RUTA472[[#This Row],[Columna4]]</f>
        <v>0.88124999999999998</v>
      </c>
    </row>
    <row r="63" spans="1:5">
      <c r="A63" s="30" t="s">
        <v>1275</v>
      </c>
      <c r="B63" s="30" t="s">
        <v>2263</v>
      </c>
      <c r="C63" s="30">
        <v>13</v>
      </c>
      <c r="D63" s="30">
        <f>VLOOKUP(RUTA472[[#This Row],[Columna1]],Tabla14[#All],6,0)</f>
        <v>0.11020833333333334</v>
      </c>
      <c r="E63" s="30">
        <f>RUTA472[[#This Row],[Columna3]]*RUTA472[[#This Row],[Columna4]]</f>
        <v>1.4327083333333335</v>
      </c>
    </row>
    <row r="64" spans="1:5">
      <c r="A64" s="30" t="s">
        <v>1265</v>
      </c>
      <c r="B64" s="30" t="s">
        <v>1264</v>
      </c>
      <c r="C64" s="30">
        <v>38</v>
      </c>
      <c r="D64" s="30">
        <f>VLOOKUP(RUTA472[[#This Row],[Columna1]],Tabla14[#All],6,0)</f>
        <v>0.22041666666666668</v>
      </c>
      <c r="E64" s="30">
        <f>RUTA472[[#This Row],[Columna3]]*RUTA472[[#This Row],[Columna4]]</f>
        <v>8.3758333333333344</v>
      </c>
    </row>
    <row r="65" spans="1:5">
      <c r="A65" s="30" t="s">
        <v>1293</v>
      </c>
      <c r="B65" s="30" t="s">
        <v>1292</v>
      </c>
      <c r="C65" s="30">
        <v>6</v>
      </c>
      <c r="D65" s="30">
        <f>VLOOKUP(RUTA472[[#This Row],[Columna1]],Tabla14[#All],6,0)</f>
        <v>0.21875</v>
      </c>
      <c r="E65" s="30">
        <f>RUTA472[[#This Row],[Columna3]]*RUTA472[[#This Row],[Columna4]]</f>
        <v>1.3125</v>
      </c>
    </row>
    <row r="66" spans="1:5">
      <c r="A66" s="30" t="s">
        <v>1277</v>
      </c>
      <c r="B66" s="30" t="s">
        <v>1276</v>
      </c>
      <c r="C66" s="30">
        <v>30</v>
      </c>
      <c r="D66" s="30">
        <f>VLOOKUP(RUTA472[[#This Row],[Columna1]],Tabla14[#All],6,0)</f>
        <v>0.22041666666666668</v>
      </c>
      <c r="E66" s="30">
        <f>RUTA472[[#This Row],[Columna3]]*RUTA472[[#This Row],[Columna4]]</f>
        <v>6.6125000000000007</v>
      </c>
    </row>
    <row r="67" spans="1:5">
      <c r="A67" s="30" t="s">
        <v>1428</v>
      </c>
      <c r="B67" s="30" t="s">
        <v>1427</v>
      </c>
      <c r="C67" s="30">
        <v>6</v>
      </c>
      <c r="D67" s="30">
        <f>VLOOKUP(RUTA472[[#This Row],[Columna1]],Tabla14[#All],6,0)</f>
        <v>0.44083333333333335</v>
      </c>
      <c r="E67" s="30">
        <f>RUTA472[[#This Row],[Columna3]]*RUTA472[[#This Row],[Columna4]]</f>
        <v>2.645</v>
      </c>
    </row>
    <row r="68" spans="1:5">
      <c r="A68" s="30" t="s">
        <v>1402</v>
      </c>
      <c r="B68" s="30" t="s">
        <v>1401</v>
      </c>
      <c r="C68" s="30">
        <v>2</v>
      </c>
      <c r="D68" s="30">
        <f>VLOOKUP(RUTA472[[#This Row],[Columna1]],Tabla14[#All],6,0)</f>
        <v>8.3550000000000004</v>
      </c>
      <c r="E68" s="30">
        <f>RUTA472[[#This Row],[Columna3]]*RUTA472[[#This Row],[Columna4]]</f>
        <v>16.71</v>
      </c>
    </row>
    <row r="69" spans="1:5">
      <c r="A69" s="30" t="s">
        <v>2179</v>
      </c>
      <c r="B69" s="30" t="s">
        <v>2178</v>
      </c>
      <c r="C69" s="30">
        <v>1</v>
      </c>
      <c r="D69" s="30">
        <f>VLOOKUP(RUTA472[[#This Row],[Columna1]],Tabla14[#All],6,0)</f>
        <v>0.42333333333333334</v>
      </c>
      <c r="E69" s="30">
        <f>RUTA472[[#This Row],[Columna3]]*RUTA472[[#This Row],[Columna4]]</f>
        <v>0.42333333333333334</v>
      </c>
    </row>
    <row r="70" spans="1:5">
      <c r="A70" s="30" t="s">
        <v>671</v>
      </c>
      <c r="B70" s="30" t="s">
        <v>670</v>
      </c>
      <c r="C70" s="30">
        <v>78</v>
      </c>
      <c r="D70" s="30">
        <f>VLOOKUP(RUTA472[[#This Row],[Columna1]],Tabla14[#All],6,0)</f>
        <v>0.25</v>
      </c>
      <c r="E70" s="30">
        <f>RUTA472[[#This Row],[Columna3]]*RUTA472[[#This Row],[Columna4]]</f>
        <v>19.5</v>
      </c>
    </row>
    <row r="71" spans="1:5">
      <c r="A71" s="30" t="s">
        <v>21</v>
      </c>
      <c r="B71" s="30" t="s">
        <v>20</v>
      </c>
      <c r="C71" s="30">
        <v>7</v>
      </c>
      <c r="D71" s="30">
        <f>VLOOKUP(RUTA472[[#This Row],[Columna1]],Tabla14[#All],6,0)</f>
        <v>0.8833333333333333</v>
      </c>
      <c r="E71" s="30">
        <f>RUTA472[[#This Row],[Columna3]]*RUTA472[[#This Row],[Columna4]]</f>
        <v>6.1833333333333336</v>
      </c>
    </row>
    <row r="72" spans="1:5">
      <c r="A72" s="30" t="s">
        <v>1808</v>
      </c>
      <c r="B72" s="30" t="s">
        <v>1807</v>
      </c>
      <c r="C72" s="30">
        <v>20</v>
      </c>
      <c r="D72" s="30">
        <f>VLOOKUP(RUTA472[[#This Row],[Columna1]],Tabla14[#All],6,0)</f>
        <v>0.5</v>
      </c>
      <c r="E72" s="30">
        <f>RUTA472[[#This Row],[Columna3]]*RUTA472[[#This Row],[Columna4]]</f>
        <v>10</v>
      </c>
    </row>
    <row r="73" spans="1:5">
      <c r="A73" s="30" t="s">
        <v>706</v>
      </c>
      <c r="B73" s="30" t="s">
        <v>705</v>
      </c>
      <c r="C73" s="30">
        <v>11</v>
      </c>
      <c r="D73" s="30">
        <f>VLOOKUP(RUTA472[[#This Row],[Columna1]],Tabla14[#All],6,0)</f>
        <v>0.70833333333333337</v>
      </c>
      <c r="E73" s="30">
        <f>RUTA472[[#This Row],[Columna3]]*RUTA472[[#This Row],[Columna4]]</f>
        <v>7.791666666666667</v>
      </c>
    </row>
    <row r="74" spans="1:5">
      <c r="A74" s="30" t="s">
        <v>2068</v>
      </c>
      <c r="B74" s="30" t="s">
        <v>2067</v>
      </c>
      <c r="C74" s="30">
        <v>3</v>
      </c>
      <c r="D74" s="30">
        <f>VLOOKUP(RUTA472[[#This Row],[Columna1]],Tabla14[#All],6,0)</f>
        <v>1.1008333333333333</v>
      </c>
      <c r="E74" s="30">
        <f>RUTA472[[#This Row],[Columna3]]*RUTA472[[#This Row],[Columna4]]</f>
        <v>3.3025000000000002</v>
      </c>
    </row>
    <row r="75" spans="1:5">
      <c r="A75" s="30" t="s">
        <v>13</v>
      </c>
      <c r="B75" s="30" t="s">
        <v>12</v>
      </c>
      <c r="C75" s="30">
        <v>12</v>
      </c>
      <c r="D75" s="30">
        <f>VLOOKUP(RUTA472[[#This Row],[Columna1]],Tabla14[#All],6,0)</f>
        <v>3.1091666666666669</v>
      </c>
      <c r="E75" s="30">
        <f>RUTA472[[#This Row],[Columna3]]*RUTA472[[#This Row],[Columna4]]</f>
        <v>37.31</v>
      </c>
    </row>
    <row r="76" spans="1:5">
      <c r="A76" s="30" t="s">
        <v>109</v>
      </c>
      <c r="B76" s="30" t="s">
        <v>108</v>
      </c>
      <c r="C76" s="30">
        <v>1416</v>
      </c>
      <c r="D76" s="30">
        <f>VLOOKUP(RUTA472[[#This Row],[Columna1]],Tabla14[#All],6,0)</f>
        <v>0.44166666666666665</v>
      </c>
      <c r="E76" s="30">
        <f>RUTA472[[#This Row],[Columna3]]*RUTA472[[#This Row],[Columna4]]</f>
        <v>625.4</v>
      </c>
    </row>
    <row r="77" spans="1:5">
      <c r="A77" s="30" t="s">
        <v>107</v>
      </c>
      <c r="B77" s="30" t="s">
        <v>106</v>
      </c>
      <c r="C77" s="30">
        <v>1524</v>
      </c>
      <c r="D77" s="30">
        <f>VLOOKUP(RUTA472[[#This Row],[Columna1]],Tabla14[#All],6,0)</f>
        <v>0.44166666666666665</v>
      </c>
      <c r="E77" s="30">
        <f>RUTA472[[#This Row],[Columna3]]*RUTA472[[#This Row],[Columna4]]</f>
        <v>673.1</v>
      </c>
    </row>
    <row r="78" spans="1:5">
      <c r="A78" s="30" t="s">
        <v>482</v>
      </c>
      <c r="B78" s="30" t="s">
        <v>481</v>
      </c>
      <c r="C78" s="30">
        <v>37</v>
      </c>
      <c r="D78" s="30">
        <f>VLOOKUP(RUTA472[[#This Row],[Columna1]],Tabla14[#All],6,0)</f>
        <v>0.11493055555555556</v>
      </c>
      <c r="E78" s="30">
        <f>RUTA472[[#This Row],[Columna3]]*RUTA472[[#This Row],[Columna4]]</f>
        <v>4.2524305555555557</v>
      </c>
    </row>
    <row r="79" spans="1:5">
      <c r="A79" s="30" t="s">
        <v>480</v>
      </c>
      <c r="B79" s="30" t="s">
        <v>479</v>
      </c>
      <c r="C79" s="30">
        <v>30</v>
      </c>
      <c r="D79" s="30">
        <f>VLOOKUP(RUTA472[[#This Row],[Columna1]],Tabla14[#All],6,0)</f>
        <v>0.55208333333333337</v>
      </c>
      <c r="E79" s="30">
        <f>RUTA472[[#This Row],[Columna3]]*RUTA472[[#This Row],[Columna4]]</f>
        <v>16.5625</v>
      </c>
    </row>
    <row r="80" spans="1:5">
      <c r="A80" s="30" t="s">
        <v>100</v>
      </c>
      <c r="B80" s="30" t="s">
        <v>99</v>
      </c>
      <c r="C80" s="30">
        <v>30</v>
      </c>
      <c r="D80" s="30">
        <f>VLOOKUP(RUTA472[[#This Row],[Columna1]],Tabla14[#All],6,0)</f>
        <v>0.55208333333333337</v>
      </c>
      <c r="E80" s="30">
        <f>RUTA472[[#This Row],[Columna3]]*RUTA472[[#This Row],[Columna4]]</f>
        <v>16.5625</v>
      </c>
    </row>
    <row r="81" spans="1:5">
      <c r="A81" s="30" t="s">
        <v>500</v>
      </c>
      <c r="B81" s="30" t="s">
        <v>499</v>
      </c>
      <c r="C81" s="30">
        <v>6</v>
      </c>
      <c r="D81" s="30">
        <f>VLOOKUP(RUTA472[[#This Row],[Columna1]],Tabla14[#All],6,0)</f>
        <v>0.44166666666666665</v>
      </c>
      <c r="E81" s="30">
        <f>RUTA472[[#This Row],[Columna3]]*RUTA472[[#This Row],[Columna4]]</f>
        <v>2.65</v>
      </c>
    </row>
    <row r="82" spans="1:5">
      <c r="A82" s="30" t="s">
        <v>498</v>
      </c>
      <c r="B82" s="30" t="s">
        <v>497</v>
      </c>
      <c r="C82" s="30">
        <v>6</v>
      </c>
      <c r="D82" s="30">
        <f>VLOOKUP(RUTA472[[#This Row],[Columna1]],Tabla14[#All],6,0)</f>
        <v>0.44166666666666665</v>
      </c>
      <c r="E82" s="30">
        <f>RUTA472[[#This Row],[Columna3]]*RUTA472[[#This Row],[Columna4]]</f>
        <v>2.65</v>
      </c>
    </row>
    <row r="83" spans="1:5">
      <c r="A83" s="30" t="s">
        <v>533</v>
      </c>
      <c r="B83" s="30" t="s">
        <v>532</v>
      </c>
      <c r="C83" s="30">
        <v>39</v>
      </c>
      <c r="D83" s="30">
        <f>VLOOKUP(RUTA472[[#This Row],[Columna1]],Tabla14[#All],6,0)</f>
        <v>0.5</v>
      </c>
      <c r="E83" s="30">
        <f>RUTA472[[#This Row],[Columna3]]*RUTA472[[#This Row],[Columna4]]</f>
        <v>19.5</v>
      </c>
    </row>
    <row r="84" spans="1:5">
      <c r="A84" s="30" t="s">
        <v>119</v>
      </c>
      <c r="B84" s="30" t="s">
        <v>118</v>
      </c>
      <c r="C84" s="30">
        <v>12</v>
      </c>
      <c r="D84" s="30">
        <f>VLOOKUP(RUTA472[[#This Row],[Columna1]],Tabla14[#All],6,0)</f>
        <v>0.875</v>
      </c>
      <c r="E84" s="30">
        <f>RUTA472[[#This Row],[Columna3]]*RUTA472[[#This Row],[Columna4]]</f>
        <v>10.5</v>
      </c>
    </row>
    <row r="85" spans="1:5">
      <c r="A85" s="30" t="s">
        <v>504</v>
      </c>
      <c r="B85" s="30" t="s">
        <v>503</v>
      </c>
      <c r="C85" s="30">
        <v>6</v>
      </c>
      <c r="D85" s="30">
        <f>VLOOKUP(RUTA472[[#This Row],[Columna1]],Tabla14[#All],6,0)</f>
        <v>2.2083333333333335</v>
      </c>
      <c r="E85" s="30">
        <f>RUTA472[[#This Row],[Columna3]]*RUTA472[[#This Row],[Columna4]]</f>
        <v>13.25</v>
      </c>
    </row>
    <row r="86" spans="1:5">
      <c r="A86" s="30" t="s">
        <v>103</v>
      </c>
      <c r="B86" s="30" t="s">
        <v>1147</v>
      </c>
      <c r="C86" s="30">
        <v>108</v>
      </c>
      <c r="D86" s="30">
        <f>VLOOKUP(RUTA472[[#This Row],[Columna1]],Tabla14[#All],6,0)</f>
        <v>0.72916666666666663</v>
      </c>
      <c r="E86" s="30">
        <f>RUTA472[[#This Row],[Columna3]]*RUTA472[[#This Row],[Columna4]]</f>
        <v>78.75</v>
      </c>
    </row>
    <row r="87" spans="1:5">
      <c r="A87" s="30" t="s">
        <v>535</v>
      </c>
      <c r="B87" s="30" t="s">
        <v>534</v>
      </c>
      <c r="C87" s="30">
        <v>6</v>
      </c>
      <c r="D87" s="30">
        <f>VLOOKUP(RUTA472[[#This Row],[Columna1]],Tabla14[#All],6,0)</f>
        <v>1.75</v>
      </c>
      <c r="E87" s="30">
        <f>RUTA472[[#This Row],[Columna3]]*RUTA472[[#This Row],[Columna4]]</f>
        <v>10.5</v>
      </c>
    </row>
    <row r="88" spans="1:5">
      <c r="A88" s="30" t="s">
        <v>123</v>
      </c>
      <c r="B88" s="30" t="s">
        <v>122</v>
      </c>
      <c r="C88" s="30">
        <v>24</v>
      </c>
      <c r="D88" s="30">
        <f>VLOOKUP(RUTA472[[#This Row],[Columna1]],Tabla14[#All],6,0)</f>
        <v>0.44166666666666665</v>
      </c>
      <c r="E88" s="30">
        <f>RUTA472[[#This Row],[Columna3]]*RUTA472[[#This Row],[Columna4]]</f>
        <v>10.6</v>
      </c>
    </row>
    <row r="89" spans="1:5">
      <c r="A89" s="30" t="s">
        <v>102</v>
      </c>
      <c r="B89" s="30" t="s">
        <v>101</v>
      </c>
      <c r="C89" s="30">
        <v>36</v>
      </c>
      <c r="D89" s="30">
        <f>VLOOKUP(RUTA472[[#This Row],[Columna1]],Tabla14[#All],6,0)</f>
        <v>0.72916666666666663</v>
      </c>
      <c r="E89" s="30">
        <f>RUTA472[[#This Row],[Columna3]]*RUTA472[[#This Row],[Columna4]]</f>
        <v>26.25</v>
      </c>
    </row>
    <row r="90" spans="1:5">
      <c r="A90" s="30" t="s">
        <v>510</v>
      </c>
      <c r="B90" s="30" t="s">
        <v>1237</v>
      </c>
      <c r="C90" s="30">
        <v>36</v>
      </c>
      <c r="D90" s="30">
        <f>VLOOKUP(RUTA472[[#This Row],[Columna1]],Tabla14[#All],6,0)</f>
        <v>0.72916666666666663</v>
      </c>
      <c r="E90" s="30">
        <f>RUTA472[[#This Row],[Columna3]]*RUTA472[[#This Row],[Columna4]]</f>
        <v>26.25</v>
      </c>
    </row>
    <row r="91" spans="1:5">
      <c r="A91" s="30" t="s">
        <v>92</v>
      </c>
      <c r="B91" s="30" t="s">
        <v>91</v>
      </c>
      <c r="C91" s="30">
        <v>6</v>
      </c>
      <c r="D91" s="30">
        <f>VLOOKUP(RUTA472[[#This Row],[Columna1]],Tabla14[#All],6,0)</f>
        <v>5.5</v>
      </c>
      <c r="E91" s="30">
        <f>RUTA472[[#This Row],[Columna3]]*RUTA472[[#This Row],[Columna4]]</f>
        <v>33</v>
      </c>
    </row>
    <row r="92" spans="1:5">
      <c r="A92" s="30" t="s">
        <v>517</v>
      </c>
      <c r="B92" s="30" t="s">
        <v>516</v>
      </c>
      <c r="C92" s="30">
        <v>1</v>
      </c>
      <c r="D92" s="30">
        <f>VLOOKUP(RUTA472[[#This Row],[Columna1]],Tabla14[#All],6,0)</f>
        <v>0.96875</v>
      </c>
      <c r="E92" s="30">
        <f>RUTA472[[#This Row],[Columna3]]*RUTA472[[#This Row],[Columna4]]</f>
        <v>0.96875</v>
      </c>
    </row>
    <row r="93" spans="1:5">
      <c r="A93" s="30" t="s">
        <v>2228</v>
      </c>
      <c r="B93" s="30" t="s">
        <v>2227</v>
      </c>
      <c r="C93" s="30">
        <v>472</v>
      </c>
      <c r="D93" s="30">
        <f>VLOOKUP(RUTA472[[#This Row],[Columna1]],Tabla14[#All],6,0)</f>
        <v>0.33958333333333335</v>
      </c>
      <c r="E93" s="30">
        <f>RUTA472[[#This Row],[Columna3]]*RUTA472[[#This Row],[Columna4]]</f>
        <v>160.28333333333333</v>
      </c>
    </row>
    <row r="94" spans="1:5">
      <c r="A94" s="30" t="s">
        <v>1716</v>
      </c>
      <c r="B94" s="30" t="s">
        <v>1715</v>
      </c>
      <c r="C94" s="30">
        <v>23</v>
      </c>
      <c r="D94" s="30">
        <f>VLOOKUP(RUTA472[[#This Row],[Columna1]],Tabla14[#All],6,0)</f>
        <v>0.25</v>
      </c>
      <c r="E94" s="30">
        <f>RUTA472[[#This Row],[Columna3]]*RUTA472[[#This Row],[Columna4]]</f>
        <v>5.75</v>
      </c>
    </row>
    <row r="95" spans="1:5">
      <c r="A95" s="30" t="s">
        <v>531</v>
      </c>
      <c r="B95" s="30" t="s">
        <v>530</v>
      </c>
      <c r="C95" s="30">
        <v>18</v>
      </c>
      <c r="D95" s="30">
        <f>VLOOKUP(RUTA472[[#This Row],[Columna1]],Tabla14[#All],6,0)</f>
        <v>1.8125</v>
      </c>
      <c r="E95" s="30">
        <f>RUTA472[[#This Row],[Columna3]]*RUTA472[[#This Row],[Columna4]]</f>
        <v>32.625</v>
      </c>
    </row>
    <row r="96" spans="1:5">
      <c r="A96" s="30" t="s">
        <v>115</v>
      </c>
      <c r="B96" s="30" t="s">
        <v>114</v>
      </c>
      <c r="C96" s="30">
        <v>81</v>
      </c>
      <c r="D96" s="30">
        <f>VLOOKUP(RUTA472[[#This Row],[Columna1]],Tabla14[#All],6,0)</f>
        <v>0.65625</v>
      </c>
      <c r="E96" s="30">
        <f>RUTA472[[#This Row],[Columna3]]*RUTA472[[#This Row],[Columna4]]</f>
        <v>53.15625</v>
      </c>
    </row>
    <row r="97" spans="1:5">
      <c r="A97" s="30" t="s">
        <v>529</v>
      </c>
      <c r="B97" s="30" t="s">
        <v>528</v>
      </c>
      <c r="C97" s="30">
        <v>182</v>
      </c>
      <c r="D97" s="30">
        <f>VLOOKUP(RUTA472[[#This Row],[Columna1]],Tabla14[#All],6,0)</f>
        <v>0.34375</v>
      </c>
      <c r="E97" s="30">
        <f>RUTA472[[#This Row],[Columna3]]*RUTA472[[#This Row],[Columna4]]</f>
        <v>62.5625</v>
      </c>
    </row>
    <row r="98" spans="1:5">
      <c r="A98" s="30" t="s">
        <v>94</v>
      </c>
      <c r="B98" s="30" t="s">
        <v>93</v>
      </c>
      <c r="C98" s="30">
        <v>13</v>
      </c>
      <c r="D98" s="30">
        <f>VLOOKUP(RUTA472[[#This Row],[Columna1]],Tabla14[#All],6,0)</f>
        <v>0.375</v>
      </c>
      <c r="E98" s="30">
        <f>RUTA472[[#This Row],[Columna3]]*RUTA472[[#This Row],[Columna4]]</f>
        <v>4.875</v>
      </c>
    </row>
    <row r="99" spans="1:5">
      <c r="A99" s="30" t="s">
        <v>508</v>
      </c>
      <c r="B99" s="30" t="s">
        <v>507</v>
      </c>
      <c r="C99" s="30">
        <v>12</v>
      </c>
      <c r="D99" s="30">
        <f>VLOOKUP(RUTA472[[#This Row],[Columna1]],Tabla14[#All],6,0)</f>
        <v>0.72916666666666663</v>
      </c>
      <c r="E99" s="30">
        <f>RUTA472[[#This Row],[Columna3]]*RUTA472[[#This Row],[Columna4]]</f>
        <v>8.75</v>
      </c>
    </row>
    <row r="100" spans="1:5">
      <c r="A100" s="30" t="s">
        <v>506</v>
      </c>
      <c r="B100" s="30" t="s">
        <v>505</v>
      </c>
      <c r="C100" s="30">
        <v>36</v>
      </c>
      <c r="D100" s="30">
        <f>VLOOKUP(RUTA472[[#This Row],[Columna1]],Tabla14[#All],6,0)</f>
        <v>0.72916666666666663</v>
      </c>
      <c r="E100" s="30">
        <f>RUTA472[[#This Row],[Columna3]]*RUTA472[[#This Row],[Columna4]]</f>
        <v>26.25</v>
      </c>
    </row>
    <row r="101" spans="1:5">
      <c r="A101" s="30" t="s">
        <v>113</v>
      </c>
      <c r="B101" s="30" t="s">
        <v>112</v>
      </c>
      <c r="C101" s="30">
        <v>14</v>
      </c>
      <c r="D101" s="30">
        <f>VLOOKUP(RUTA472[[#This Row],[Columna1]],Tabla14[#All],6,0)</f>
        <v>0.9375</v>
      </c>
      <c r="E101" s="30">
        <f>RUTA472[[#This Row],[Columna3]]*RUTA472[[#This Row],[Columna4]]</f>
        <v>13.125</v>
      </c>
    </row>
    <row r="102" spans="1:5">
      <c r="A102" s="30" t="s">
        <v>419</v>
      </c>
      <c r="B102" s="30" t="s">
        <v>418</v>
      </c>
      <c r="C102" s="30">
        <v>3</v>
      </c>
      <c r="D102" s="30">
        <f>VLOOKUP(RUTA472[[#This Row],[Columna1]],Tabla14[#All],6,0)</f>
        <v>0.16</v>
      </c>
      <c r="E102" s="30">
        <f>RUTA472[[#This Row],[Columna3]]*RUTA472[[#This Row],[Columna4]]</f>
        <v>0.48</v>
      </c>
    </row>
    <row r="103" spans="1:5">
      <c r="A103" s="30" t="s">
        <v>403</v>
      </c>
      <c r="B103" s="30" t="s">
        <v>402</v>
      </c>
      <c r="C103" s="30">
        <v>1</v>
      </c>
      <c r="D103" s="30">
        <f>VLOOKUP(RUTA472[[#This Row],[Columna1]],Tabla14[#All],6,0)</f>
        <v>2.1166666666666667</v>
      </c>
      <c r="E103" s="30">
        <f>RUTA472[[#This Row],[Columna3]]*RUTA472[[#This Row],[Columna4]]</f>
        <v>2.1166666666666667</v>
      </c>
    </row>
    <row r="104" spans="1:5">
      <c r="A104" s="30" t="s">
        <v>401</v>
      </c>
      <c r="B104" s="30" t="s">
        <v>400</v>
      </c>
      <c r="C104" s="30">
        <v>9</v>
      </c>
      <c r="D104" s="30">
        <f>VLOOKUP(RUTA472[[#This Row],[Columna1]],Tabla14[#All],6,0)</f>
        <v>2.1166666666666667</v>
      </c>
      <c r="E104" s="30">
        <f>RUTA472[[#This Row],[Columna3]]*RUTA472[[#This Row],[Columna4]]</f>
        <v>19.05</v>
      </c>
    </row>
    <row r="105" spans="1:5">
      <c r="A105" s="30" t="s">
        <v>359</v>
      </c>
      <c r="B105" s="30" t="s">
        <v>358</v>
      </c>
      <c r="C105" s="30">
        <v>2</v>
      </c>
      <c r="D105" s="30">
        <f>VLOOKUP(RUTA472[[#This Row],[Columna1]],Tabla14[#All],6,0)</f>
        <v>2.1166666666666667</v>
      </c>
      <c r="E105" s="30">
        <f>RUTA472[[#This Row],[Columna3]]*RUTA472[[#This Row],[Columna4]]</f>
        <v>4.2333333333333334</v>
      </c>
    </row>
    <row r="106" spans="1:5">
      <c r="A106" s="30" t="s">
        <v>1081</v>
      </c>
      <c r="B106" s="30" t="s">
        <v>1080</v>
      </c>
      <c r="C106" s="30">
        <v>3</v>
      </c>
      <c r="D106" s="30">
        <f>VLOOKUP(RUTA472[[#This Row],[Columna1]],Tabla14[#All],6,0)</f>
        <v>2.1166666666666667</v>
      </c>
      <c r="E106" s="30">
        <f>RUTA472[[#This Row],[Columna3]]*RUTA472[[#This Row],[Columna4]]</f>
        <v>6.35</v>
      </c>
    </row>
    <row r="107" spans="1:5">
      <c r="A107" s="30" t="s">
        <v>1679</v>
      </c>
      <c r="B107" s="30" t="s">
        <v>2201</v>
      </c>
      <c r="C107" s="30">
        <v>3</v>
      </c>
      <c r="D107" s="30">
        <f>VLOOKUP(RUTA472[[#This Row],[Columna1]],Tabla14[#All],6,0)</f>
        <v>0.33041666666666664</v>
      </c>
      <c r="E107" s="30">
        <f>RUTA472[[#This Row],[Columna3]]*RUTA472[[#This Row],[Columna4]]</f>
        <v>0.99124999999999996</v>
      </c>
    </row>
    <row r="108" spans="1:5">
      <c r="A108" s="30" t="s">
        <v>31</v>
      </c>
      <c r="B108" s="30" t="s">
        <v>30</v>
      </c>
      <c r="C108" s="30">
        <v>6</v>
      </c>
      <c r="D108" s="30">
        <f>VLOOKUP(RUTA472[[#This Row],[Columna1]],Tabla14[#All],6,0)</f>
        <v>0.11</v>
      </c>
      <c r="E108" s="30">
        <f>RUTA472[[#This Row],[Columna3]]*RUTA472[[#This Row],[Columna4]]</f>
        <v>0.66</v>
      </c>
    </row>
    <row r="109" spans="1:5">
      <c r="A109" s="30" t="s">
        <v>395</v>
      </c>
      <c r="B109" s="30" t="s">
        <v>2237</v>
      </c>
      <c r="C109" s="30">
        <v>24</v>
      </c>
      <c r="D109" s="30">
        <f>VLOOKUP(RUTA472[[#This Row],[Columna1]],Tabla14[#All],6,0)</f>
        <v>0.47499999999999998</v>
      </c>
      <c r="E109" s="30">
        <f>RUTA472[[#This Row],[Columna3]]*RUTA472[[#This Row],[Columna4]]</f>
        <v>11.399999999999999</v>
      </c>
    </row>
    <row r="110" spans="1:5">
      <c r="A110" s="30" t="s">
        <v>5</v>
      </c>
      <c r="B110" s="30" t="s">
        <v>4</v>
      </c>
      <c r="C110" s="30">
        <v>2</v>
      </c>
      <c r="D110" s="30">
        <f>VLOOKUP(RUTA472[[#This Row],[Columna1]],Tabla14[#All],6,0)</f>
        <v>1.1041666666666667</v>
      </c>
      <c r="E110" s="30">
        <f>RUTA472[[#This Row],[Columna3]]*RUTA472[[#This Row],[Columna4]]</f>
        <v>2.2083333333333335</v>
      </c>
    </row>
    <row r="111" spans="1:5">
      <c r="A111" s="30" t="s">
        <v>339</v>
      </c>
      <c r="B111" s="30" t="s">
        <v>338</v>
      </c>
      <c r="C111" s="30">
        <v>6</v>
      </c>
      <c r="D111" s="30">
        <f>VLOOKUP(RUTA472[[#This Row],[Columna1]],Tabla14[#All],6,0)</f>
        <v>1.1041666666666667</v>
      </c>
      <c r="E111" s="30">
        <f>RUTA472[[#This Row],[Columna3]]*RUTA472[[#This Row],[Columna4]]</f>
        <v>6.625</v>
      </c>
    </row>
    <row r="112" spans="1:5">
      <c r="A112" s="30" t="s">
        <v>7</v>
      </c>
      <c r="B112" s="30" t="s">
        <v>6</v>
      </c>
      <c r="C112" s="30">
        <v>8</v>
      </c>
      <c r="D112" s="30">
        <f>VLOOKUP(RUTA472[[#This Row],[Columna1]],Tabla14[#All],6,0)</f>
        <v>1.1041666666666667</v>
      </c>
      <c r="E112" s="30">
        <f>RUTA472[[#This Row],[Columna3]]*RUTA472[[#This Row],[Columna4]]</f>
        <v>8.8333333333333339</v>
      </c>
    </row>
    <row r="113" spans="1:5">
      <c r="A113" s="30" t="s">
        <v>343</v>
      </c>
      <c r="B113" s="30" t="s">
        <v>342</v>
      </c>
      <c r="C113" s="30">
        <v>8</v>
      </c>
      <c r="D113" s="30">
        <f>VLOOKUP(RUTA472[[#This Row],[Columna1]],Tabla14[#All],6,0)</f>
        <v>1.1041666666666667</v>
      </c>
      <c r="E113" s="30">
        <f>RUTA472[[#This Row],[Columna3]]*RUTA472[[#This Row],[Columna4]]</f>
        <v>8.8333333333333339</v>
      </c>
    </row>
    <row r="114" spans="1:5">
      <c r="A114" s="30" t="s">
        <v>3</v>
      </c>
      <c r="B114" s="30" t="s">
        <v>2</v>
      </c>
      <c r="C114" s="30">
        <v>6</v>
      </c>
      <c r="D114" s="30">
        <f>VLOOKUP(RUTA472[[#This Row],[Columna1]],Tabla14[#All],6,0)</f>
        <v>1.1041666666666667</v>
      </c>
      <c r="E114" s="30">
        <f>RUTA472[[#This Row],[Columna3]]*RUTA472[[#This Row],[Columna4]]</f>
        <v>6.625</v>
      </c>
    </row>
    <row r="115" spans="1:5">
      <c r="A115" s="30" t="s">
        <v>825</v>
      </c>
      <c r="B115" s="30" t="s">
        <v>824</v>
      </c>
      <c r="C115" s="30">
        <v>2</v>
      </c>
      <c r="D115" s="30">
        <f>VLOOKUP(RUTA472[[#This Row],[Columna1]],Tabla14[#All],6,0)</f>
        <v>0.37040000000000001</v>
      </c>
      <c r="E115" s="30">
        <f>RUTA472[[#This Row],[Columna3]]*RUTA472[[#This Row],[Columna4]]</f>
        <v>0.74080000000000001</v>
      </c>
    </row>
    <row r="116" spans="1:5">
      <c r="A116" s="30" t="s">
        <v>1738</v>
      </c>
      <c r="B116" s="30" t="s">
        <v>1737</v>
      </c>
      <c r="C116" s="30">
        <v>2</v>
      </c>
      <c r="D116" s="30">
        <f>VLOOKUP(RUTA472[[#This Row],[Columna1]],Tabla14[#All],6,0)</f>
        <v>0.6</v>
      </c>
      <c r="E116" s="30">
        <f>RUTA472[[#This Row],[Columna3]]*RUTA472[[#This Row],[Columna4]]</f>
        <v>1.2</v>
      </c>
    </row>
    <row r="117" spans="1:5">
      <c r="A117" s="30" t="s">
        <v>1710</v>
      </c>
      <c r="B117" s="30" t="s">
        <v>1709</v>
      </c>
      <c r="C117" s="30">
        <v>1</v>
      </c>
      <c r="D117" s="30">
        <f>VLOOKUP(RUTA472[[#This Row],[Columna1]],Tabla14[#All],6,0)</f>
        <v>0.6</v>
      </c>
      <c r="E117" s="30">
        <f>RUTA472[[#This Row],[Columna3]]*RUTA472[[#This Row],[Columna4]]</f>
        <v>0.6</v>
      </c>
    </row>
    <row r="118" spans="1:5">
      <c r="A118" s="30" t="s">
        <v>1722</v>
      </c>
      <c r="B118" s="30" t="s">
        <v>1721</v>
      </c>
      <c r="C118" s="30">
        <v>1</v>
      </c>
      <c r="D118" s="30">
        <f>VLOOKUP(RUTA472[[#This Row],[Columna1]],Tabla14[#All],6,0)</f>
        <v>0.6</v>
      </c>
      <c r="E118" s="30">
        <f>RUTA472[[#This Row],[Columna3]]*RUTA472[[#This Row],[Columna4]]</f>
        <v>0.6</v>
      </c>
    </row>
    <row r="119" spans="1:5">
      <c r="A119" s="30" t="s">
        <v>1740</v>
      </c>
      <c r="B119" s="30" t="s">
        <v>1739</v>
      </c>
      <c r="C119" s="30">
        <v>1</v>
      </c>
      <c r="D119" s="30">
        <f>VLOOKUP(RUTA472[[#This Row],[Columna1]],Tabla14[#All],6,0)</f>
        <v>0.6</v>
      </c>
      <c r="E119" s="30">
        <f>RUTA472[[#This Row],[Columna3]]*RUTA472[[#This Row],[Columna4]]</f>
        <v>0.6</v>
      </c>
    </row>
    <row r="120" spans="1:5">
      <c r="A120" s="30" t="s">
        <v>1706</v>
      </c>
      <c r="B120" s="30" t="s">
        <v>1705</v>
      </c>
      <c r="C120" s="30">
        <v>1</v>
      </c>
      <c r="D120" s="30">
        <f>VLOOKUP(RUTA472[[#This Row],[Columna1]],Tabla14[#All],6,0)</f>
        <v>0.6</v>
      </c>
      <c r="E120" s="30">
        <f>RUTA472[[#This Row],[Columna3]]*RUTA472[[#This Row],[Columna4]]</f>
        <v>0.6</v>
      </c>
    </row>
    <row r="121" spans="1:5">
      <c r="A121" s="30" t="s">
        <v>1209</v>
      </c>
      <c r="B121" s="30" t="s">
        <v>295</v>
      </c>
      <c r="C121" s="30">
        <v>1</v>
      </c>
      <c r="D121" s="30">
        <f>VLOOKUP(RUTA472[[#This Row],[Columna1]],Tabla14[#All],6,0)</f>
        <v>0.9277777777777777</v>
      </c>
      <c r="E121" s="30">
        <f>RUTA472[[#This Row],[Columna3]]*RUTA472[[#This Row],[Columna4]]</f>
        <v>0.9277777777777777</v>
      </c>
    </row>
    <row r="122" spans="1:5">
      <c r="A122" s="30" t="s">
        <v>2216</v>
      </c>
      <c r="B122" s="30" t="s">
        <v>2215</v>
      </c>
      <c r="C122" s="30">
        <v>6</v>
      </c>
      <c r="D122" s="30">
        <f>VLOOKUP(RUTA472[[#This Row],[Columna1]],Tabla14[#All],6,0)</f>
        <v>0.356875</v>
      </c>
      <c r="E122" s="30">
        <f>RUTA472[[#This Row],[Columna3]]*RUTA472[[#This Row],[Columna4]]</f>
        <v>2.1412499999999999</v>
      </c>
    </row>
    <row r="123" spans="1:5">
      <c r="A123" s="30" t="s">
        <v>1935</v>
      </c>
      <c r="B123" s="30" t="s">
        <v>1936</v>
      </c>
      <c r="C123" s="30">
        <v>12</v>
      </c>
      <c r="D123" s="30">
        <f>VLOOKUP(RUTA472[[#This Row],[Columna1]],Tabla14[#All],6,0)</f>
        <v>1.1008333333333333</v>
      </c>
      <c r="E123" s="30">
        <f>RUTA472[[#This Row],[Columna3]]*RUTA472[[#This Row],[Columna4]]</f>
        <v>13.21</v>
      </c>
    </row>
    <row r="124" spans="1:5">
      <c r="A124" s="30" t="s">
        <v>1330</v>
      </c>
      <c r="B124" s="30" t="s">
        <v>2221</v>
      </c>
      <c r="C124" s="30">
        <v>2</v>
      </c>
      <c r="D124" s="30">
        <f>VLOOKUP(RUTA472[[#This Row],[Columna1]],Tabla14[#All],6,0)</f>
        <v>0.62</v>
      </c>
      <c r="E124" s="30">
        <f>RUTA472[[#This Row],[Columna3]]*RUTA472[[#This Row],[Columna4]]</f>
        <v>1.24</v>
      </c>
    </row>
    <row r="125" spans="1:5">
      <c r="A125" s="30" t="s">
        <v>1364</v>
      </c>
      <c r="B125" s="30" t="s">
        <v>1736</v>
      </c>
      <c r="C125" s="30">
        <v>5</v>
      </c>
      <c r="D125" s="30">
        <f>VLOOKUP(RUTA472[[#This Row],[Columna1]],Tabla14[#All],6,0)</f>
        <v>0.64</v>
      </c>
      <c r="E125" s="30">
        <f>RUTA472[[#This Row],[Columna3]]*RUTA472[[#This Row],[Columna4]]</f>
        <v>3.2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F8E37-7E98-4E83-AE07-BA20E027BC18}">
  <dimension ref="A1:E147"/>
  <sheetViews>
    <sheetView workbookViewId="0"/>
  </sheetViews>
  <sheetFormatPr baseColWidth="10" defaultRowHeight="14.4"/>
  <cols>
    <col min="1" max="1" width="11.5546875" style="30"/>
    <col min="2" max="2" width="4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30</v>
      </c>
      <c r="D2" s="30">
        <f>VLOOKUP(RUTA473[[#This Row],[Columna1]],Tabla14[#All],6,0)</f>
        <v>0.88200000000000001</v>
      </c>
      <c r="E2" s="30">
        <f>RUTA473[[#This Row],[Columna3]]*RUTA473[[#This Row],[Columna4]]</f>
        <v>26.46</v>
      </c>
    </row>
    <row r="3" spans="1:5">
      <c r="A3" s="30">
        <v>19640304</v>
      </c>
      <c r="B3" s="30" t="s">
        <v>317</v>
      </c>
      <c r="C3" s="30">
        <v>1</v>
      </c>
      <c r="D3" s="30">
        <f>VLOOKUP(RUTA473[[#This Row],[Columna1]],Tabla14[#All],6,0)</f>
        <v>0.79400000000000004</v>
      </c>
      <c r="E3" s="30">
        <f>RUTA473[[#This Row],[Columna3]]*RUTA473[[#This Row],[Columna4]]</f>
        <v>0.79400000000000004</v>
      </c>
    </row>
    <row r="4" spans="1:5">
      <c r="A4" s="30">
        <v>19640306</v>
      </c>
      <c r="B4" s="30" t="s">
        <v>315</v>
      </c>
      <c r="C4" s="30">
        <v>1</v>
      </c>
      <c r="D4" s="30">
        <f>VLOOKUP(RUTA473[[#This Row],[Columna1]],Tabla14[#All],6,0)</f>
        <v>0.79400000000000004</v>
      </c>
      <c r="E4" s="30">
        <f>RUTA473[[#This Row],[Columna3]]*RUTA473[[#This Row],[Columna4]]</f>
        <v>0.79400000000000004</v>
      </c>
    </row>
    <row r="5" spans="1:5">
      <c r="A5" s="30">
        <v>400000127</v>
      </c>
      <c r="B5" s="30" t="s">
        <v>585</v>
      </c>
      <c r="C5" s="30">
        <v>5</v>
      </c>
      <c r="D5" s="30">
        <f>VLOOKUP(RUTA473[[#This Row],[Columna1]],Tabla14[#All],6,0)</f>
        <v>1.5449999999999999</v>
      </c>
      <c r="E5" s="30">
        <f>RUTA473[[#This Row],[Columna3]]*RUTA473[[#This Row],[Columna4]]</f>
        <v>7.7249999999999996</v>
      </c>
    </row>
    <row r="6" spans="1:5">
      <c r="A6" s="30">
        <v>400000412</v>
      </c>
      <c r="B6" s="30" t="s">
        <v>581</v>
      </c>
      <c r="C6" s="30">
        <v>1</v>
      </c>
      <c r="D6" s="30">
        <f>VLOOKUP(RUTA473[[#This Row],[Columna1]],Tabla14[#All],6,0)</f>
        <v>0.3</v>
      </c>
      <c r="E6" s="30">
        <f>RUTA473[[#This Row],[Columna3]]*RUTA473[[#This Row],[Columna4]]</f>
        <v>0.3</v>
      </c>
    </row>
    <row r="7" spans="1:5">
      <c r="A7" s="30">
        <v>50491102</v>
      </c>
      <c r="B7" s="30" t="s">
        <v>1898</v>
      </c>
      <c r="C7" s="30">
        <v>1</v>
      </c>
      <c r="D7" s="30">
        <f>VLOOKUP(RUTA473[[#This Row],[Columna1]],Tabla14[#All],6,0)</f>
        <v>2.65</v>
      </c>
      <c r="E7" s="30">
        <f>RUTA473[[#This Row],[Columna3]]*RUTA473[[#This Row],[Columna4]]</f>
        <v>2.65</v>
      </c>
    </row>
    <row r="8" spans="1:5">
      <c r="A8" s="30">
        <v>50491131</v>
      </c>
      <c r="B8" s="30" t="s">
        <v>1759</v>
      </c>
      <c r="C8" s="30">
        <v>3</v>
      </c>
      <c r="D8" s="30">
        <f>VLOOKUP(RUTA473[[#This Row],[Columna1]],Tabla14[#All],6,0)</f>
        <v>3.2916666666666665</v>
      </c>
      <c r="E8" s="30">
        <f>RUTA473[[#This Row],[Columna3]]*RUTA473[[#This Row],[Columna4]]</f>
        <v>9.875</v>
      </c>
    </row>
    <row r="9" spans="1:5">
      <c r="A9" s="30">
        <v>50491132</v>
      </c>
      <c r="B9" s="30" t="s">
        <v>1762</v>
      </c>
      <c r="C9" s="30">
        <v>3</v>
      </c>
      <c r="D9" s="30">
        <f>VLOOKUP(RUTA473[[#This Row],[Columna1]],Tabla14[#All],6,0)</f>
        <v>3.3049999999999997</v>
      </c>
      <c r="E9" s="30">
        <f>RUTA473[[#This Row],[Columna3]]*RUTA473[[#This Row],[Columna4]]</f>
        <v>9.9149999999999991</v>
      </c>
    </row>
    <row r="10" spans="1:5">
      <c r="A10" s="30">
        <v>50491133</v>
      </c>
      <c r="B10" s="30" t="s">
        <v>1761</v>
      </c>
      <c r="C10" s="30">
        <v>2</v>
      </c>
      <c r="D10" s="30">
        <f>VLOOKUP(RUTA473[[#This Row],[Columna1]],Tabla14[#All],6,0)</f>
        <v>3.3049999999999997</v>
      </c>
      <c r="E10" s="30">
        <f>RUTA473[[#This Row],[Columna3]]*RUTA473[[#This Row],[Columna4]]</f>
        <v>6.6099999999999994</v>
      </c>
    </row>
    <row r="11" spans="1:5">
      <c r="A11" s="30">
        <v>52480086</v>
      </c>
      <c r="B11" s="30" t="s">
        <v>1939</v>
      </c>
      <c r="C11" s="30">
        <v>1</v>
      </c>
      <c r="D11" s="30">
        <f>VLOOKUP(RUTA473[[#This Row],[Columna1]],Tabla14[#All],6,0)</f>
        <v>0.23805555555555558</v>
      </c>
      <c r="E11" s="30">
        <f>RUTA473[[#This Row],[Columna3]]*RUTA473[[#This Row],[Columna4]]</f>
        <v>0.23805555555555558</v>
      </c>
    </row>
    <row r="12" spans="1:5">
      <c r="A12" s="30">
        <v>5460400</v>
      </c>
      <c r="B12" s="30" t="s">
        <v>2133</v>
      </c>
      <c r="C12" s="30">
        <v>36</v>
      </c>
      <c r="D12" s="30">
        <f>VLOOKUP(RUTA473[[#This Row],[Columna1]],Tabla14[#All],6,0)</f>
        <v>0.75</v>
      </c>
      <c r="E12" s="30">
        <f>RUTA473[[#This Row],[Columna3]]*RUTA473[[#This Row],[Columna4]]</f>
        <v>27</v>
      </c>
    </row>
    <row r="13" spans="1:5">
      <c r="A13" s="30">
        <v>574983</v>
      </c>
      <c r="B13" s="30" t="s">
        <v>2274</v>
      </c>
      <c r="C13" s="30">
        <v>14</v>
      </c>
      <c r="D13" s="30">
        <f>VLOOKUP(RUTA473[[#This Row],[Columna1]],Tabla14[#All],6,0)</f>
        <v>0.22083333333333333</v>
      </c>
      <c r="E13" s="30">
        <f>RUTA473[[#This Row],[Columna3]]*RUTA473[[#This Row],[Columna4]]</f>
        <v>3.0916666666666668</v>
      </c>
    </row>
    <row r="14" spans="1:5">
      <c r="A14" s="30">
        <v>576003</v>
      </c>
      <c r="B14" s="30" t="s">
        <v>2084</v>
      </c>
      <c r="C14" s="30">
        <v>15</v>
      </c>
      <c r="D14" s="30">
        <f>VLOOKUP(RUTA473[[#This Row],[Columna1]],Tabla14[#All],6,0)</f>
        <v>0.11944444444444444</v>
      </c>
      <c r="E14" s="30">
        <f>RUTA473[[#This Row],[Columna3]]*RUTA473[[#This Row],[Columna4]]</f>
        <v>1.7916666666666665</v>
      </c>
    </row>
    <row r="15" spans="1:5">
      <c r="A15" s="30">
        <v>579235</v>
      </c>
      <c r="B15" s="30" t="s">
        <v>69</v>
      </c>
      <c r="C15" s="30">
        <v>1</v>
      </c>
      <c r="D15" s="30">
        <f>VLOOKUP(RUTA473[[#This Row],[Columna1]],Tabla14[#All],6,0)</f>
        <v>0.19583333333333333</v>
      </c>
      <c r="E15" s="30">
        <f>RUTA473[[#This Row],[Columna3]]*RUTA473[[#This Row],[Columna4]]</f>
        <v>0.19583333333333333</v>
      </c>
    </row>
    <row r="16" spans="1:5">
      <c r="A16" s="30">
        <v>60000094</v>
      </c>
      <c r="B16" s="30" t="s">
        <v>1387</v>
      </c>
      <c r="C16" s="30">
        <v>245</v>
      </c>
      <c r="D16" s="30">
        <f>VLOOKUP(RUTA473[[#This Row],[Columna1]],Tabla14[#All],6,0)</f>
        <v>1.76</v>
      </c>
      <c r="E16" s="30">
        <f>RUTA473[[#This Row],[Columna3]]*RUTA473[[#This Row],[Columna4]]</f>
        <v>431.2</v>
      </c>
    </row>
    <row r="17" spans="1:5">
      <c r="A17" s="30">
        <v>60000133</v>
      </c>
      <c r="B17" s="30" t="s">
        <v>1050</v>
      </c>
      <c r="C17" s="30">
        <v>7</v>
      </c>
      <c r="D17" s="30">
        <f>VLOOKUP(RUTA473[[#This Row],[Columna1]],Tabla14[#All],6,0)</f>
        <v>50</v>
      </c>
      <c r="E17" s="30">
        <f>RUTA473[[#This Row],[Columna3]]*RUTA473[[#This Row],[Columna4]]</f>
        <v>350</v>
      </c>
    </row>
    <row r="18" spans="1:5">
      <c r="A18" s="30">
        <v>60000205</v>
      </c>
      <c r="B18" s="30" t="s">
        <v>141</v>
      </c>
      <c r="C18" s="30">
        <v>40</v>
      </c>
      <c r="D18" s="30">
        <f>VLOOKUP(RUTA473[[#This Row],[Columna1]],Tabla14[#All],6,0)</f>
        <v>0.88000000000000012</v>
      </c>
      <c r="E18" s="30">
        <f>RUTA473[[#This Row],[Columna3]]*RUTA473[[#This Row],[Columna4]]</f>
        <v>35.200000000000003</v>
      </c>
    </row>
    <row r="19" spans="1:5">
      <c r="A19" s="30">
        <v>60000209</v>
      </c>
      <c r="B19" s="30" t="s">
        <v>147</v>
      </c>
      <c r="C19" s="30">
        <v>100</v>
      </c>
      <c r="D19" s="30">
        <f>VLOOKUP(RUTA473[[#This Row],[Columna1]],Tabla14[#All],6,0)</f>
        <v>0.77200000000000002</v>
      </c>
      <c r="E19" s="30">
        <f>RUTA473[[#This Row],[Columna3]]*RUTA473[[#This Row],[Columna4]]</f>
        <v>77.2</v>
      </c>
    </row>
    <row r="20" spans="1:5">
      <c r="A20" s="30">
        <v>60000210</v>
      </c>
      <c r="B20" s="30" t="s">
        <v>148</v>
      </c>
      <c r="C20" s="30">
        <v>758</v>
      </c>
      <c r="D20" s="30">
        <f>VLOOKUP(RUTA473[[#This Row],[Columna1]],Tabla14[#All],6,0)</f>
        <v>0.77200000000000002</v>
      </c>
      <c r="E20" s="30">
        <f>RUTA473[[#This Row],[Columna3]]*RUTA473[[#This Row],[Columna4]]</f>
        <v>585.17600000000004</v>
      </c>
    </row>
    <row r="21" spans="1:5">
      <c r="A21" s="30">
        <v>620500</v>
      </c>
      <c r="B21" s="30" t="s">
        <v>2261</v>
      </c>
      <c r="C21" s="30">
        <v>3</v>
      </c>
      <c r="D21" s="30">
        <f>VLOOKUP(RUTA473[[#This Row],[Columna1]],Tabla14[#All],6,0)</f>
        <v>2</v>
      </c>
      <c r="E21" s="30">
        <f>RUTA473[[#This Row],[Columna3]]*RUTA473[[#This Row],[Columna4]]</f>
        <v>6</v>
      </c>
    </row>
    <row r="22" spans="1:5">
      <c r="A22" s="30">
        <v>621323</v>
      </c>
      <c r="B22" s="30" t="s">
        <v>2011</v>
      </c>
      <c r="C22" s="30">
        <v>2</v>
      </c>
      <c r="D22" s="30">
        <f>VLOOKUP(RUTA473[[#This Row],[Columna1]],Tabla14[#All],6,0)</f>
        <v>0.88166666666666671</v>
      </c>
      <c r="E22" s="30">
        <f>RUTA473[[#This Row],[Columna3]]*RUTA473[[#This Row],[Columna4]]</f>
        <v>1.7633333333333334</v>
      </c>
    </row>
    <row r="23" spans="1:5">
      <c r="A23" s="30">
        <v>621330</v>
      </c>
      <c r="B23" s="30" t="s">
        <v>652</v>
      </c>
      <c r="C23" s="30">
        <v>15</v>
      </c>
      <c r="D23" s="30">
        <f>VLOOKUP(RUTA473[[#This Row],[Columna1]],Tabla14[#All],6,0)</f>
        <v>0.8833333333333333</v>
      </c>
      <c r="E23" s="30">
        <f>RUTA473[[#This Row],[Columna3]]*RUTA473[[#This Row],[Columna4]]</f>
        <v>13.25</v>
      </c>
    </row>
    <row r="24" spans="1:5">
      <c r="A24" s="30">
        <v>621491</v>
      </c>
      <c r="B24" s="30" t="s">
        <v>2258</v>
      </c>
      <c r="C24" s="30">
        <v>1</v>
      </c>
      <c r="D24" s="30">
        <f>VLOOKUP(RUTA473[[#This Row],[Columna1]],Tabla14[#All],6,0)</f>
        <v>0.8833333333333333</v>
      </c>
      <c r="E24" s="30">
        <f>RUTA473[[#This Row],[Columna3]]*RUTA473[[#This Row],[Columna4]]</f>
        <v>0.8833333333333333</v>
      </c>
    </row>
    <row r="25" spans="1:5">
      <c r="A25" s="30">
        <v>640676</v>
      </c>
      <c r="B25" s="30" t="s">
        <v>218</v>
      </c>
      <c r="C25" s="30">
        <v>1</v>
      </c>
      <c r="D25" s="30">
        <f>VLOOKUP(RUTA473[[#This Row],[Columna1]],Tabla14[#All],6,0)</f>
        <v>2.65</v>
      </c>
      <c r="E25" s="30">
        <f>RUTA473[[#This Row],[Columna3]]*RUTA473[[#This Row],[Columna4]]</f>
        <v>2.65</v>
      </c>
    </row>
    <row r="26" spans="1:5">
      <c r="A26" s="30">
        <v>640959</v>
      </c>
      <c r="B26" s="30" t="s">
        <v>216</v>
      </c>
      <c r="C26" s="30">
        <v>8</v>
      </c>
      <c r="D26" s="30">
        <f>VLOOKUP(RUTA473[[#This Row],[Columna1]],Tabla14[#All],6,0)</f>
        <v>2.65</v>
      </c>
      <c r="E26" s="30">
        <f>RUTA473[[#This Row],[Columna3]]*RUTA473[[#This Row],[Columna4]]</f>
        <v>21.2</v>
      </c>
    </row>
    <row r="27" spans="1:5">
      <c r="A27" s="30">
        <v>641833</v>
      </c>
      <c r="B27" s="30" t="s">
        <v>217</v>
      </c>
      <c r="C27" s="30">
        <v>3</v>
      </c>
      <c r="D27" s="30">
        <f>VLOOKUP(RUTA473[[#This Row],[Columna1]],Tabla14[#All],6,0)</f>
        <v>2.65</v>
      </c>
      <c r="E27" s="30">
        <f>RUTA473[[#This Row],[Columna3]]*RUTA473[[#This Row],[Columna4]]</f>
        <v>7.9499999999999993</v>
      </c>
    </row>
    <row r="28" spans="1:5">
      <c r="A28" s="30">
        <v>642694</v>
      </c>
      <c r="B28" s="30" t="s">
        <v>1788</v>
      </c>
      <c r="C28" s="30">
        <v>6</v>
      </c>
      <c r="D28" s="30">
        <f>VLOOKUP(RUTA473[[#This Row],[Columna1]],Tabla14[#All],6,0)</f>
        <v>2.65</v>
      </c>
      <c r="E28" s="30">
        <f>RUTA473[[#This Row],[Columna3]]*RUTA473[[#This Row],[Columna4]]</f>
        <v>15.899999999999999</v>
      </c>
    </row>
    <row r="29" spans="1:5">
      <c r="A29" s="30">
        <v>69584479</v>
      </c>
      <c r="B29" s="30" t="s">
        <v>2085</v>
      </c>
      <c r="C29" s="30">
        <v>6</v>
      </c>
      <c r="D29" s="30">
        <f>VLOOKUP(RUTA473[[#This Row],[Columna1]],Tabla14[#All],6,0)</f>
        <v>0.82674999999999998</v>
      </c>
      <c r="E29" s="30">
        <f>RUTA473[[#This Row],[Columna3]]*RUTA473[[#This Row],[Columna4]]</f>
        <v>4.9604999999999997</v>
      </c>
    </row>
    <row r="30" spans="1:5">
      <c r="A30" s="30">
        <v>69584483</v>
      </c>
      <c r="B30" s="30" t="s">
        <v>1553</v>
      </c>
      <c r="C30" s="30">
        <v>6</v>
      </c>
      <c r="D30" s="30">
        <f>VLOOKUP(RUTA473[[#This Row],[Columna1]],Tabla14[#All],6,0)</f>
        <v>0.40750000000000003</v>
      </c>
      <c r="E30" s="30">
        <f>RUTA473[[#This Row],[Columna3]]*RUTA473[[#This Row],[Columna4]]</f>
        <v>2.4450000000000003</v>
      </c>
    </row>
    <row r="31" spans="1:5">
      <c r="A31" s="30">
        <v>69584500</v>
      </c>
      <c r="B31" s="30" t="s">
        <v>2166</v>
      </c>
      <c r="C31" s="30">
        <v>19</v>
      </c>
      <c r="D31" s="30">
        <f>VLOOKUP(RUTA473[[#This Row],[Columna1]],Tabla14[#All],6,0)</f>
        <v>9.9124999999999991E-2</v>
      </c>
      <c r="E31" s="30">
        <f>RUTA473[[#This Row],[Columna3]]*RUTA473[[#This Row],[Columna4]]</f>
        <v>1.8833749999999998</v>
      </c>
    </row>
    <row r="32" spans="1:5">
      <c r="A32" s="30">
        <v>69678219</v>
      </c>
      <c r="B32" s="30" t="s">
        <v>2240</v>
      </c>
      <c r="C32" s="30">
        <v>3</v>
      </c>
      <c r="D32" s="30">
        <f>VLOOKUP(RUTA473[[#This Row],[Columna1]],Tabla14[#All],6,0)</f>
        <v>0.55541666666666667</v>
      </c>
      <c r="E32" s="30">
        <f>RUTA473[[#This Row],[Columna3]]*RUTA473[[#This Row],[Columna4]]</f>
        <v>1.66625</v>
      </c>
    </row>
    <row r="33" spans="1:5">
      <c r="A33" s="30">
        <v>69678222</v>
      </c>
      <c r="B33" s="30" t="s">
        <v>2088</v>
      </c>
      <c r="C33" s="30">
        <v>9</v>
      </c>
      <c r="D33" s="30">
        <f>VLOOKUP(RUTA473[[#This Row],[Columna1]],Tabla14[#All],6,0)</f>
        <v>0.5541666666666667</v>
      </c>
      <c r="E33" s="30">
        <f>RUTA473[[#This Row],[Columna3]]*RUTA473[[#This Row],[Columna4]]</f>
        <v>4.9875000000000007</v>
      </c>
    </row>
    <row r="34" spans="1:5">
      <c r="A34" s="30">
        <v>69761861</v>
      </c>
      <c r="B34" s="30" t="s">
        <v>1987</v>
      </c>
      <c r="C34" s="30">
        <v>26</v>
      </c>
      <c r="D34" s="30">
        <f>VLOOKUP(RUTA473[[#This Row],[Columna1]],Tabla14[#All],6,0)</f>
        <v>0.19833333333333333</v>
      </c>
      <c r="E34" s="30">
        <f>RUTA473[[#This Row],[Columna3]]*RUTA473[[#This Row],[Columna4]]</f>
        <v>5.1566666666666663</v>
      </c>
    </row>
    <row r="35" spans="1:5">
      <c r="A35" s="30">
        <v>69761868</v>
      </c>
      <c r="B35" s="30" t="s">
        <v>2024</v>
      </c>
      <c r="C35" s="30">
        <v>19</v>
      </c>
      <c r="D35" s="30">
        <f>VLOOKUP(RUTA473[[#This Row],[Columna1]],Tabla14[#All],6,0)</f>
        <v>0.19843750000000002</v>
      </c>
      <c r="E35" s="30">
        <f>RUTA473[[#This Row],[Columna3]]*RUTA473[[#This Row],[Columna4]]</f>
        <v>3.7703125000000002</v>
      </c>
    </row>
    <row r="36" spans="1:5">
      <c r="A36" s="30">
        <v>69761870</v>
      </c>
      <c r="B36" s="30" t="s">
        <v>1972</v>
      </c>
      <c r="C36" s="30">
        <v>36</v>
      </c>
      <c r="D36" s="30">
        <f>VLOOKUP(RUTA473[[#This Row],[Columna1]],Tabla14[#All],6,0)</f>
        <v>0.19833333333333333</v>
      </c>
      <c r="E36" s="30">
        <f>RUTA473[[#This Row],[Columna3]]*RUTA473[[#This Row],[Columna4]]</f>
        <v>7.14</v>
      </c>
    </row>
    <row r="37" spans="1:5">
      <c r="A37" s="30">
        <v>69780941</v>
      </c>
      <c r="B37" s="30" t="s">
        <v>1951</v>
      </c>
      <c r="C37" s="30">
        <v>456</v>
      </c>
      <c r="D37" s="30">
        <f>VLOOKUP(RUTA473[[#This Row],[Columna1]],Tabla14[#All],6,0)</f>
        <v>0.19833333333333333</v>
      </c>
      <c r="E37" s="30">
        <f>RUTA473[[#This Row],[Columna3]]*RUTA473[[#This Row],[Columna4]]</f>
        <v>90.44</v>
      </c>
    </row>
    <row r="38" spans="1:5">
      <c r="A38" s="30" t="s">
        <v>1026</v>
      </c>
      <c r="B38" s="30" t="s">
        <v>1025</v>
      </c>
      <c r="C38" s="30">
        <v>4</v>
      </c>
      <c r="D38" s="30">
        <f>VLOOKUP(RUTA473[[#This Row],[Columna1]],Tabla14[#All],6,0)</f>
        <v>0.9</v>
      </c>
      <c r="E38" s="30">
        <f>RUTA473[[#This Row],[Columna3]]*RUTA473[[#This Row],[Columna4]]</f>
        <v>3.6</v>
      </c>
    </row>
    <row r="39" spans="1:5">
      <c r="A39" s="30" t="s">
        <v>1040</v>
      </c>
      <c r="B39" s="30" t="s">
        <v>1039</v>
      </c>
      <c r="C39" s="30">
        <v>1</v>
      </c>
      <c r="D39" s="30">
        <f>VLOOKUP(RUTA473[[#This Row],[Columna1]],Tabla14[#All],6,0)</f>
        <v>0.88437500000000002</v>
      </c>
      <c r="E39" s="30">
        <f>RUTA473[[#This Row],[Columna3]]*RUTA473[[#This Row],[Columna4]]</f>
        <v>0.88437500000000002</v>
      </c>
    </row>
    <row r="40" spans="1:5">
      <c r="A40" s="30" t="s">
        <v>1355</v>
      </c>
      <c r="B40" s="30" t="s">
        <v>1354</v>
      </c>
      <c r="C40" s="30">
        <v>10</v>
      </c>
      <c r="D40" s="30">
        <f>VLOOKUP(RUTA473[[#This Row],[Columna1]],Tabla14[#All],6,0)</f>
        <v>0.9</v>
      </c>
      <c r="E40" s="30">
        <f>RUTA473[[#This Row],[Columna3]]*RUTA473[[#This Row],[Columna4]]</f>
        <v>9</v>
      </c>
    </row>
    <row r="41" spans="1:5">
      <c r="A41" s="30" t="s">
        <v>1525</v>
      </c>
      <c r="B41" s="30" t="s">
        <v>1524</v>
      </c>
      <c r="C41" s="30">
        <v>7</v>
      </c>
      <c r="D41" s="30">
        <f>VLOOKUP(RUTA473[[#This Row],[Columna1]],Tabla14[#All],6,0)</f>
        <v>0.9</v>
      </c>
      <c r="E41" s="30">
        <f>RUTA473[[#This Row],[Columna3]]*RUTA473[[#This Row],[Columna4]]</f>
        <v>6.3</v>
      </c>
    </row>
    <row r="42" spans="1:5">
      <c r="A42" s="30" t="s">
        <v>1347</v>
      </c>
      <c r="B42" s="30" t="s">
        <v>1346</v>
      </c>
      <c r="C42" s="30">
        <v>4</v>
      </c>
      <c r="D42" s="30">
        <f>VLOOKUP(RUTA473[[#This Row],[Columna1]],Tabla14[#All],6,0)</f>
        <v>0.9</v>
      </c>
      <c r="E42" s="30">
        <f>RUTA473[[#This Row],[Columna3]]*RUTA473[[#This Row],[Columna4]]</f>
        <v>3.6</v>
      </c>
    </row>
    <row r="43" spans="1:5">
      <c r="A43" s="30" t="s">
        <v>1473</v>
      </c>
      <c r="B43" s="30" t="s">
        <v>1472</v>
      </c>
      <c r="C43" s="30">
        <v>1</v>
      </c>
      <c r="D43" s="30">
        <f>VLOOKUP(RUTA473[[#This Row],[Columna1]],Tabla14[#All],6,0)</f>
        <v>0.9</v>
      </c>
      <c r="E43" s="30">
        <f>RUTA473[[#This Row],[Columna3]]*RUTA473[[#This Row],[Columna4]]</f>
        <v>0.9</v>
      </c>
    </row>
    <row r="44" spans="1:5">
      <c r="A44" s="30" t="s">
        <v>1359</v>
      </c>
      <c r="B44" s="30" t="s">
        <v>1358</v>
      </c>
      <c r="C44" s="30">
        <v>7</v>
      </c>
      <c r="D44" s="30">
        <f>VLOOKUP(RUTA473[[#This Row],[Columna1]],Tabla14[#All],6,0)</f>
        <v>0.9</v>
      </c>
      <c r="E44" s="30">
        <f>RUTA473[[#This Row],[Columna3]]*RUTA473[[#This Row],[Columna4]]</f>
        <v>6.3</v>
      </c>
    </row>
    <row r="45" spans="1:5">
      <c r="A45" s="30" t="s">
        <v>1477</v>
      </c>
      <c r="B45" s="30" t="s">
        <v>1476</v>
      </c>
      <c r="C45" s="30">
        <v>5</v>
      </c>
      <c r="D45" s="30">
        <f>VLOOKUP(RUTA473[[#This Row],[Columna1]],Tabla14[#All],6,0)</f>
        <v>0.9</v>
      </c>
      <c r="E45" s="30">
        <f>RUTA473[[#This Row],[Columna3]]*RUTA473[[#This Row],[Columna4]]</f>
        <v>4.5</v>
      </c>
    </row>
    <row r="46" spans="1:5">
      <c r="A46" s="30" t="s">
        <v>1475</v>
      </c>
      <c r="B46" s="30" t="s">
        <v>1474</v>
      </c>
      <c r="C46" s="30">
        <v>10</v>
      </c>
      <c r="D46" s="30">
        <f>VLOOKUP(RUTA473[[#This Row],[Columna1]],Tabla14[#All],6,0)</f>
        <v>0.9</v>
      </c>
      <c r="E46" s="30">
        <f>RUTA473[[#This Row],[Columna3]]*RUTA473[[#This Row],[Columna4]]</f>
        <v>9</v>
      </c>
    </row>
    <row r="47" spans="1:5">
      <c r="A47" s="30" t="s">
        <v>1674</v>
      </c>
      <c r="B47" s="30" t="s">
        <v>1673</v>
      </c>
      <c r="C47" s="30">
        <v>2</v>
      </c>
      <c r="D47" s="30">
        <f>VLOOKUP(RUTA473[[#This Row],[Columna1]],Tabla14[#All],6,0)</f>
        <v>0.9</v>
      </c>
      <c r="E47" s="30">
        <f>RUTA473[[#This Row],[Columna3]]*RUTA473[[#This Row],[Columna4]]</f>
        <v>1.8</v>
      </c>
    </row>
    <row r="48" spans="1:5">
      <c r="A48" s="30" t="s">
        <v>1471</v>
      </c>
      <c r="B48" s="30" t="s">
        <v>1470</v>
      </c>
      <c r="C48" s="30">
        <v>10</v>
      </c>
      <c r="D48" s="30">
        <f>VLOOKUP(RUTA473[[#This Row],[Columna1]],Tabla14[#All],6,0)</f>
        <v>0.9</v>
      </c>
      <c r="E48" s="30">
        <f>RUTA473[[#This Row],[Columna3]]*RUTA473[[#This Row],[Columna4]]</f>
        <v>9</v>
      </c>
    </row>
    <row r="49" spans="1:5">
      <c r="A49" s="30" t="s">
        <v>1349</v>
      </c>
      <c r="B49" s="30" t="s">
        <v>1348</v>
      </c>
      <c r="C49" s="30">
        <v>5</v>
      </c>
      <c r="D49" s="30">
        <f>VLOOKUP(RUTA473[[#This Row],[Columna1]],Tabla14[#All],6,0)</f>
        <v>0.9</v>
      </c>
      <c r="E49" s="30">
        <f>RUTA473[[#This Row],[Columna3]]*RUTA473[[#This Row],[Columna4]]</f>
        <v>4.5</v>
      </c>
    </row>
    <row r="50" spans="1:5">
      <c r="A50" s="30" t="s">
        <v>2033</v>
      </c>
      <c r="B50" s="30" t="s">
        <v>2032</v>
      </c>
      <c r="C50" s="30">
        <v>2</v>
      </c>
      <c r="D50" s="30">
        <f>VLOOKUP(RUTA473[[#This Row],[Columna1]],Tabla14[#All],6,0)</f>
        <v>1.1016666666666668</v>
      </c>
      <c r="E50" s="30">
        <f>RUTA473[[#This Row],[Columna3]]*RUTA473[[#This Row],[Columna4]]</f>
        <v>2.2033333333333336</v>
      </c>
    </row>
    <row r="51" spans="1:5">
      <c r="A51" s="30" t="s">
        <v>2090</v>
      </c>
      <c r="B51" s="30" t="s">
        <v>2089</v>
      </c>
      <c r="C51" s="30">
        <v>1</v>
      </c>
      <c r="D51" s="30">
        <f>VLOOKUP(RUTA473[[#This Row],[Columna1]],Tabla14[#All],6,0)</f>
        <v>100</v>
      </c>
      <c r="E51" s="30">
        <f>RUTA473[[#This Row],[Columna3]]*RUTA473[[#This Row],[Columna4]]</f>
        <v>100</v>
      </c>
    </row>
    <row r="52" spans="1:5">
      <c r="A52" s="30" t="s">
        <v>1692</v>
      </c>
      <c r="B52" s="30" t="s">
        <v>1691</v>
      </c>
      <c r="C52" s="30">
        <v>10</v>
      </c>
      <c r="D52" s="30">
        <f>VLOOKUP(RUTA473[[#This Row],[Columna1]],Tabla14[#All],6,0)</f>
        <v>0.92524999999999991</v>
      </c>
      <c r="E52" s="30">
        <f>RUTA473[[#This Row],[Columna3]]*RUTA473[[#This Row],[Columna4]]</f>
        <v>9.2524999999999995</v>
      </c>
    </row>
    <row r="53" spans="1:5">
      <c r="A53" s="30" t="s">
        <v>2188</v>
      </c>
      <c r="B53" s="30" t="s">
        <v>2187</v>
      </c>
      <c r="C53" s="30">
        <v>11</v>
      </c>
      <c r="D53" s="30">
        <f>VLOOKUP(RUTA473[[#This Row],[Columna1]],Tabla14[#All],6,0)</f>
        <v>0.52916666666666667</v>
      </c>
      <c r="E53" s="30">
        <f>RUTA473[[#This Row],[Columna3]]*RUTA473[[#This Row],[Columna4]]</f>
        <v>5.8208333333333337</v>
      </c>
    </row>
    <row r="54" spans="1:5">
      <c r="A54" s="30" t="s">
        <v>2191</v>
      </c>
      <c r="B54" s="30" t="s">
        <v>2190</v>
      </c>
      <c r="C54" s="30">
        <v>4</v>
      </c>
      <c r="D54" s="30">
        <f>VLOOKUP(RUTA473[[#This Row],[Columna1]],Tabla14[#All],6,0)</f>
        <v>0.52916666666666667</v>
      </c>
      <c r="E54" s="30">
        <f>RUTA473[[#This Row],[Columna3]]*RUTA473[[#This Row],[Columna4]]</f>
        <v>2.1166666666666667</v>
      </c>
    </row>
    <row r="55" spans="1:5">
      <c r="A55" s="30" t="s">
        <v>2186</v>
      </c>
      <c r="B55" s="30" t="s">
        <v>2185</v>
      </c>
      <c r="C55" s="30">
        <v>2</v>
      </c>
      <c r="D55" s="30">
        <f>VLOOKUP(RUTA473[[#This Row],[Columna1]],Tabla14[#All],6,0)</f>
        <v>0.52916666666666667</v>
      </c>
      <c r="E55" s="30">
        <f>RUTA473[[#This Row],[Columna3]]*RUTA473[[#This Row],[Columna4]]</f>
        <v>1.0583333333333333</v>
      </c>
    </row>
    <row r="56" spans="1:5">
      <c r="A56" s="30" t="s">
        <v>2218</v>
      </c>
      <c r="B56" s="30" t="s">
        <v>2217</v>
      </c>
      <c r="C56" s="30">
        <v>2</v>
      </c>
      <c r="D56" s="30">
        <f>VLOOKUP(RUTA473[[#This Row],[Columna1]],Tabla14[#All],6,0)</f>
        <v>1.3125</v>
      </c>
      <c r="E56" s="30">
        <f>RUTA473[[#This Row],[Columna3]]*RUTA473[[#This Row],[Columna4]]</f>
        <v>2.625</v>
      </c>
    </row>
    <row r="57" spans="1:5">
      <c r="A57" s="30" t="s">
        <v>1976</v>
      </c>
      <c r="B57" s="30" t="s">
        <v>1975</v>
      </c>
      <c r="C57" s="30">
        <v>2</v>
      </c>
      <c r="D57" s="30">
        <f>VLOOKUP(RUTA473[[#This Row],[Columna1]],Tabla14[#All],6,0)</f>
        <v>0.47599999999999998</v>
      </c>
      <c r="E57" s="30">
        <f>RUTA473[[#This Row],[Columna3]]*RUTA473[[#This Row],[Columna4]]</f>
        <v>0.95199999999999996</v>
      </c>
    </row>
    <row r="58" spans="1:5">
      <c r="A58" s="30" t="s">
        <v>1974</v>
      </c>
      <c r="B58" s="30" t="s">
        <v>1973</v>
      </c>
      <c r="C58" s="30">
        <v>5</v>
      </c>
      <c r="D58" s="30">
        <f>VLOOKUP(RUTA473[[#This Row],[Columna1]],Tabla14[#All],6,0)</f>
        <v>0.47599999999999998</v>
      </c>
      <c r="E58" s="30">
        <f>RUTA473[[#This Row],[Columna3]]*RUTA473[[#This Row],[Columna4]]</f>
        <v>2.38</v>
      </c>
    </row>
    <row r="59" spans="1:5">
      <c r="A59" s="30" t="s">
        <v>1702</v>
      </c>
      <c r="B59" s="30" t="s">
        <v>1701</v>
      </c>
      <c r="C59" s="30">
        <v>4</v>
      </c>
      <c r="D59" s="30">
        <f>VLOOKUP(RUTA473[[#This Row],[Columna1]],Tabla14[#All],6,0)</f>
        <v>0.58333333333333337</v>
      </c>
      <c r="E59" s="30">
        <f>RUTA473[[#This Row],[Columna3]]*RUTA473[[#This Row],[Columna4]]</f>
        <v>2.3333333333333335</v>
      </c>
    </row>
    <row r="60" spans="1:5">
      <c r="A60" s="30" t="s">
        <v>1261</v>
      </c>
      <c r="B60" s="30" t="s">
        <v>1513</v>
      </c>
      <c r="C60" s="30">
        <v>9</v>
      </c>
      <c r="D60" s="30">
        <f>VLOOKUP(RUTA473[[#This Row],[Columna1]],Tabla14[#All],6,0)</f>
        <v>0.36249999999999999</v>
      </c>
      <c r="E60" s="30">
        <f>RUTA473[[#This Row],[Columna3]]*RUTA473[[#This Row],[Columna4]]</f>
        <v>3.2624999999999997</v>
      </c>
    </row>
    <row r="61" spans="1:5">
      <c r="A61" s="30" t="s">
        <v>1289</v>
      </c>
      <c r="B61" s="30" t="s">
        <v>1431</v>
      </c>
      <c r="C61" s="30">
        <v>9</v>
      </c>
      <c r="D61" s="30">
        <f>VLOOKUP(RUTA473[[#This Row],[Columna1]],Tabla14[#All],6,0)</f>
        <v>0.36249999999999999</v>
      </c>
      <c r="E61" s="30">
        <f>RUTA473[[#This Row],[Columna3]]*RUTA473[[#This Row],[Columna4]]</f>
        <v>3.2624999999999997</v>
      </c>
    </row>
    <row r="62" spans="1:5">
      <c r="A62" s="30" t="s">
        <v>1342</v>
      </c>
      <c r="B62" s="30" t="s">
        <v>1341</v>
      </c>
      <c r="C62" s="30">
        <v>6</v>
      </c>
      <c r="D62" s="30">
        <f>VLOOKUP(RUTA473[[#This Row],[Columna1]],Tabla14[#All],6,0)</f>
        <v>0.23</v>
      </c>
      <c r="E62" s="30">
        <f>RUTA473[[#This Row],[Columna3]]*RUTA473[[#This Row],[Columna4]]</f>
        <v>1.3800000000000001</v>
      </c>
    </row>
    <row r="63" spans="1:5">
      <c r="A63" s="30" t="s">
        <v>1269</v>
      </c>
      <c r="B63" s="30" t="s">
        <v>1647</v>
      </c>
      <c r="C63" s="30">
        <v>65</v>
      </c>
      <c r="D63" s="30">
        <f>VLOOKUP(RUTA473[[#This Row],[Columna1]],Tabla14[#All],6,0)</f>
        <v>0.22041666666666668</v>
      </c>
      <c r="E63" s="30">
        <f>RUTA473[[#This Row],[Columna3]]*RUTA473[[#This Row],[Columna4]]</f>
        <v>14.327083333333334</v>
      </c>
    </row>
    <row r="64" spans="1:5">
      <c r="A64" s="30" t="s">
        <v>1305</v>
      </c>
      <c r="B64" s="30" t="s">
        <v>2165</v>
      </c>
      <c r="C64" s="30">
        <v>24</v>
      </c>
      <c r="D64" s="30">
        <f>VLOOKUP(RUTA473[[#This Row],[Columna1]],Tabla14[#All],6,0)</f>
        <v>0.22041666666666668</v>
      </c>
      <c r="E64" s="30">
        <f>RUTA473[[#This Row],[Columna3]]*RUTA473[[#This Row],[Columna4]]</f>
        <v>5.29</v>
      </c>
    </row>
    <row r="65" spans="1:5">
      <c r="A65" s="30" t="s">
        <v>1271</v>
      </c>
      <c r="B65" s="30" t="s">
        <v>1642</v>
      </c>
      <c r="C65" s="30">
        <v>12</v>
      </c>
      <c r="D65" s="30">
        <f>VLOOKUP(RUTA473[[#This Row],[Columna1]],Tabla14[#All],6,0)</f>
        <v>0.83750000000000002</v>
      </c>
      <c r="E65" s="30">
        <f>RUTA473[[#This Row],[Columna3]]*RUTA473[[#This Row],[Columna4]]</f>
        <v>10.050000000000001</v>
      </c>
    </row>
    <row r="66" spans="1:5">
      <c r="A66" s="30" t="s">
        <v>1275</v>
      </c>
      <c r="B66" s="30" t="s">
        <v>2263</v>
      </c>
      <c r="C66" s="30">
        <v>12</v>
      </c>
      <c r="D66" s="30">
        <f>VLOOKUP(RUTA473[[#This Row],[Columna1]],Tabla14[#All],6,0)</f>
        <v>0.11020833333333334</v>
      </c>
      <c r="E66" s="30">
        <f>RUTA473[[#This Row],[Columna3]]*RUTA473[[#This Row],[Columna4]]</f>
        <v>1.3225</v>
      </c>
    </row>
    <row r="67" spans="1:5">
      <c r="A67" s="30" t="s">
        <v>1265</v>
      </c>
      <c r="B67" s="30" t="s">
        <v>1264</v>
      </c>
      <c r="C67" s="30">
        <v>25</v>
      </c>
      <c r="D67" s="30">
        <f>VLOOKUP(RUTA473[[#This Row],[Columna1]],Tabla14[#All],6,0)</f>
        <v>0.22041666666666668</v>
      </c>
      <c r="E67" s="30">
        <f>RUTA473[[#This Row],[Columna3]]*RUTA473[[#This Row],[Columna4]]</f>
        <v>5.510416666666667</v>
      </c>
    </row>
    <row r="68" spans="1:5">
      <c r="A68" s="30" t="s">
        <v>1301</v>
      </c>
      <c r="B68" s="30" t="s">
        <v>1300</v>
      </c>
      <c r="C68" s="30">
        <v>6</v>
      </c>
      <c r="D68" s="30">
        <f>VLOOKUP(RUTA473[[#This Row],[Columna1]],Tabla14[#All],6,0)</f>
        <v>0.22041666666666668</v>
      </c>
      <c r="E68" s="30">
        <f>RUTA473[[#This Row],[Columna3]]*RUTA473[[#This Row],[Columna4]]</f>
        <v>1.3225</v>
      </c>
    </row>
    <row r="69" spans="1:5">
      <c r="A69" s="30" t="s">
        <v>1384</v>
      </c>
      <c r="B69" s="30" t="s">
        <v>1383</v>
      </c>
      <c r="C69" s="30">
        <v>6</v>
      </c>
      <c r="D69" s="30">
        <f>VLOOKUP(RUTA473[[#This Row],[Columna1]],Tabla14[#All],6,0)</f>
        <v>1</v>
      </c>
      <c r="E69" s="30">
        <f>RUTA473[[#This Row],[Columna3]]*RUTA473[[#This Row],[Columna4]]</f>
        <v>6</v>
      </c>
    </row>
    <row r="70" spans="1:5">
      <c r="A70" s="30" t="s">
        <v>1293</v>
      </c>
      <c r="B70" s="30" t="s">
        <v>1292</v>
      </c>
      <c r="C70" s="30">
        <v>3</v>
      </c>
      <c r="D70" s="30">
        <f>VLOOKUP(RUTA473[[#This Row],[Columna1]],Tabla14[#All],6,0)</f>
        <v>0.21875</v>
      </c>
      <c r="E70" s="30">
        <f>RUTA473[[#This Row],[Columna3]]*RUTA473[[#This Row],[Columna4]]</f>
        <v>0.65625</v>
      </c>
    </row>
    <row r="71" spans="1:5">
      <c r="A71" s="30" t="s">
        <v>1373</v>
      </c>
      <c r="B71" s="30" t="s">
        <v>1372</v>
      </c>
      <c r="C71" s="30">
        <v>18</v>
      </c>
      <c r="D71" s="30">
        <f>VLOOKUP(RUTA473[[#This Row],[Columna1]],Tabla14[#All],6,0)</f>
        <v>0.34</v>
      </c>
      <c r="E71" s="30">
        <f>RUTA473[[#This Row],[Columna3]]*RUTA473[[#This Row],[Columna4]]</f>
        <v>6.12</v>
      </c>
    </row>
    <row r="72" spans="1:5">
      <c r="A72" s="30" t="s">
        <v>1277</v>
      </c>
      <c r="B72" s="30" t="s">
        <v>1276</v>
      </c>
      <c r="C72" s="30">
        <v>16</v>
      </c>
      <c r="D72" s="30">
        <f>VLOOKUP(RUTA473[[#This Row],[Columna1]],Tabla14[#All],6,0)</f>
        <v>0.22041666666666668</v>
      </c>
      <c r="E72" s="30">
        <f>RUTA473[[#This Row],[Columna3]]*RUTA473[[#This Row],[Columna4]]</f>
        <v>3.5266666666666668</v>
      </c>
    </row>
    <row r="73" spans="1:5">
      <c r="A73" s="30" t="s">
        <v>1428</v>
      </c>
      <c r="B73" s="30" t="s">
        <v>1427</v>
      </c>
      <c r="C73" s="30">
        <v>3</v>
      </c>
      <c r="D73" s="30">
        <f>VLOOKUP(RUTA473[[#This Row],[Columna1]],Tabla14[#All],6,0)</f>
        <v>0.44083333333333335</v>
      </c>
      <c r="E73" s="30">
        <f>RUTA473[[#This Row],[Columna3]]*RUTA473[[#This Row],[Columna4]]</f>
        <v>1.3225</v>
      </c>
    </row>
    <row r="74" spans="1:5">
      <c r="A74" s="30" t="s">
        <v>1273</v>
      </c>
      <c r="B74" s="30" t="s">
        <v>1272</v>
      </c>
      <c r="C74" s="30">
        <v>30</v>
      </c>
      <c r="D74" s="30">
        <f>VLOOKUP(RUTA473[[#This Row],[Columna1]],Tabla14[#All],6,0)</f>
        <v>0.79375000000000007</v>
      </c>
      <c r="E74" s="30">
        <f>RUTA473[[#This Row],[Columna3]]*RUTA473[[#This Row],[Columna4]]</f>
        <v>23.812500000000004</v>
      </c>
    </row>
    <row r="75" spans="1:5">
      <c r="A75" s="30" t="s">
        <v>1263</v>
      </c>
      <c r="B75" s="30" t="s">
        <v>1262</v>
      </c>
      <c r="C75" s="30">
        <v>12</v>
      </c>
      <c r="D75" s="30">
        <f>VLOOKUP(RUTA473[[#This Row],[Columna1]],Tabla14[#All],6,0)</f>
        <v>1.6600000000000001</v>
      </c>
      <c r="E75" s="30">
        <f>RUTA473[[#This Row],[Columna3]]*RUTA473[[#This Row],[Columna4]]</f>
        <v>19.920000000000002</v>
      </c>
    </row>
    <row r="76" spans="1:5">
      <c r="A76" s="30" t="s">
        <v>1317</v>
      </c>
      <c r="B76" s="30" t="s">
        <v>1316</v>
      </c>
      <c r="C76" s="30">
        <v>6</v>
      </c>
      <c r="D76" s="30">
        <f>VLOOKUP(RUTA473[[#This Row],[Columna1]],Tabla14[#All],6,0)</f>
        <v>0.2</v>
      </c>
      <c r="E76" s="30">
        <f>RUTA473[[#This Row],[Columna3]]*RUTA473[[#This Row],[Columna4]]</f>
        <v>1.2000000000000002</v>
      </c>
    </row>
    <row r="77" spans="1:5">
      <c r="A77" s="30" t="s">
        <v>1279</v>
      </c>
      <c r="B77" s="30" t="s">
        <v>1278</v>
      </c>
      <c r="C77" s="30">
        <v>12</v>
      </c>
      <c r="D77" s="30">
        <f>VLOOKUP(RUTA473[[#This Row],[Columna1]],Tabla14[#All],6,0)</f>
        <v>0.875</v>
      </c>
      <c r="E77" s="30">
        <f>RUTA473[[#This Row],[Columna3]]*RUTA473[[#This Row],[Columna4]]</f>
        <v>10.5</v>
      </c>
    </row>
    <row r="78" spans="1:5">
      <c r="A78" s="30" t="s">
        <v>2179</v>
      </c>
      <c r="B78" s="30" t="s">
        <v>2178</v>
      </c>
      <c r="C78" s="30">
        <v>2</v>
      </c>
      <c r="D78" s="30">
        <f>VLOOKUP(RUTA473[[#This Row],[Columna1]],Tabla14[#All],6,0)</f>
        <v>0.42333333333333334</v>
      </c>
      <c r="E78" s="30">
        <f>RUTA473[[#This Row],[Columna3]]*RUTA473[[#This Row],[Columna4]]</f>
        <v>0.84666666666666668</v>
      </c>
    </row>
    <row r="79" spans="1:5">
      <c r="A79" s="30" t="s">
        <v>662</v>
      </c>
      <c r="B79" s="30" t="s">
        <v>2171</v>
      </c>
      <c r="C79" s="30">
        <v>12</v>
      </c>
      <c r="D79" s="30">
        <f>VLOOKUP(RUTA473[[#This Row],[Columna1]],Tabla14[#All],6,0)</f>
        <v>8.3333333333333329E-2</v>
      </c>
      <c r="E79" s="30">
        <f>RUTA473[[#This Row],[Columna3]]*RUTA473[[#This Row],[Columna4]]</f>
        <v>1</v>
      </c>
    </row>
    <row r="80" spans="1:5">
      <c r="A80" s="30" t="s">
        <v>671</v>
      </c>
      <c r="B80" s="30" t="s">
        <v>670</v>
      </c>
      <c r="C80" s="30">
        <v>24</v>
      </c>
      <c r="D80" s="30">
        <f>VLOOKUP(RUTA473[[#This Row],[Columna1]],Tabla14[#All],6,0)</f>
        <v>0.25</v>
      </c>
      <c r="E80" s="30">
        <f>RUTA473[[#This Row],[Columna3]]*RUTA473[[#This Row],[Columna4]]</f>
        <v>6</v>
      </c>
    </row>
    <row r="81" spans="1:5">
      <c r="A81" s="30" t="s">
        <v>21</v>
      </c>
      <c r="B81" s="30" t="s">
        <v>20</v>
      </c>
      <c r="C81" s="30">
        <v>9</v>
      </c>
      <c r="D81" s="30">
        <f>VLOOKUP(RUTA473[[#This Row],[Columna1]],Tabla14[#All],6,0)</f>
        <v>0.8833333333333333</v>
      </c>
      <c r="E81" s="30">
        <f>RUTA473[[#This Row],[Columna3]]*RUTA473[[#This Row],[Columna4]]</f>
        <v>7.9499999999999993</v>
      </c>
    </row>
    <row r="82" spans="1:5">
      <c r="A82" s="30" t="s">
        <v>2136</v>
      </c>
      <c r="B82" s="30" t="s">
        <v>2135</v>
      </c>
      <c r="C82" s="30">
        <v>6</v>
      </c>
      <c r="D82" s="30">
        <f>VLOOKUP(RUTA473[[#This Row],[Columna1]],Tabla14[#All],6,0)</f>
        <v>0.82750000000000001</v>
      </c>
      <c r="E82" s="30">
        <f>RUTA473[[#This Row],[Columna3]]*RUTA473[[#This Row],[Columna4]]</f>
        <v>4.9649999999999999</v>
      </c>
    </row>
    <row r="83" spans="1:5">
      <c r="A83" s="30" t="s">
        <v>2144</v>
      </c>
      <c r="B83" s="30" t="s">
        <v>2143</v>
      </c>
      <c r="C83" s="30">
        <v>2</v>
      </c>
      <c r="D83" s="30">
        <f>VLOOKUP(RUTA473[[#This Row],[Columna1]],Tabla14[#All],6,0)</f>
        <v>0.82750000000000001</v>
      </c>
      <c r="E83" s="30">
        <f>RUTA473[[#This Row],[Columna3]]*RUTA473[[#This Row],[Columna4]]</f>
        <v>1.655</v>
      </c>
    </row>
    <row r="84" spans="1:5">
      <c r="A84" s="30" t="s">
        <v>2087</v>
      </c>
      <c r="B84" s="30" t="s">
        <v>2086</v>
      </c>
      <c r="C84" s="30">
        <v>4</v>
      </c>
      <c r="D84" s="30">
        <f>VLOOKUP(RUTA473[[#This Row],[Columna1]],Tabla14[#All],6,0)</f>
        <v>0.82750000000000001</v>
      </c>
      <c r="E84" s="30">
        <f>RUTA473[[#This Row],[Columna3]]*RUTA473[[#This Row],[Columna4]]</f>
        <v>3.31</v>
      </c>
    </row>
    <row r="85" spans="1:5">
      <c r="A85" s="30" t="s">
        <v>708</v>
      </c>
      <c r="B85" s="30" t="s">
        <v>2252</v>
      </c>
      <c r="C85" s="30">
        <v>2</v>
      </c>
      <c r="D85" s="30">
        <f>VLOOKUP(RUTA473[[#This Row],[Columna1]],Tabla14[#All],6,0)</f>
        <v>4.1666666666666664E-2</v>
      </c>
      <c r="E85" s="30">
        <f>RUTA473[[#This Row],[Columna3]]*RUTA473[[#This Row],[Columna4]]</f>
        <v>8.3333333333333329E-2</v>
      </c>
    </row>
    <row r="86" spans="1:5">
      <c r="A86" s="30" t="s">
        <v>1828</v>
      </c>
      <c r="B86" s="30" t="s">
        <v>1827</v>
      </c>
      <c r="C86" s="30">
        <v>1</v>
      </c>
      <c r="D86" s="30">
        <f>VLOOKUP(RUTA473[[#This Row],[Columna1]],Tabla14[#All],6,0)</f>
        <v>0.26</v>
      </c>
      <c r="E86" s="30">
        <f>RUTA473[[#This Row],[Columna3]]*RUTA473[[#This Row],[Columna4]]</f>
        <v>0.26</v>
      </c>
    </row>
    <row r="87" spans="1:5">
      <c r="A87" s="30" t="s">
        <v>706</v>
      </c>
      <c r="B87" s="30" t="s">
        <v>705</v>
      </c>
      <c r="C87" s="30">
        <v>3</v>
      </c>
      <c r="D87" s="30">
        <f>VLOOKUP(RUTA473[[#This Row],[Columna1]],Tabla14[#All],6,0)</f>
        <v>0.70833333333333337</v>
      </c>
      <c r="E87" s="30">
        <f>RUTA473[[#This Row],[Columna3]]*RUTA473[[#This Row],[Columna4]]</f>
        <v>2.125</v>
      </c>
    </row>
    <row r="88" spans="1:5">
      <c r="A88" s="30" t="s">
        <v>13</v>
      </c>
      <c r="B88" s="30" t="s">
        <v>12</v>
      </c>
      <c r="C88" s="30">
        <v>36</v>
      </c>
      <c r="D88" s="30">
        <f>VLOOKUP(RUTA473[[#This Row],[Columna1]],Tabla14[#All],6,0)</f>
        <v>3.1091666666666669</v>
      </c>
      <c r="E88" s="30">
        <f>RUTA473[[#This Row],[Columna3]]*RUTA473[[#This Row],[Columna4]]</f>
        <v>111.93</v>
      </c>
    </row>
    <row r="89" spans="1:5">
      <c r="A89" s="30" t="s">
        <v>109</v>
      </c>
      <c r="B89" s="30" t="s">
        <v>108</v>
      </c>
      <c r="C89" s="30">
        <v>191</v>
      </c>
      <c r="D89" s="30">
        <f>VLOOKUP(RUTA473[[#This Row],[Columna1]],Tabla14[#All],6,0)</f>
        <v>0.44166666666666665</v>
      </c>
      <c r="E89" s="30">
        <f>RUTA473[[#This Row],[Columna3]]*RUTA473[[#This Row],[Columna4]]</f>
        <v>84.358333333333334</v>
      </c>
    </row>
    <row r="90" spans="1:5">
      <c r="A90" s="30" t="s">
        <v>107</v>
      </c>
      <c r="B90" s="30" t="s">
        <v>106</v>
      </c>
      <c r="C90" s="30">
        <v>108</v>
      </c>
      <c r="D90" s="30">
        <f>VLOOKUP(RUTA473[[#This Row],[Columna1]],Tabla14[#All],6,0)</f>
        <v>0.44166666666666665</v>
      </c>
      <c r="E90" s="30">
        <f>RUTA473[[#This Row],[Columna3]]*RUTA473[[#This Row],[Columna4]]</f>
        <v>47.699999999999996</v>
      </c>
    </row>
    <row r="91" spans="1:5">
      <c r="A91" s="30" t="s">
        <v>482</v>
      </c>
      <c r="B91" s="30" t="s">
        <v>481</v>
      </c>
      <c r="C91" s="30">
        <v>132</v>
      </c>
      <c r="D91" s="30">
        <f>VLOOKUP(RUTA473[[#This Row],[Columna1]],Tabla14[#All],6,0)</f>
        <v>0.11493055555555556</v>
      </c>
      <c r="E91" s="30">
        <f>RUTA473[[#This Row],[Columna3]]*RUTA473[[#This Row],[Columna4]]</f>
        <v>15.170833333333334</v>
      </c>
    </row>
    <row r="92" spans="1:5">
      <c r="A92" s="30" t="s">
        <v>480</v>
      </c>
      <c r="B92" s="30" t="s">
        <v>479</v>
      </c>
      <c r="C92" s="30">
        <v>36</v>
      </c>
      <c r="D92" s="30">
        <f>VLOOKUP(RUTA473[[#This Row],[Columna1]],Tabla14[#All],6,0)</f>
        <v>0.55208333333333337</v>
      </c>
      <c r="E92" s="30">
        <f>RUTA473[[#This Row],[Columna3]]*RUTA473[[#This Row],[Columna4]]</f>
        <v>19.875</v>
      </c>
    </row>
    <row r="93" spans="1:5">
      <c r="A93" s="30" t="s">
        <v>100</v>
      </c>
      <c r="B93" s="30" t="s">
        <v>99</v>
      </c>
      <c r="C93" s="30">
        <v>36</v>
      </c>
      <c r="D93" s="30">
        <f>VLOOKUP(RUTA473[[#This Row],[Columna1]],Tabla14[#All],6,0)</f>
        <v>0.55208333333333337</v>
      </c>
      <c r="E93" s="30">
        <f>RUTA473[[#This Row],[Columna3]]*RUTA473[[#This Row],[Columna4]]</f>
        <v>19.875</v>
      </c>
    </row>
    <row r="94" spans="1:5">
      <c r="A94" s="30" t="s">
        <v>533</v>
      </c>
      <c r="B94" s="30" t="s">
        <v>532</v>
      </c>
      <c r="C94" s="30">
        <v>192</v>
      </c>
      <c r="D94" s="30">
        <f>VLOOKUP(RUTA473[[#This Row],[Columna1]],Tabla14[#All],6,0)</f>
        <v>0.5</v>
      </c>
      <c r="E94" s="30">
        <f>RUTA473[[#This Row],[Columna3]]*RUTA473[[#This Row],[Columna4]]</f>
        <v>96</v>
      </c>
    </row>
    <row r="95" spans="1:5">
      <c r="A95" s="30" t="s">
        <v>119</v>
      </c>
      <c r="B95" s="30" t="s">
        <v>118</v>
      </c>
      <c r="C95" s="30">
        <v>6</v>
      </c>
      <c r="D95" s="30">
        <f>VLOOKUP(RUTA473[[#This Row],[Columna1]],Tabla14[#All],6,0)</f>
        <v>0.875</v>
      </c>
      <c r="E95" s="30">
        <f>RUTA473[[#This Row],[Columna3]]*RUTA473[[#This Row],[Columna4]]</f>
        <v>5.25</v>
      </c>
    </row>
    <row r="96" spans="1:5">
      <c r="A96" s="30" t="s">
        <v>492</v>
      </c>
      <c r="B96" s="30" t="s">
        <v>491</v>
      </c>
      <c r="C96" s="30">
        <v>3</v>
      </c>
      <c r="D96" s="30">
        <f>VLOOKUP(RUTA473[[#This Row],[Columna1]],Tabla14[#All],6,0)</f>
        <v>0.82708333333333339</v>
      </c>
      <c r="E96" s="30">
        <f>RUTA473[[#This Row],[Columna3]]*RUTA473[[#This Row],[Columna4]]</f>
        <v>2.4812500000000002</v>
      </c>
    </row>
    <row r="97" spans="1:5">
      <c r="A97" s="30" t="s">
        <v>103</v>
      </c>
      <c r="B97" s="30" t="s">
        <v>1147</v>
      </c>
      <c r="C97" s="30">
        <v>96</v>
      </c>
      <c r="D97" s="30">
        <f>VLOOKUP(RUTA473[[#This Row],[Columna1]],Tabla14[#All],6,0)</f>
        <v>0.72916666666666663</v>
      </c>
      <c r="E97" s="30">
        <f>RUTA473[[#This Row],[Columna3]]*RUTA473[[#This Row],[Columna4]]</f>
        <v>70</v>
      </c>
    </row>
    <row r="98" spans="1:5">
      <c r="A98" s="30" t="s">
        <v>535</v>
      </c>
      <c r="B98" s="30" t="s">
        <v>534</v>
      </c>
      <c r="C98" s="30">
        <v>24</v>
      </c>
      <c r="D98" s="30">
        <f>VLOOKUP(RUTA473[[#This Row],[Columna1]],Tabla14[#All],6,0)</f>
        <v>1.75</v>
      </c>
      <c r="E98" s="30">
        <f>RUTA473[[#This Row],[Columna3]]*RUTA473[[#This Row],[Columna4]]</f>
        <v>42</v>
      </c>
    </row>
    <row r="99" spans="1:5">
      <c r="A99" s="30" t="s">
        <v>125</v>
      </c>
      <c r="B99" s="30" t="s">
        <v>124</v>
      </c>
      <c r="C99" s="30">
        <v>24</v>
      </c>
      <c r="D99" s="30">
        <f>VLOOKUP(RUTA473[[#This Row],[Columna1]],Tabla14[#All],6,0)</f>
        <v>0.44166666666666665</v>
      </c>
      <c r="E99" s="30">
        <f>RUTA473[[#This Row],[Columna3]]*RUTA473[[#This Row],[Columna4]]</f>
        <v>10.6</v>
      </c>
    </row>
    <row r="100" spans="1:5">
      <c r="A100" s="30" t="s">
        <v>102</v>
      </c>
      <c r="B100" s="30" t="s">
        <v>101</v>
      </c>
      <c r="C100" s="30">
        <v>12</v>
      </c>
      <c r="D100" s="30">
        <f>VLOOKUP(RUTA473[[#This Row],[Columna1]],Tabla14[#All],6,0)</f>
        <v>0.72916666666666663</v>
      </c>
      <c r="E100" s="30">
        <f>RUTA473[[#This Row],[Columna3]]*RUTA473[[#This Row],[Columna4]]</f>
        <v>8.75</v>
      </c>
    </row>
    <row r="101" spans="1:5">
      <c r="A101" s="30" t="s">
        <v>510</v>
      </c>
      <c r="B101" s="30" t="s">
        <v>1237</v>
      </c>
      <c r="C101" s="30">
        <v>12</v>
      </c>
      <c r="D101" s="30">
        <f>VLOOKUP(RUTA473[[#This Row],[Columna1]],Tabla14[#All],6,0)</f>
        <v>0.72916666666666663</v>
      </c>
      <c r="E101" s="30">
        <f>RUTA473[[#This Row],[Columna3]]*RUTA473[[#This Row],[Columna4]]</f>
        <v>8.75</v>
      </c>
    </row>
    <row r="102" spans="1:5">
      <c r="A102" s="30" t="s">
        <v>92</v>
      </c>
      <c r="B102" s="30" t="s">
        <v>91</v>
      </c>
      <c r="C102" s="30">
        <v>6</v>
      </c>
      <c r="D102" s="30">
        <f>VLOOKUP(RUTA473[[#This Row],[Columna1]],Tabla14[#All],6,0)</f>
        <v>5.5</v>
      </c>
      <c r="E102" s="30">
        <f>RUTA473[[#This Row],[Columna3]]*RUTA473[[#This Row],[Columna4]]</f>
        <v>33</v>
      </c>
    </row>
    <row r="103" spans="1:5">
      <c r="A103" s="30" t="s">
        <v>2228</v>
      </c>
      <c r="B103" s="30" t="s">
        <v>2227</v>
      </c>
      <c r="C103" s="30">
        <v>58</v>
      </c>
      <c r="D103" s="30">
        <f>VLOOKUP(RUTA473[[#This Row],[Columna1]],Tabla14[#All],6,0)</f>
        <v>0.33958333333333335</v>
      </c>
      <c r="E103" s="30">
        <f>RUTA473[[#This Row],[Columna3]]*RUTA473[[#This Row],[Columna4]]</f>
        <v>19.695833333333333</v>
      </c>
    </row>
    <row r="104" spans="1:5">
      <c r="A104" s="30" t="s">
        <v>1716</v>
      </c>
      <c r="B104" s="30" t="s">
        <v>1715</v>
      </c>
      <c r="C104" s="30">
        <v>79</v>
      </c>
      <c r="D104" s="30">
        <f>VLOOKUP(RUTA473[[#This Row],[Columna1]],Tabla14[#All],6,0)</f>
        <v>0.25</v>
      </c>
      <c r="E104" s="30">
        <f>RUTA473[[#This Row],[Columna3]]*RUTA473[[#This Row],[Columna4]]</f>
        <v>19.75</v>
      </c>
    </row>
    <row r="105" spans="1:5">
      <c r="A105" s="30" t="s">
        <v>1724</v>
      </c>
      <c r="B105" s="30" t="s">
        <v>2276</v>
      </c>
      <c r="C105" s="30">
        <v>12</v>
      </c>
      <c r="D105" s="30">
        <f>VLOOKUP(RUTA473[[#This Row],[Columna1]],Tabla14[#All],6,0)</f>
        <v>1.75</v>
      </c>
      <c r="E105" s="30">
        <f>RUTA473[[#This Row],[Columna3]]*RUTA473[[#This Row],[Columna4]]</f>
        <v>21</v>
      </c>
    </row>
    <row r="106" spans="1:5">
      <c r="A106" s="30" t="s">
        <v>115</v>
      </c>
      <c r="B106" s="30" t="s">
        <v>114</v>
      </c>
      <c r="C106" s="30">
        <v>6</v>
      </c>
      <c r="D106" s="30">
        <f>VLOOKUP(RUTA473[[#This Row],[Columna1]],Tabla14[#All],6,0)</f>
        <v>0.65625</v>
      </c>
      <c r="E106" s="30">
        <f>RUTA473[[#This Row],[Columna3]]*RUTA473[[#This Row],[Columna4]]</f>
        <v>3.9375</v>
      </c>
    </row>
    <row r="107" spans="1:5">
      <c r="A107" s="30" t="s">
        <v>529</v>
      </c>
      <c r="B107" s="30" t="s">
        <v>528</v>
      </c>
      <c r="C107" s="30">
        <v>144</v>
      </c>
      <c r="D107" s="30">
        <f>VLOOKUP(RUTA473[[#This Row],[Columna1]],Tabla14[#All],6,0)</f>
        <v>0.34375</v>
      </c>
      <c r="E107" s="30">
        <f>RUTA473[[#This Row],[Columna3]]*RUTA473[[#This Row],[Columna4]]</f>
        <v>49.5</v>
      </c>
    </row>
    <row r="108" spans="1:5">
      <c r="A108" s="30" t="s">
        <v>96</v>
      </c>
      <c r="B108" s="30" t="s">
        <v>95</v>
      </c>
      <c r="C108" s="30">
        <v>24</v>
      </c>
      <c r="D108" s="30">
        <f>VLOOKUP(RUTA473[[#This Row],[Columna1]],Tabla14[#All],6,0)</f>
        <v>0.25</v>
      </c>
      <c r="E108" s="30">
        <f>RUTA473[[#This Row],[Columna3]]*RUTA473[[#This Row],[Columna4]]</f>
        <v>6</v>
      </c>
    </row>
    <row r="109" spans="1:5">
      <c r="A109" s="30" t="s">
        <v>113</v>
      </c>
      <c r="B109" s="30" t="s">
        <v>112</v>
      </c>
      <c r="C109" s="30">
        <v>12</v>
      </c>
      <c r="D109" s="30">
        <f>VLOOKUP(RUTA473[[#This Row],[Columna1]],Tabla14[#All],6,0)</f>
        <v>0.9375</v>
      </c>
      <c r="E109" s="30">
        <f>RUTA473[[#This Row],[Columna3]]*RUTA473[[#This Row],[Columna4]]</f>
        <v>11.25</v>
      </c>
    </row>
    <row r="110" spans="1:5">
      <c r="A110" s="30" t="s">
        <v>1944</v>
      </c>
      <c r="B110" s="30" t="s">
        <v>1943</v>
      </c>
      <c r="C110" s="30">
        <v>1</v>
      </c>
      <c r="D110" s="30">
        <f>VLOOKUP(RUTA473[[#This Row],[Columna1]],Tabla14[#All],6,0)</f>
        <v>0.10416666666666667</v>
      </c>
      <c r="E110" s="30">
        <f>RUTA473[[#This Row],[Columna3]]*RUTA473[[#This Row],[Columna4]]</f>
        <v>0.10416666666666667</v>
      </c>
    </row>
    <row r="111" spans="1:5">
      <c r="A111" s="30" t="s">
        <v>345</v>
      </c>
      <c r="B111" s="30" t="s">
        <v>344</v>
      </c>
      <c r="C111" s="30">
        <v>2</v>
      </c>
      <c r="D111" s="30">
        <f>VLOOKUP(RUTA473[[#This Row],[Columna1]],Tabla14[#All],6,0)</f>
        <v>2.65</v>
      </c>
      <c r="E111" s="30">
        <f>RUTA473[[#This Row],[Columna3]]*RUTA473[[#This Row],[Columna4]]</f>
        <v>5.3</v>
      </c>
    </row>
    <row r="112" spans="1:5">
      <c r="A112" s="30" t="s">
        <v>403</v>
      </c>
      <c r="B112" s="30" t="s">
        <v>402</v>
      </c>
      <c r="C112" s="30">
        <v>2</v>
      </c>
      <c r="D112" s="30">
        <f>VLOOKUP(RUTA473[[#This Row],[Columna1]],Tabla14[#All],6,0)</f>
        <v>2.1166666666666667</v>
      </c>
      <c r="E112" s="30">
        <f>RUTA473[[#This Row],[Columna3]]*RUTA473[[#This Row],[Columna4]]</f>
        <v>4.2333333333333334</v>
      </c>
    </row>
    <row r="113" spans="1:5">
      <c r="A113" s="30" t="s">
        <v>401</v>
      </c>
      <c r="B113" s="30" t="s">
        <v>400</v>
      </c>
      <c r="C113" s="30">
        <v>1</v>
      </c>
      <c r="D113" s="30">
        <f>VLOOKUP(RUTA473[[#This Row],[Columna1]],Tabla14[#All],6,0)</f>
        <v>2.1166666666666667</v>
      </c>
      <c r="E113" s="30">
        <f>RUTA473[[#This Row],[Columna3]]*RUTA473[[#This Row],[Columna4]]</f>
        <v>2.1166666666666667</v>
      </c>
    </row>
    <row r="114" spans="1:5">
      <c r="A114" s="30" t="s">
        <v>431</v>
      </c>
      <c r="B114" s="30" t="s">
        <v>430</v>
      </c>
      <c r="C114" s="30">
        <v>3</v>
      </c>
      <c r="D114" s="30">
        <f>VLOOKUP(RUTA473[[#This Row],[Columna1]],Tabla14[#All],6,0)</f>
        <v>2.1166666666666667</v>
      </c>
      <c r="E114" s="30">
        <f>RUTA473[[#This Row],[Columna3]]*RUTA473[[#This Row],[Columna4]]</f>
        <v>6.35</v>
      </c>
    </row>
    <row r="115" spans="1:5">
      <c r="A115" s="30" t="s">
        <v>359</v>
      </c>
      <c r="B115" s="30" t="s">
        <v>358</v>
      </c>
      <c r="C115" s="30">
        <v>2</v>
      </c>
      <c r="D115" s="30">
        <f>VLOOKUP(RUTA473[[#This Row],[Columna1]],Tabla14[#All],6,0)</f>
        <v>2.1166666666666667</v>
      </c>
      <c r="E115" s="30">
        <f>RUTA473[[#This Row],[Columna3]]*RUTA473[[#This Row],[Columna4]]</f>
        <v>4.2333333333333334</v>
      </c>
    </row>
    <row r="116" spans="1:5">
      <c r="A116" s="30" t="s">
        <v>1081</v>
      </c>
      <c r="B116" s="30" t="s">
        <v>1080</v>
      </c>
      <c r="C116" s="30">
        <v>16</v>
      </c>
      <c r="D116" s="30">
        <f>VLOOKUP(RUTA473[[#This Row],[Columna1]],Tabla14[#All],6,0)</f>
        <v>2.1166666666666667</v>
      </c>
      <c r="E116" s="30">
        <f>RUTA473[[#This Row],[Columna3]]*RUTA473[[#This Row],[Columna4]]</f>
        <v>33.866666666666667</v>
      </c>
    </row>
    <row r="117" spans="1:5">
      <c r="A117" s="30" t="s">
        <v>41</v>
      </c>
      <c r="B117" s="30" t="s">
        <v>40</v>
      </c>
      <c r="C117" s="30">
        <v>4</v>
      </c>
      <c r="D117" s="30">
        <f>VLOOKUP(RUTA473[[#This Row],[Columna1]],Tabla14[#All],6,0)</f>
        <v>0.24270833333333333</v>
      </c>
      <c r="E117" s="30">
        <f>RUTA473[[#This Row],[Columna3]]*RUTA473[[#This Row],[Columna4]]</f>
        <v>0.97083333333333333</v>
      </c>
    </row>
    <row r="118" spans="1:5">
      <c r="A118" s="30" t="s">
        <v>37</v>
      </c>
      <c r="B118" s="30" t="s">
        <v>36</v>
      </c>
      <c r="C118" s="30">
        <v>4</v>
      </c>
      <c r="D118" s="30">
        <f>VLOOKUP(RUTA473[[#This Row],[Columna1]],Tabla14[#All],6,0)</f>
        <v>0.24270833333333333</v>
      </c>
      <c r="E118" s="30">
        <f>RUTA473[[#This Row],[Columna3]]*RUTA473[[#This Row],[Columna4]]</f>
        <v>0.97083333333333333</v>
      </c>
    </row>
    <row r="119" spans="1:5">
      <c r="A119" s="30" t="s">
        <v>39</v>
      </c>
      <c r="B119" s="30" t="s">
        <v>38</v>
      </c>
      <c r="C119" s="30">
        <v>4</v>
      </c>
      <c r="D119" s="30">
        <f>VLOOKUP(RUTA473[[#This Row],[Columna1]],Tabla14[#All],6,0)</f>
        <v>0.24270833333333333</v>
      </c>
      <c r="E119" s="30">
        <f>RUTA473[[#This Row],[Columna3]]*RUTA473[[#This Row],[Columna4]]</f>
        <v>0.97083333333333333</v>
      </c>
    </row>
    <row r="120" spans="1:5">
      <c r="A120" s="30" t="s">
        <v>387</v>
      </c>
      <c r="B120" s="30" t="s">
        <v>2271</v>
      </c>
      <c r="C120" s="30">
        <v>6</v>
      </c>
      <c r="D120" s="30">
        <f>VLOOKUP(RUTA473[[#This Row],[Columna1]],Tabla14[#All],6,0)</f>
        <v>0.88249999999999995</v>
      </c>
      <c r="E120" s="30">
        <f>RUTA473[[#This Row],[Columna3]]*RUTA473[[#This Row],[Columna4]]</f>
        <v>5.2949999999999999</v>
      </c>
    </row>
    <row r="121" spans="1:5">
      <c r="A121" s="30" t="s">
        <v>429</v>
      </c>
      <c r="B121" s="30" t="s">
        <v>428</v>
      </c>
      <c r="C121" s="30">
        <v>3</v>
      </c>
      <c r="D121" s="30">
        <f>VLOOKUP(RUTA473[[#This Row],[Columna1]],Tabla14[#All],6,0)</f>
        <v>2.1166666666666667</v>
      </c>
      <c r="E121" s="30">
        <f>RUTA473[[#This Row],[Columna3]]*RUTA473[[#This Row],[Columna4]]</f>
        <v>6.35</v>
      </c>
    </row>
    <row r="122" spans="1:5">
      <c r="A122" s="30" t="s">
        <v>45</v>
      </c>
      <c r="B122" s="30" t="s">
        <v>2170</v>
      </c>
      <c r="C122" s="30">
        <v>2</v>
      </c>
      <c r="D122" s="30">
        <f>VLOOKUP(RUTA473[[#This Row],[Columna1]],Tabla14[#All],6,0)</f>
        <v>0.5</v>
      </c>
      <c r="E122" s="30">
        <f>RUTA473[[#This Row],[Columna3]]*RUTA473[[#This Row],[Columna4]]</f>
        <v>1</v>
      </c>
    </row>
    <row r="123" spans="1:5">
      <c r="A123" s="30" t="s">
        <v>47</v>
      </c>
      <c r="B123" s="30" t="s">
        <v>46</v>
      </c>
      <c r="C123" s="30">
        <v>1</v>
      </c>
      <c r="D123" s="30">
        <f>VLOOKUP(RUTA473[[#This Row],[Columna1]],Tabla14[#All],6,0)</f>
        <v>2.1166666666666667</v>
      </c>
      <c r="E123" s="30">
        <f>RUTA473[[#This Row],[Columna3]]*RUTA473[[#This Row],[Columna4]]</f>
        <v>2.1166666666666667</v>
      </c>
    </row>
    <row r="124" spans="1:5">
      <c r="A124" s="30" t="s">
        <v>31</v>
      </c>
      <c r="B124" s="30" t="s">
        <v>30</v>
      </c>
      <c r="C124" s="30">
        <v>9</v>
      </c>
      <c r="D124" s="30">
        <f>VLOOKUP(RUTA473[[#This Row],[Columna1]],Tabla14[#All],6,0)</f>
        <v>0.11</v>
      </c>
      <c r="E124" s="30">
        <f>RUTA473[[#This Row],[Columna3]]*RUTA473[[#This Row],[Columna4]]</f>
        <v>0.99</v>
      </c>
    </row>
    <row r="125" spans="1:5">
      <c r="A125" s="30" t="s">
        <v>395</v>
      </c>
      <c r="B125" s="30" t="s">
        <v>2237</v>
      </c>
      <c r="C125" s="30">
        <v>42</v>
      </c>
      <c r="D125" s="30">
        <f>VLOOKUP(RUTA473[[#This Row],[Columna1]],Tabla14[#All],6,0)</f>
        <v>0.47499999999999998</v>
      </c>
      <c r="E125" s="30">
        <f>RUTA473[[#This Row],[Columna3]]*RUTA473[[#This Row],[Columna4]]</f>
        <v>19.95</v>
      </c>
    </row>
    <row r="126" spans="1:5">
      <c r="A126" s="30" t="s">
        <v>5</v>
      </c>
      <c r="B126" s="30" t="s">
        <v>4</v>
      </c>
      <c r="C126" s="30">
        <v>1</v>
      </c>
      <c r="D126" s="30">
        <f>VLOOKUP(RUTA473[[#This Row],[Columna1]],Tabla14[#All],6,0)</f>
        <v>1.1041666666666667</v>
      </c>
      <c r="E126" s="30">
        <f>RUTA473[[#This Row],[Columna3]]*RUTA473[[#This Row],[Columna4]]</f>
        <v>1.1041666666666667</v>
      </c>
    </row>
    <row r="127" spans="1:5">
      <c r="A127" s="30" t="s">
        <v>339</v>
      </c>
      <c r="B127" s="30" t="s">
        <v>338</v>
      </c>
      <c r="C127" s="30">
        <v>7</v>
      </c>
      <c r="D127" s="30">
        <f>VLOOKUP(RUTA473[[#This Row],[Columna1]],Tabla14[#All],6,0)</f>
        <v>1.1041666666666667</v>
      </c>
      <c r="E127" s="30">
        <f>RUTA473[[#This Row],[Columna3]]*RUTA473[[#This Row],[Columna4]]</f>
        <v>7.729166666666667</v>
      </c>
    </row>
    <row r="128" spans="1:5">
      <c r="A128" s="30" t="s">
        <v>7</v>
      </c>
      <c r="B128" s="30" t="s">
        <v>6</v>
      </c>
      <c r="C128" s="30">
        <v>3</v>
      </c>
      <c r="D128" s="30">
        <f>VLOOKUP(RUTA473[[#This Row],[Columna1]],Tabla14[#All],6,0)</f>
        <v>1.1041666666666667</v>
      </c>
      <c r="E128" s="30">
        <f>RUTA473[[#This Row],[Columna3]]*RUTA473[[#This Row],[Columna4]]</f>
        <v>3.3125</v>
      </c>
    </row>
    <row r="129" spans="1:5">
      <c r="A129" s="30" t="s">
        <v>343</v>
      </c>
      <c r="B129" s="30" t="s">
        <v>342</v>
      </c>
      <c r="C129" s="30">
        <v>2</v>
      </c>
      <c r="D129" s="30">
        <f>VLOOKUP(RUTA473[[#This Row],[Columna1]],Tabla14[#All],6,0)</f>
        <v>1.1041666666666667</v>
      </c>
      <c r="E129" s="30">
        <f>RUTA473[[#This Row],[Columna3]]*RUTA473[[#This Row],[Columna4]]</f>
        <v>2.2083333333333335</v>
      </c>
    </row>
    <row r="130" spans="1:5">
      <c r="A130" s="30" t="s">
        <v>3</v>
      </c>
      <c r="B130" s="30" t="s">
        <v>2</v>
      </c>
      <c r="C130" s="30">
        <v>6</v>
      </c>
      <c r="D130" s="30">
        <f>VLOOKUP(RUTA473[[#This Row],[Columna1]],Tabla14[#All],6,0)</f>
        <v>1.1041666666666667</v>
      </c>
      <c r="E130" s="30">
        <f>RUTA473[[#This Row],[Columna3]]*RUTA473[[#This Row],[Columna4]]</f>
        <v>6.625</v>
      </c>
    </row>
    <row r="131" spans="1:5">
      <c r="A131" s="30" t="s">
        <v>857</v>
      </c>
      <c r="B131" s="30" t="s">
        <v>856</v>
      </c>
      <c r="C131" s="30">
        <v>1</v>
      </c>
      <c r="D131" s="30">
        <f>VLOOKUP(RUTA473[[#This Row],[Columna1]],Tabla14[#All],6,0)</f>
        <v>1.3125</v>
      </c>
      <c r="E131" s="30">
        <f>RUTA473[[#This Row],[Columna3]]*RUTA473[[#This Row],[Columna4]]</f>
        <v>1.3125</v>
      </c>
    </row>
    <row r="132" spans="1:5">
      <c r="A132" s="30" t="s">
        <v>825</v>
      </c>
      <c r="B132" s="30" t="s">
        <v>824</v>
      </c>
      <c r="C132" s="30">
        <v>5</v>
      </c>
      <c r="D132" s="30">
        <f>VLOOKUP(RUTA473[[#This Row],[Columna1]],Tabla14[#All],6,0)</f>
        <v>0.37040000000000001</v>
      </c>
      <c r="E132" s="30">
        <f>RUTA473[[#This Row],[Columna3]]*RUTA473[[#This Row],[Columna4]]</f>
        <v>1.8520000000000001</v>
      </c>
    </row>
    <row r="133" spans="1:5">
      <c r="A133" s="30" t="s">
        <v>1694</v>
      </c>
      <c r="B133" s="30" t="s">
        <v>1693</v>
      </c>
      <c r="C133" s="30">
        <v>1</v>
      </c>
      <c r="D133" s="30">
        <f>VLOOKUP(RUTA473[[#This Row],[Columna1]],Tabla14[#All],6,0)</f>
        <v>0.6</v>
      </c>
      <c r="E133" s="30">
        <f>RUTA473[[#This Row],[Columna3]]*RUTA473[[#This Row],[Columna4]]</f>
        <v>0.6</v>
      </c>
    </row>
    <row r="134" spans="1:5">
      <c r="A134" s="30" t="s">
        <v>1718</v>
      </c>
      <c r="B134" s="30" t="s">
        <v>1717</v>
      </c>
      <c r="C134" s="30">
        <v>2</v>
      </c>
      <c r="D134" s="30">
        <f>VLOOKUP(RUTA473[[#This Row],[Columna1]],Tabla14[#All],6,0)</f>
        <v>0.6</v>
      </c>
      <c r="E134" s="30">
        <f>RUTA473[[#This Row],[Columna3]]*RUTA473[[#This Row],[Columna4]]</f>
        <v>1.2</v>
      </c>
    </row>
    <row r="135" spans="1:5">
      <c r="A135" s="30" t="s">
        <v>1722</v>
      </c>
      <c r="B135" s="30" t="s">
        <v>1721</v>
      </c>
      <c r="C135" s="30">
        <v>2</v>
      </c>
      <c r="D135" s="30">
        <f>VLOOKUP(RUTA473[[#This Row],[Columna1]],Tabla14[#All],6,0)</f>
        <v>0.6</v>
      </c>
      <c r="E135" s="30">
        <f>RUTA473[[#This Row],[Columna3]]*RUTA473[[#This Row],[Columna4]]</f>
        <v>1.2</v>
      </c>
    </row>
    <row r="136" spans="1:5">
      <c r="A136" s="30" t="s">
        <v>1708</v>
      </c>
      <c r="B136" s="30" t="s">
        <v>1707</v>
      </c>
      <c r="C136" s="30">
        <v>1</v>
      </c>
      <c r="D136" s="30">
        <f>VLOOKUP(RUTA473[[#This Row],[Columna1]],Tabla14[#All],6,0)</f>
        <v>0.6</v>
      </c>
      <c r="E136" s="30">
        <f>RUTA473[[#This Row],[Columna3]]*RUTA473[[#This Row],[Columna4]]</f>
        <v>0.6</v>
      </c>
    </row>
    <row r="137" spans="1:5">
      <c r="A137" s="30" t="s">
        <v>1706</v>
      </c>
      <c r="B137" s="30" t="s">
        <v>1705</v>
      </c>
      <c r="C137" s="30">
        <v>2</v>
      </c>
      <c r="D137" s="30">
        <f>VLOOKUP(RUTA473[[#This Row],[Columna1]],Tabla14[#All],6,0)</f>
        <v>0.6</v>
      </c>
      <c r="E137" s="30">
        <f>RUTA473[[#This Row],[Columna3]]*RUTA473[[#This Row],[Columna4]]</f>
        <v>1.2</v>
      </c>
    </row>
    <row r="138" spans="1:5">
      <c r="A138" s="30" t="s">
        <v>1209</v>
      </c>
      <c r="B138" s="30" t="s">
        <v>295</v>
      </c>
      <c r="C138" s="30">
        <v>5</v>
      </c>
      <c r="D138" s="30">
        <f>VLOOKUP(RUTA473[[#This Row],[Columna1]],Tabla14[#All],6,0)</f>
        <v>0.9277777777777777</v>
      </c>
      <c r="E138" s="30">
        <f>RUTA473[[#This Row],[Columna3]]*RUTA473[[#This Row],[Columna4]]</f>
        <v>4.6388888888888884</v>
      </c>
    </row>
    <row r="139" spans="1:5">
      <c r="A139" s="30" t="s">
        <v>1177</v>
      </c>
      <c r="B139" s="30" t="s">
        <v>298</v>
      </c>
      <c r="C139" s="30">
        <v>1</v>
      </c>
      <c r="D139" s="30">
        <f>VLOOKUP(RUTA473[[#This Row],[Columna1]],Tabla14[#All],6,0)</f>
        <v>0.9277777777777777</v>
      </c>
      <c r="E139" s="30">
        <f>RUTA473[[#This Row],[Columna3]]*RUTA473[[#This Row],[Columna4]]</f>
        <v>0.9277777777777777</v>
      </c>
    </row>
    <row r="140" spans="1:5">
      <c r="A140" s="30" t="s">
        <v>1180</v>
      </c>
      <c r="B140" s="30" t="s">
        <v>297</v>
      </c>
      <c r="C140" s="30">
        <v>1</v>
      </c>
      <c r="D140" s="30">
        <f>VLOOKUP(RUTA473[[#This Row],[Columna1]],Tabla14[#All],6,0)</f>
        <v>0.9277777777777777</v>
      </c>
      <c r="E140" s="30">
        <f>RUTA473[[#This Row],[Columna3]]*RUTA473[[#This Row],[Columna4]]</f>
        <v>0.9277777777777777</v>
      </c>
    </row>
    <row r="141" spans="1:5">
      <c r="A141" s="30" t="s">
        <v>1213</v>
      </c>
      <c r="B141" s="30" t="s">
        <v>303</v>
      </c>
      <c r="C141" s="30">
        <v>2</v>
      </c>
      <c r="D141" s="30">
        <f>VLOOKUP(RUTA473[[#This Row],[Columna1]],Tabla14[#All],6,0)</f>
        <v>0.42399999999999999</v>
      </c>
      <c r="E141" s="30">
        <f>RUTA473[[#This Row],[Columna3]]*RUTA473[[#This Row],[Columna4]]</f>
        <v>0.84799999999999998</v>
      </c>
    </row>
    <row r="142" spans="1:5">
      <c r="A142" s="30" t="s">
        <v>1189</v>
      </c>
      <c r="B142" s="30" t="s">
        <v>1188</v>
      </c>
      <c r="C142" s="30">
        <v>1</v>
      </c>
      <c r="D142" s="30">
        <f>VLOOKUP(RUTA473[[#This Row],[Columna1]],Tabla14[#All],6,0)</f>
        <v>0.9277777777777777</v>
      </c>
      <c r="E142" s="30">
        <f>RUTA473[[#This Row],[Columna3]]*RUTA473[[#This Row],[Columna4]]</f>
        <v>0.9277777777777777</v>
      </c>
    </row>
    <row r="143" spans="1:5">
      <c r="A143" s="30" t="s">
        <v>2216</v>
      </c>
      <c r="B143" s="30" t="s">
        <v>2215</v>
      </c>
      <c r="C143" s="30">
        <v>2</v>
      </c>
      <c r="D143" s="30">
        <f>VLOOKUP(RUTA473[[#This Row],[Columna1]],Tabla14[#All],6,0)</f>
        <v>0.356875</v>
      </c>
      <c r="E143" s="30">
        <f>RUTA473[[#This Row],[Columna3]]*RUTA473[[#This Row],[Columna4]]</f>
        <v>0.71375</v>
      </c>
    </row>
    <row r="144" spans="1:5">
      <c r="A144" s="30" t="s">
        <v>1749</v>
      </c>
      <c r="B144" s="30" t="s">
        <v>2008</v>
      </c>
      <c r="C144" s="30">
        <v>6</v>
      </c>
      <c r="D144" s="30">
        <f>VLOOKUP(RUTA473[[#This Row],[Columna1]],Tabla14[#All],6,0)</f>
        <v>0.71375</v>
      </c>
      <c r="E144" s="30">
        <f>RUTA473[[#This Row],[Columna3]]*RUTA473[[#This Row],[Columna4]]</f>
        <v>4.2824999999999998</v>
      </c>
    </row>
    <row r="145" spans="1:5">
      <c r="A145" s="30" t="s">
        <v>2057</v>
      </c>
      <c r="B145" s="30" t="s">
        <v>2056</v>
      </c>
      <c r="C145" s="30">
        <v>1</v>
      </c>
      <c r="D145" s="30">
        <f>VLOOKUP(RUTA473[[#This Row],[Columna1]],Tabla14[#All],6,0)</f>
        <v>0.45</v>
      </c>
      <c r="E145" s="30">
        <f>RUTA473[[#This Row],[Columna3]]*RUTA473[[#This Row],[Columna4]]</f>
        <v>0.45</v>
      </c>
    </row>
    <row r="146" spans="1:5">
      <c r="A146" s="30" t="s">
        <v>2242</v>
      </c>
      <c r="B146" s="30" t="s">
        <v>2241</v>
      </c>
      <c r="C146" s="30">
        <v>1</v>
      </c>
      <c r="D146" s="30">
        <f>VLOOKUP(RUTA473[[#This Row],[Columna1]],Tabla14[#All],6,0)</f>
        <v>0.45</v>
      </c>
      <c r="E146" s="30">
        <f>RUTA473[[#This Row],[Columna3]]*RUTA473[[#This Row],[Columna4]]</f>
        <v>0.45</v>
      </c>
    </row>
    <row r="147" spans="1:5">
      <c r="A147" s="30" t="s">
        <v>2063</v>
      </c>
      <c r="B147" s="30" t="s">
        <v>2062</v>
      </c>
      <c r="C147" s="30">
        <v>1</v>
      </c>
      <c r="D147" s="30">
        <f>VLOOKUP(RUTA473[[#This Row],[Columna1]],Tabla14[#All],6,0)</f>
        <v>0.53</v>
      </c>
      <c r="E147" s="30">
        <f>RUTA473[[#This Row],[Columna3]]*RUTA473[[#This Row],[Columna4]]</f>
        <v>0.53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1CF-76ED-4460-84BC-3C7D94305EC7}">
  <dimension ref="A1:E155"/>
  <sheetViews>
    <sheetView workbookViewId="0"/>
  </sheetViews>
  <sheetFormatPr baseColWidth="10" defaultRowHeight="14.4"/>
  <cols>
    <col min="1" max="1" width="11.5546875" style="30"/>
    <col min="2" max="2" width="4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240</v>
      </c>
      <c r="D2" s="30">
        <f>VLOOKUP(RUTA474[[#This Row],[Columna1]],Tabla14[#All],6,0)</f>
        <v>0.88200000000000001</v>
      </c>
      <c r="E2" s="30">
        <f>RUTA474[[#This Row],[Columna3]]*RUTA474[[#This Row],[Columna4]]</f>
        <v>211.68</v>
      </c>
    </row>
    <row r="3" spans="1:5">
      <c r="A3" s="30">
        <v>10010020002</v>
      </c>
      <c r="B3" s="30" t="s">
        <v>144</v>
      </c>
      <c r="C3" s="30">
        <v>6</v>
      </c>
      <c r="D3" s="30">
        <f>VLOOKUP(RUTA474[[#This Row],[Columna1]],Tabla14[#All],6,0)</f>
        <v>0.88200000000000001</v>
      </c>
      <c r="E3" s="30">
        <f>RUTA474[[#This Row],[Columna3]]*RUTA474[[#This Row],[Columna4]]</f>
        <v>5.2919999999999998</v>
      </c>
    </row>
    <row r="4" spans="1:5">
      <c r="A4" s="30">
        <v>10020040002</v>
      </c>
      <c r="B4" s="30" t="s">
        <v>145</v>
      </c>
      <c r="C4" s="30">
        <v>37</v>
      </c>
      <c r="D4" s="30">
        <f>VLOOKUP(RUTA474[[#This Row],[Columna1]],Tabla14[#All],6,0)</f>
        <v>0.88200000000000001</v>
      </c>
      <c r="E4" s="30">
        <f>RUTA474[[#This Row],[Columna3]]*RUTA474[[#This Row],[Columna4]]</f>
        <v>32.634</v>
      </c>
    </row>
    <row r="5" spans="1:5">
      <c r="A5" s="30">
        <v>1008010073</v>
      </c>
      <c r="B5" s="30" t="s">
        <v>443</v>
      </c>
      <c r="C5" s="30">
        <v>1</v>
      </c>
      <c r="D5" s="30">
        <f>VLOOKUP(RUTA474[[#This Row],[Columna1]],Tabla14[#All],6,0)</f>
        <v>0.33071428571428568</v>
      </c>
      <c r="E5" s="30">
        <f>RUTA474[[#This Row],[Columna3]]*RUTA474[[#This Row],[Columna4]]</f>
        <v>0.33071428571428568</v>
      </c>
    </row>
    <row r="6" spans="1:5">
      <c r="A6" s="30">
        <v>1008011812</v>
      </c>
      <c r="B6" s="30" t="s">
        <v>445</v>
      </c>
      <c r="C6" s="30">
        <v>6</v>
      </c>
      <c r="D6" s="30">
        <f>VLOOKUP(RUTA474[[#This Row],[Columna1]],Tabla14[#All],6,0)</f>
        <v>0.63928571428571423</v>
      </c>
      <c r="E6" s="30">
        <f>RUTA474[[#This Row],[Columna3]]*RUTA474[[#This Row],[Columna4]]</f>
        <v>3.8357142857142854</v>
      </c>
    </row>
    <row r="7" spans="1:5">
      <c r="A7" s="30">
        <v>1008012355</v>
      </c>
      <c r="B7" s="30" t="s">
        <v>446</v>
      </c>
      <c r="C7" s="30">
        <v>5</v>
      </c>
      <c r="D7" s="30">
        <f>VLOOKUP(RUTA474[[#This Row],[Columna1]],Tabla14[#All],6,0)</f>
        <v>1.3666666666666665</v>
      </c>
      <c r="E7" s="30">
        <f>RUTA474[[#This Row],[Columna3]]*RUTA474[[#This Row],[Columna4]]</f>
        <v>6.8333333333333321</v>
      </c>
    </row>
    <row r="8" spans="1:5">
      <c r="A8" s="30">
        <v>400000127</v>
      </c>
      <c r="B8" s="30" t="s">
        <v>585</v>
      </c>
      <c r="C8" s="30">
        <v>5</v>
      </c>
      <c r="D8" s="30">
        <f>VLOOKUP(RUTA474[[#This Row],[Columna1]],Tabla14[#All],6,0)</f>
        <v>1.5449999999999999</v>
      </c>
      <c r="E8" s="30">
        <f>RUTA474[[#This Row],[Columna3]]*RUTA474[[#This Row],[Columna4]]</f>
        <v>7.7249999999999996</v>
      </c>
    </row>
    <row r="9" spans="1:5">
      <c r="A9" s="30">
        <v>400000221</v>
      </c>
      <c r="B9" s="30" t="s">
        <v>587</v>
      </c>
      <c r="C9" s="30">
        <v>10</v>
      </c>
      <c r="D9" s="30">
        <f>VLOOKUP(RUTA474[[#This Row],[Columna1]],Tabla14[#All],6,0)</f>
        <v>0.8</v>
      </c>
      <c r="E9" s="30">
        <f>RUTA474[[#This Row],[Columna3]]*RUTA474[[#This Row],[Columna4]]</f>
        <v>8</v>
      </c>
    </row>
    <row r="10" spans="1:5">
      <c r="A10" s="30">
        <v>4040000841</v>
      </c>
      <c r="B10" s="30" t="s">
        <v>590</v>
      </c>
      <c r="C10" s="30">
        <v>1</v>
      </c>
      <c r="D10" s="30">
        <f>VLOOKUP(RUTA474[[#This Row],[Columna1]],Tabla14[#All],6,0)</f>
        <v>0.625</v>
      </c>
      <c r="E10" s="30">
        <f>RUTA474[[#This Row],[Columna3]]*RUTA474[[#This Row],[Columna4]]</f>
        <v>0.625</v>
      </c>
    </row>
    <row r="11" spans="1:5">
      <c r="A11" s="30">
        <v>50491101</v>
      </c>
      <c r="B11" s="30" t="s">
        <v>1950</v>
      </c>
      <c r="C11" s="30">
        <v>6</v>
      </c>
      <c r="D11" s="30">
        <f>VLOOKUP(RUTA474[[#This Row],[Columna1]],Tabla14[#All],6,0)</f>
        <v>2.65</v>
      </c>
      <c r="E11" s="30">
        <f>RUTA474[[#This Row],[Columna3]]*RUTA474[[#This Row],[Columna4]]</f>
        <v>15.899999999999999</v>
      </c>
    </row>
    <row r="12" spans="1:5">
      <c r="A12" s="30">
        <v>50491106</v>
      </c>
      <c r="B12" s="30" t="s">
        <v>2256</v>
      </c>
      <c r="C12" s="30">
        <v>1</v>
      </c>
      <c r="D12" s="30">
        <f>VLOOKUP(RUTA474[[#This Row],[Columna1]],Tabla14[#All],6,0)</f>
        <v>2.65</v>
      </c>
      <c r="E12" s="30">
        <f>RUTA474[[#This Row],[Columna3]]*RUTA474[[#This Row],[Columna4]]</f>
        <v>2.65</v>
      </c>
    </row>
    <row r="13" spans="1:5">
      <c r="A13" s="30">
        <v>50491107</v>
      </c>
      <c r="B13" s="30" t="s">
        <v>1897</v>
      </c>
      <c r="C13" s="30">
        <v>8</v>
      </c>
      <c r="D13" s="30">
        <f>VLOOKUP(RUTA474[[#This Row],[Columna1]],Tabla14[#All],6,0)</f>
        <v>2.65</v>
      </c>
      <c r="E13" s="30">
        <f>RUTA474[[#This Row],[Columna3]]*RUTA474[[#This Row],[Columna4]]</f>
        <v>21.2</v>
      </c>
    </row>
    <row r="14" spans="1:5">
      <c r="A14" s="30">
        <v>50491108</v>
      </c>
      <c r="B14" s="30" t="s">
        <v>2010</v>
      </c>
      <c r="C14" s="30">
        <v>8</v>
      </c>
      <c r="D14" s="30">
        <f>VLOOKUP(RUTA474[[#This Row],[Columna1]],Tabla14[#All],6,0)</f>
        <v>2.65</v>
      </c>
      <c r="E14" s="30">
        <f>RUTA474[[#This Row],[Columna3]]*RUTA474[[#This Row],[Columna4]]</f>
        <v>21.2</v>
      </c>
    </row>
    <row r="15" spans="1:5">
      <c r="A15" s="30">
        <v>50491109</v>
      </c>
      <c r="B15" s="30" t="s">
        <v>1584</v>
      </c>
      <c r="C15" s="30">
        <v>8</v>
      </c>
      <c r="D15" s="30">
        <f>VLOOKUP(RUTA474[[#This Row],[Columna1]],Tabla14[#All],6,0)</f>
        <v>2.65</v>
      </c>
      <c r="E15" s="30">
        <f>RUTA474[[#This Row],[Columna3]]*RUTA474[[#This Row],[Columna4]]</f>
        <v>21.2</v>
      </c>
    </row>
    <row r="16" spans="1:5">
      <c r="A16" s="30">
        <v>50491122</v>
      </c>
      <c r="B16" s="30" t="s">
        <v>2264</v>
      </c>
      <c r="C16" s="30">
        <v>1</v>
      </c>
      <c r="D16" s="30">
        <f>VLOOKUP(RUTA474[[#This Row],[Columna1]],Tabla14[#All],6,0)</f>
        <v>0.88166666666666671</v>
      </c>
      <c r="E16" s="30">
        <f>RUTA474[[#This Row],[Columna3]]*RUTA474[[#This Row],[Columna4]]</f>
        <v>0.88166666666666671</v>
      </c>
    </row>
    <row r="17" spans="1:5">
      <c r="A17" s="30">
        <v>50491131</v>
      </c>
      <c r="B17" s="30" t="s">
        <v>1759</v>
      </c>
      <c r="C17" s="30">
        <v>9</v>
      </c>
      <c r="D17" s="30">
        <f>VLOOKUP(RUTA474[[#This Row],[Columna1]],Tabla14[#All],6,0)</f>
        <v>3.2916666666666665</v>
      </c>
      <c r="E17" s="30">
        <f>RUTA474[[#This Row],[Columna3]]*RUTA474[[#This Row],[Columna4]]</f>
        <v>29.625</v>
      </c>
    </row>
    <row r="18" spans="1:5">
      <c r="A18" s="30">
        <v>50491133</v>
      </c>
      <c r="B18" s="30" t="s">
        <v>1761</v>
      </c>
      <c r="C18" s="30">
        <v>9</v>
      </c>
      <c r="D18" s="30">
        <f>VLOOKUP(RUTA474[[#This Row],[Columna1]],Tabla14[#All],6,0)</f>
        <v>3.3049999999999997</v>
      </c>
      <c r="E18" s="30">
        <f>RUTA474[[#This Row],[Columna3]]*RUTA474[[#This Row],[Columna4]]</f>
        <v>29.744999999999997</v>
      </c>
    </row>
    <row r="19" spans="1:5">
      <c r="A19" s="30">
        <v>50491134</v>
      </c>
      <c r="B19" s="30" t="s">
        <v>1758</v>
      </c>
      <c r="C19" s="30">
        <v>20</v>
      </c>
      <c r="D19" s="30">
        <f>VLOOKUP(RUTA474[[#This Row],[Columna1]],Tabla14[#All],6,0)</f>
        <v>3.2916666666666665</v>
      </c>
      <c r="E19" s="30">
        <f>RUTA474[[#This Row],[Columna3]]*RUTA474[[#This Row],[Columna4]]</f>
        <v>65.833333333333329</v>
      </c>
    </row>
    <row r="20" spans="1:5">
      <c r="A20" s="30">
        <v>52480086</v>
      </c>
      <c r="B20" s="30" t="s">
        <v>1939</v>
      </c>
      <c r="C20" s="30">
        <v>11</v>
      </c>
      <c r="D20" s="30">
        <f>VLOOKUP(RUTA474[[#This Row],[Columna1]],Tabla14[#All],6,0)</f>
        <v>0.23805555555555558</v>
      </c>
      <c r="E20" s="30">
        <f>RUTA474[[#This Row],[Columna3]]*RUTA474[[#This Row],[Columna4]]</f>
        <v>2.6186111111111114</v>
      </c>
    </row>
    <row r="21" spans="1:5">
      <c r="A21" s="30">
        <v>5460400</v>
      </c>
      <c r="B21" s="30" t="s">
        <v>2133</v>
      </c>
      <c r="C21" s="30">
        <v>120</v>
      </c>
      <c r="D21" s="30">
        <f>VLOOKUP(RUTA474[[#This Row],[Columna1]],Tabla14[#All],6,0)</f>
        <v>0.75</v>
      </c>
      <c r="E21" s="30">
        <f>RUTA474[[#This Row],[Columna3]]*RUTA474[[#This Row],[Columna4]]</f>
        <v>90</v>
      </c>
    </row>
    <row r="22" spans="1:5">
      <c r="A22" s="30">
        <v>5467000</v>
      </c>
      <c r="B22" s="30" t="s">
        <v>2066</v>
      </c>
      <c r="C22" s="30">
        <v>12</v>
      </c>
      <c r="D22" s="30">
        <f>VLOOKUP(RUTA474[[#This Row],[Columna1]],Tabla14[#All],6,0)</f>
        <v>1.1100000000000001</v>
      </c>
      <c r="E22" s="30">
        <f>RUTA474[[#This Row],[Columna3]]*RUTA474[[#This Row],[Columna4]]</f>
        <v>13.32</v>
      </c>
    </row>
    <row r="23" spans="1:5">
      <c r="A23" s="30">
        <v>574983</v>
      </c>
      <c r="B23" s="30" t="s">
        <v>2274</v>
      </c>
      <c r="C23" s="30">
        <v>14</v>
      </c>
      <c r="D23" s="30">
        <f>VLOOKUP(RUTA474[[#This Row],[Columna1]],Tabla14[#All],6,0)</f>
        <v>0.22083333333333333</v>
      </c>
      <c r="E23" s="30">
        <f>RUTA474[[#This Row],[Columna3]]*RUTA474[[#This Row],[Columna4]]</f>
        <v>3.0916666666666668</v>
      </c>
    </row>
    <row r="24" spans="1:5">
      <c r="A24" s="30">
        <v>576003</v>
      </c>
      <c r="B24" s="30" t="s">
        <v>2084</v>
      </c>
      <c r="C24" s="30">
        <v>73</v>
      </c>
      <c r="D24" s="30">
        <f>VLOOKUP(RUTA474[[#This Row],[Columna1]],Tabla14[#All],6,0)</f>
        <v>0.11944444444444444</v>
      </c>
      <c r="E24" s="30">
        <f>RUTA474[[#This Row],[Columna3]]*RUTA474[[#This Row],[Columna4]]</f>
        <v>8.7194444444444432</v>
      </c>
    </row>
    <row r="25" spans="1:5">
      <c r="A25" s="30">
        <v>60000094</v>
      </c>
      <c r="B25" s="30" t="s">
        <v>1387</v>
      </c>
      <c r="C25" s="30">
        <v>82</v>
      </c>
      <c r="D25" s="30">
        <f>VLOOKUP(RUTA474[[#This Row],[Columna1]],Tabla14[#All],6,0)</f>
        <v>1.76</v>
      </c>
      <c r="E25" s="30">
        <f>RUTA474[[#This Row],[Columna3]]*RUTA474[[#This Row],[Columna4]]</f>
        <v>144.32</v>
      </c>
    </row>
    <row r="26" spans="1:5">
      <c r="A26" s="30">
        <v>60000205</v>
      </c>
      <c r="B26" s="30" t="s">
        <v>141</v>
      </c>
      <c r="C26" s="30">
        <v>20</v>
      </c>
      <c r="D26" s="30">
        <f>VLOOKUP(RUTA474[[#This Row],[Columna1]],Tabla14[#All],6,0)</f>
        <v>0.88000000000000012</v>
      </c>
      <c r="E26" s="30">
        <f>RUTA474[[#This Row],[Columna3]]*RUTA474[[#This Row],[Columna4]]</f>
        <v>17.600000000000001</v>
      </c>
    </row>
    <row r="27" spans="1:5">
      <c r="A27" s="30">
        <v>60000209</v>
      </c>
      <c r="B27" s="30" t="s">
        <v>147</v>
      </c>
      <c r="C27" s="30">
        <v>57</v>
      </c>
      <c r="D27" s="30">
        <f>VLOOKUP(RUTA474[[#This Row],[Columna1]],Tabla14[#All],6,0)</f>
        <v>0.77200000000000002</v>
      </c>
      <c r="E27" s="30">
        <f>RUTA474[[#This Row],[Columna3]]*RUTA474[[#This Row],[Columna4]]</f>
        <v>44.003999999999998</v>
      </c>
    </row>
    <row r="28" spans="1:5">
      <c r="A28" s="30">
        <v>60000210</v>
      </c>
      <c r="B28" s="30" t="s">
        <v>148</v>
      </c>
      <c r="C28" s="30">
        <v>487</v>
      </c>
      <c r="D28" s="30">
        <f>VLOOKUP(RUTA474[[#This Row],[Columna1]],Tabla14[#All],6,0)</f>
        <v>0.77200000000000002</v>
      </c>
      <c r="E28" s="30">
        <f>RUTA474[[#This Row],[Columna3]]*RUTA474[[#This Row],[Columna4]]</f>
        <v>375.964</v>
      </c>
    </row>
    <row r="29" spans="1:5">
      <c r="A29" s="30">
        <v>620500</v>
      </c>
      <c r="B29" s="30" t="s">
        <v>2261</v>
      </c>
      <c r="C29" s="30">
        <v>8</v>
      </c>
      <c r="D29" s="30">
        <f>VLOOKUP(RUTA474[[#This Row],[Columna1]],Tabla14[#All],6,0)</f>
        <v>2</v>
      </c>
      <c r="E29" s="30">
        <f>RUTA474[[#This Row],[Columna3]]*RUTA474[[#This Row],[Columna4]]</f>
        <v>16</v>
      </c>
    </row>
    <row r="30" spans="1:5">
      <c r="A30" s="30">
        <v>620678</v>
      </c>
      <c r="B30" s="30" t="s">
        <v>654</v>
      </c>
      <c r="C30" s="30">
        <v>6</v>
      </c>
      <c r="D30" s="30">
        <f>VLOOKUP(RUTA474[[#This Row],[Columna1]],Tabla14[#All],6,0)</f>
        <v>1</v>
      </c>
      <c r="E30" s="30">
        <f>RUTA474[[#This Row],[Columna3]]*RUTA474[[#This Row],[Columna4]]</f>
        <v>6</v>
      </c>
    </row>
    <row r="31" spans="1:5">
      <c r="A31" s="30">
        <v>620821</v>
      </c>
      <c r="B31" s="30" t="s">
        <v>1478</v>
      </c>
      <c r="C31" s="30">
        <v>30</v>
      </c>
      <c r="D31" s="30">
        <f>VLOOKUP(RUTA474[[#This Row],[Columna1]],Tabla14[#All],6,0)</f>
        <v>0.9770833333333333</v>
      </c>
      <c r="E31" s="30">
        <f>RUTA474[[#This Row],[Columna3]]*RUTA474[[#This Row],[Columna4]]</f>
        <v>29.3125</v>
      </c>
    </row>
    <row r="32" spans="1:5">
      <c r="A32" s="30">
        <v>620845</v>
      </c>
      <c r="B32" s="30" t="s">
        <v>1627</v>
      </c>
      <c r="C32" s="30">
        <v>34</v>
      </c>
      <c r="D32" s="30">
        <f>VLOOKUP(RUTA474[[#This Row],[Columna1]],Tabla14[#All],6,0)</f>
        <v>1.6555555555555557</v>
      </c>
      <c r="E32" s="30">
        <f>RUTA474[[#This Row],[Columna3]]*RUTA474[[#This Row],[Columna4]]</f>
        <v>56.288888888888891</v>
      </c>
    </row>
    <row r="33" spans="1:5">
      <c r="A33" s="30">
        <v>621330</v>
      </c>
      <c r="B33" s="30" t="s">
        <v>652</v>
      </c>
      <c r="C33" s="30">
        <v>22</v>
      </c>
      <c r="D33" s="30">
        <f>VLOOKUP(RUTA474[[#This Row],[Columna1]],Tabla14[#All],6,0)</f>
        <v>0.8833333333333333</v>
      </c>
      <c r="E33" s="30">
        <f>RUTA474[[#This Row],[Columna3]]*RUTA474[[#This Row],[Columna4]]</f>
        <v>19.433333333333334</v>
      </c>
    </row>
    <row r="34" spans="1:5">
      <c r="A34" s="30">
        <v>69584500</v>
      </c>
      <c r="B34" s="30" t="s">
        <v>2166</v>
      </c>
      <c r="C34" s="30">
        <v>50</v>
      </c>
      <c r="D34" s="30">
        <f>VLOOKUP(RUTA474[[#This Row],[Columna1]],Tabla14[#All],6,0)</f>
        <v>9.9124999999999991E-2</v>
      </c>
      <c r="E34" s="30">
        <f>RUTA474[[#This Row],[Columna3]]*RUTA474[[#This Row],[Columna4]]</f>
        <v>4.9562499999999998</v>
      </c>
    </row>
    <row r="35" spans="1:5">
      <c r="A35" s="30">
        <v>69678219</v>
      </c>
      <c r="B35" s="30" t="s">
        <v>2240</v>
      </c>
      <c r="C35" s="30">
        <v>1</v>
      </c>
      <c r="D35" s="30">
        <f>VLOOKUP(RUTA474[[#This Row],[Columna1]],Tabla14[#All],6,0)</f>
        <v>0.55541666666666667</v>
      </c>
      <c r="E35" s="30">
        <f>RUTA474[[#This Row],[Columna3]]*RUTA474[[#This Row],[Columna4]]</f>
        <v>0.55541666666666667</v>
      </c>
    </row>
    <row r="36" spans="1:5">
      <c r="A36" s="30">
        <v>69678222</v>
      </c>
      <c r="B36" s="30" t="s">
        <v>2088</v>
      </c>
      <c r="C36" s="30">
        <v>8</v>
      </c>
      <c r="D36" s="30">
        <f>VLOOKUP(RUTA474[[#This Row],[Columna1]],Tabla14[#All],6,0)</f>
        <v>0.5541666666666667</v>
      </c>
      <c r="E36" s="30">
        <f>RUTA474[[#This Row],[Columna3]]*RUTA474[[#This Row],[Columna4]]</f>
        <v>4.4333333333333336</v>
      </c>
    </row>
    <row r="37" spans="1:5">
      <c r="A37" s="30">
        <v>69761868</v>
      </c>
      <c r="B37" s="30" t="s">
        <v>2024</v>
      </c>
      <c r="C37" s="30">
        <v>10</v>
      </c>
      <c r="D37" s="30">
        <f>VLOOKUP(RUTA474[[#This Row],[Columna1]],Tabla14[#All],6,0)</f>
        <v>0.19843750000000002</v>
      </c>
      <c r="E37" s="30">
        <f>RUTA474[[#This Row],[Columna3]]*RUTA474[[#This Row],[Columna4]]</f>
        <v>1.9843750000000002</v>
      </c>
    </row>
    <row r="38" spans="1:5">
      <c r="A38" s="30">
        <v>69761870</v>
      </c>
      <c r="B38" s="30" t="s">
        <v>1972</v>
      </c>
      <c r="C38" s="30">
        <v>60</v>
      </c>
      <c r="D38" s="30">
        <f>VLOOKUP(RUTA474[[#This Row],[Columna1]],Tabla14[#All],6,0)</f>
        <v>0.19833333333333333</v>
      </c>
      <c r="E38" s="30">
        <f>RUTA474[[#This Row],[Columna3]]*RUTA474[[#This Row],[Columna4]]</f>
        <v>11.9</v>
      </c>
    </row>
    <row r="39" spans="1:5">
      <c r="A39" s="30">
        <v>69780941</v>
      </c>
      <c r="B39" s="30" t="s">
        <v>1951</v>
      </c>
      <c r="C39" s="30">
        <v>696</v>
      </c>
      <c r="D39" s="30">
        <f>VLOOKUP(RUTA474[[#This Row],[Columna1]],Tabla14[#All],6,0)</f>
        <v>0.19833333333333333</v>
      </c>
      <c r="E39" s="30">
        <f>RUTA474[[#This Row],[Columna3]]*RUTA474[[#This Row],[Columna4]]</f>
        <v>138.04</v>
      </c>
    </row>
    <row r="40" spans="1:5">
      <c r="A40" s="30">
        <v>84153470</v>
      </c>
      <c r="B40" s="30" t="s">
        <v>318</v>
      </c>
      <c r="C40" s="30">
        <v>1</v>
      </c>
      <c r="D40" s="30">
        <f>VLOOKUP(RUTA474[[#This Row],[Columna1]],Tabla14[#All],6,0)</f>
        <v>2.6875E-2</v>
      </c>
      <c r="E40" s="30">
        <f>RUTA474[[#This Row],[Columna3]]*RUTA474[[#This Row],[Columna4]]</f>
        <v>2.6875E-2</v>
      </c>
    </row>
    <row r="41" spans="1:5">
      <c r="A41" s="30" t="s">
        <v>1026</v>
      </c>
      <c r="B41" s="30" t="s">
        <v>1025</v>
      </c>
      <c r="C41" s="30">
        <v>18</v>
      </c>
      <c r="D41" s="30">
        <f>VLOOKUP(RUTA474[[#This Row],[Columna1]],Tabla14[#All],6,0)</f>
        <v>0.9</v>
      </c>
      <c r="E41" s="30">
        <f>RUTA474[[#This Row],[Columna3]]*RUTA474[[#This Row],[Columna4]]</f>
        <v>16.2</v>
      </c>
    </row>
    <row r="42" spans="1:5">
      <c r="A42" s="30" t="s">
        <v>1355</v>
      </c>
      <c r="B42" s="30" t="s">
        <v>1354</v>
      </c>
      <c r="C42" s="30">
        <v>108</v>
      </c>
      <c r="D42" s="30">
        <f>VLOOKUP(RUTA474[[#This Row],[Columna1]],Tabla14[#All],6,0)</f>
        <v>0.9</v>
      </c>
      <c r="E42" s="30">
        <f>RUTA474[[#This Row],[Columna3]]*RUTA474[[#This Row],[Columna4]]</f>
        <v>97.2</v>
      </c>
    </row>
    <row r="43" spans="1:5">
      <c r="A43" s="30" t="s">
        <v>1525</v>
      </c>
      <c r="B43" s="30" t="s">
        <v>1524</v>
      </c>
      <c r="C43" s="30">
        <v>51</v>
      </c>
      <c r="D43" s="30">
        <f>VLOOKUP(RUTA474[[#This Row],[Columna1]],Tabla14[#All],6,0)</f>
        <v>0.9</v>
      </c>
      <c r="E43" s="30">
        <f>RUTA474[[#This Row],[Columna3]]*RUTA474[[#This Row],[Columna4]]</f>
        <v>45.9</v>
      </c>
    </row>
    <row r="44" spans="1:5">
      <c r="A44" s="30" t="s">
        <v>1347</v>
      </c>
      <c r="B44" s="30" t="s">
        <v>1346</v>
      </c>
      <c r="C44" s="30">
        <v>7</v>
      </c>
      <c r="D44" s="30">
        <f>VLOOKUP(RUTA474[[#This Row],[Columna1]],Tabla14[#All],6,0)</f>
        <v>0.9</v>
      </c>
      <c r="E44" s="30">
        <f>RUTA474[[#This Row],[Columna3]]*RUTA474[[#This Row],[Columna4]]</f>
        <v>6.3</v>
      </c>
    </row>
    <row r="45" spans="1:5">
      <c r="A45" s="30" t="s">
        <v>1473</v>
      </c>
      <c r="B45" s="30" t="s">
        <v>1472</v>
      </c>
      <c r="C45" s="30">
        <v>6</v>
      </c>
      <c r="D45" s="30">
        <f>VLOOKUP(RUTA474[[#This Row],[Columna1]],Tabla14[#All],6,0)</f>
        <v>0.9</v>
      </c>
      <c r="E45" s="30">
        <f>RUTA474[[#This Row],[Columna3]]*RUTA474[[#This Row],[Columna4]]</f>
        <v>5.4</v>
      </c>
    </row>
    <row r="46" spans="1:5">
      <c r="A46" s="30" t="s">
        <v>1359</v>
      </c>
      <c r="B46" s="30" t="s">
        <v>1358</v>
      </c>
      <c r="C46" s="30">
        <v>6</v>
      </c>
      <c r="D46" s="30">
        <f>VLOOKUP(RUTA474[[#This Row],[Columna1]],Tabla14[#All],6,0)</f>
        <v>0.9</v>
      </c>
      <c r="E46" s="30">
        <f>RUTA474[[#This Row],[Columna3]]*RUTA474[[#This Row],[Columna4]]</f>
        <v>5.4</v>
      </c>
    </row>
    <row r="47" spans="1:5">
      <c r="A47" s="30" t="s">
        <v>1477</v>
      </c>
      <c r="B47" s="30" t="s">
        <v>1476</v>
      </c>
      <c r="C47" s="30">
        <v>58</v>
      </c>
      <c r="D47" s="30">
        <f>VLOOKUP(RUTA474[[#This Row],[Columna1]],Tabla14[#All],6,0)</f>
        <v>0.9</v>
      </c>
      <c r="E47" s="30">
        <f>RUTA474[[#This Row],[Columna3]]*RUTA474[[#This Row],[Columna4]]</f>
        <v>52.2</v>
      </c>
    </row>
    <row r="48" spans="1:5">
      <c r="A48" s="30" t="s">
        <v>1475</v>
      </c>
      <c r="B48" s="30" t="s">
        <v>1474</v>
      </c>
      <c r="C48" s="30">
        <v>41</v>
      </c>
      <c r="D48" s="30">
        <f>VLOOKUP(RUTA474[[#This Row],[Columna1]],Tabla14[#All],6,0)</f>
        <v>0.9</v>
      </c>
      <c r="E48" s="30">
        <f>RUTA474[[#This Row],[Columna3]]*RUTA474[[#This Row],[Columna4]]</f>
        <v>36.9</v>
      </c>
    </row>
    <row r="49" spans="1:5">
      <c r="A49" s="30" t="s">
        <v>1674</v>
      </c>
      <c r="B49" s="30" t="s">
        <v>1673</v>
      </c>
      <c r="C49" s="30">
        <v>3</v>
      </c>
      <c r="D49" s="30">
        <f>VLOOKUP(RUTA474[[#This Row],[Columna1]],Tabla14[#All],6,0)</f>
        <v>0.9</v>
      </c>
      <c r="E49" s="30">
        <f>RUTA474[[#This Row],[Columna3]]*RUTA474[[#This Row],[Columna4]]</f>
        <v>2.7</v>
      </c>
    </row>
    <row r="50" spans="1:5">
      <c r="A50" s="30" t="s">
        <v>1471</v>
      </c>
      <c r="B50" s="30" t="s">
        <v>1470</v>
      </c>
      <c r="C50" s="30">
        <v>27</v>
      </c>
      <c r="D50" s="30">
        <f>VLOOKUP(RUTA474[[#This Row],[Columna1]],Tabla14[#All],6,0)</f>
        <v>0.9</v>
      </c>
      <c r="E50" s="30">
        <f>RUTA474[[#This Row],[Columna3]]*RUTA474[[#This Row],[Columna4]]</f>
        <v>24.3</v>
      </c>
    </row>
    <row r="51" spans="1:5">
      <c r="A51" s="30" t="s">
        <v>1349</v>
      </c>
      <c r="B51" s="30" t="s">
        <v>1348</v>
      </c>
      <c r="C51" s="30">
        <v>53</v>
      </c>
      <c r="D51" s="30">
        <f>VLOOKUP(RUTA474[[#This Row],[Columna1]],Tabla14[#All],6,0)</f>
        <v>0.9</v>
      </c>
      <c r="E51" s="30">
        <f>RUTA474[[#This Row],[Columna3]]*RUTA474[[#This Row],[Columna4]]</f>
        <v>47.7</v>
      </c>
    </row>
    <row r="52" spans="1:5">
      <c r="A52" s="30" t="s">
        <v>1690</v>
      </c>
      <c r="B52" s="30" t="s">
        <v>1689</v>
      </c>
      <c r="C52" s="30">
        <v>10</v>
      </c>
      <c r="D52" s="30">
        <f>VLOOKUP(RUTA474[[#This Row],[Columna1]],Tabla14[#All],6,0)</f>
        <v>0.92524999999999991</v>
      </c>
      <c r="E52" s="30">
        <f>RUTA474[[#This Row],[Columna3]]*RUTA474[[#This Row],[Columna4]]</f>
        <v>9.2524999999999995</v>
      </c>
    </row>
    <row r="53" spans="1:5">
      <c r="A53" s="30" t="s">
        <v>2188</v>
      </c>
      <c r="B53" s="30" t="s">
        <v>2187</v>
      </c>
      <c r="C53" s="30">
        <v>32</v>
      </c>
      <c r="D53" s="30">
        <f>VLOOKUP(RUTA474[[#This Row],[Columna1]],Tabla14[#All],6,0)</f>
        <v>0.52916666666666667</v>
      </c>
      <c r="E53" s="30">
        <f>RUTA474[[#This Row],[Columna3]]*RUTA474[[#This Row],[Columna4]]</f>
        <v>16.933333333333334</v>
      </c>
    </row>
    <row r="54" spans="1:5">
      <c r="A54" s="30" t="s">
        <v>2191</v>
      </c>
      <c r="B54" s="30" t="s">
        <v>2190</v>
      </c>
      <c r="C54" s="30">
        <v>6</v>
      </c>
      <c r="D54" s="30">
        <f>VLOOKUP(RUTA474[[#This Row],[Columna1]],Tabla14[#All],6,0)</f>
        <v>0.52916666666666667</v>
      </c>
      <c r="E54" s="30">
        <f>RUTA474[[#This Row],[Columna3]]*RUTA474[[#This Row],[Columna4]]</f>
        <v>3.1749999999999998</v>
      </c>
    </row>
    <row r="55" spans="1:5">
      <c r="A55" s="30" t="s">
        <v>2186</v>
      </c>
      <c r="B55" s="30" t="s">
        <v>2185</v>
      </c>
      <c r="C55" s="30">
        <v>2</v>
      </c>
      <c r="D55" s="30">
        <f>VLOOKUP(RUTA474[[#This Row],[Columna1]],Tabla14[#All],6,0)</f>
        <v>0.52916666666666667</v>
      </c>
      <c r="E55" s="30">
        <f>RUTA474[[#This Row],[Columna3]]*RUTA474[[#This Row],[Columna4]]</f>
        <v>1.0583333333333333</v>
      </c>
    </row>
    <row r="56" spans="1:5">
      <c r="A56" s="30" t="s">
        <v>1974</v>
      </c>
      <c r="B56" s="30" t="s">
        <v>1973</v>
      </c>
      <c r="C56" s="30">
        <v>3</v>
      </c>
      <c r="D56" s="30">
        <f>VLOOKUP(RUTA474[[#This Row],[Columna1]],Tabla14[#All],6,0)</f>
        <v>0.47599999999999998</v>
      </c>
      <c r="E56" s="30">
        <f>RUTA474[[#This Row],[Columna3]]*RUTA474[[#This Row],[Columna4]]</f>
        <v>1.4279999999999999</v>
      </c>
    </row>
    <row r="57" spans="1:5">
      <c r="A57" s="30" t="s">
        <v>2213</v>
      </c>
      <c r="B57" s="30" t="s">
        <v>2212</v>
      </c>
      <c r="C57" s="30">
        <v>12</v>
      </c>
      <c r="D57" s="30">
        <f>VLOOKUP(RUTA474[[#This Row],[Columna1]],Tabla14[#All],6,0)</f>
        <v>0.77159999999999995</v>
      </c>
      <c r="E57" s="30">
        <f>RUTA474[[#This Row],[Columna3]]*RUTA474[[#This Row],[Columna4]]</f>
        <v>9.2591999999999999</v>
      </c>
    </row>
    <row r="58" spans="1:5">
      <c r="A58" s="30" t="s">
        <v>1261</v>
      </c>
      <c r="B58" s="30" t="s">
        <v>1513</v>
      </c>
      <c r="C58" s="30">
        <v>43</v>
      </c>
      <c r="D58" s="30">
        <f>VLOOKUP(RUTA474[[#This Row],[Columna1]],Tabla14[#All],6,0)</f>
        <v>0.36249999999999999</v>
      </c>
      <c r="E58" s="30">
        <f>RUTA474[[#This Row],[Columna3]]*RUTA474[[#This Row],[Columna4]]</f>
        <v>15.5875</v>
      </c>
    </row>
    <row r="59" spans="1:5">
      <c r="A59" s="30" t="s">
        <v>1289</v>
      </c>
      <c r="B59" s="30" t="s">
        <v>1431</v>
      </c>
      <c r="C59" s="30">
        <v>18</v>
      </c>
      <c r="D59" s="30">
        <f>VLOOKUP(RUTA474[[#This Row],[Columna1]],Tabla14[#All],6,0)</f>
        <v>0.36249999999999999</v>
      </c>
      <c r="E59" s="30">
        <f>RUTA474[[#This Row],[Columna3]]*RUTA474[[#This Row],[Columna4]]</f>
        <v>6.5249999999999995</v>
      </c>
    </row>
    <row r="60" spans="1:5">
      <c r="A60" s="30" t="s">
        <v>1498</v>
      </c>
      <c r="B60" s="30" t="s">
        <v>1497</v>
      </c>
      <c r="C60" s="30">
        <v>2</v>
      </c>
      <c r="D60" s="30">
        <f>VLOOKUP(RUTA474[[#This Row],[Columna1]],Tabla14[#All],6,0)</f>
        <v>0.70666666666666667</v>
      </c>
      <c r="E60" s="30">
        <f>RUTA474[[#This Row],[Columna3]]*RUTA474[[#This Row],[Columna4]]</f>
        <v>1.4133333333333333</v>
      </c>
    </row>
    <row r="61" spans="1:5">
      <c r="A61" s="30" t="s">
        <v>1419</v>
      </c>
      <c r="B61" s="30" t="s">
        <v>1418</v>
      </c>
      <c r="C61" s="30">
        <v>2</v>
      </c>
      <c r="D61" s="30">
        <f>VLOOKUP(RUTA474[[#This Row],[Columna1]],Tabla14[#All],6,0)</f>
        <v>0.70666666666666667</v>
      </c>
      <c r="E61" s="30">
        <f>RUTA474[[#This Row],[Columna3]]*RUTA474[[#This Row],[Columna4]]</f>
        <v>1.4133333333333333</v>
      </c>
    </row>
    <row r="62" spans="1:5">
      <c r="A62" s="30" t="s">
        <v>1342</v>
      </c>
      <c r="B62" s="30" t="s">
        <v>1341</v>
      </c>
      <c r="C62" s="30">
        <v>7</v>
      </c>
      <c r="D62" s="30">
        <f>VLOOKUP(RUTA474[[#This Row],[Columna1]],Tabla14[#All],6,0)</f>
        <v>0.23</v>
      </c>
      <c r="E62" s="30">
        <f>RUTA474[[#This Row],[Columna3]]*RUTA474[[#This Row],[Columna4]]</f>
        <v>1.61</v>
      </c>
    </row>
    <row r="63" spans="1:5">
      <c r="A63" s="30" t="s">
        <v>1382</v>
      </c>
      <c r="B63" s="30" t="s">
        <v>1381</v>
      </c>
      <c r="C63" s="30">
        <v>7</v>
      </c>
      <c r="D63" s="30">
        <f>VLOOKUP(RUTA474[[#This Row],[Columna1]],Tabla14[#All],6,0)</f>
        <v>0.5</v>
      </c>
      <c r="E63" s="30">
        <f>RUTA474[[#This Row],[Columna3]]*RUTA474[[#This Row],[Columna4]]</f>
        <v>3.5</v>
      </c>
    </row>
    <row r="64" spans="1:5">
      <c r="A64" s="30" t="s">
        <v>1259</v>
      </c>
      <c r="B64" s="30" t="s">
        <v>1258</v>
      </c>
      <c r="C64" s="30">
        <v>10</v>
      </c>
      <c r="D64" s="30">
        <f>VLOOKUP(RUTA474[[#This Row],[Columna1]],Tabla14[#All],6,0)</f>
        <v>0.44083333333333335</v>
      </c>
      <c r="E64" s="30">
        <f>RUTA474[[#This Row],[Columna3]]*RUTA474[[#This Row],[Columna4]]</f>
        <v>4.4083333333333332</v>
      </c>
    </row>
    <row r="65" spans="1:5">
      <c r="A65" s="30" t="s">
        <v>1287</v>
      </c>
      <c r="B65" s="30" t="s">
        <v>1286</v>
      </c>
      <c r="C65" s="30">
        <v>1</v>
      </c>
      <c r="D65" s="30">
        <f>VLOOKUP(RUTA474[[#This Row],[Columna1]],Tabla14[#All],6,0)</f>
        <v>0.57333333333333336</v>
      </c>
      <c r="E65" s="30">
        <f>RUTA474[[#This Row],[Columna3]]*RUTA474[[#This Row],[Columna4]]</f>
        <v>0.57333333333333336</v>
      </c>
    </row>
    <row r="66" spans="1:5">
      <c r="A66" s="30" t="s">
        <v>1285</v>
      </c>
      <c r="B66" s="30" t="s">
        <v>1284</v>
      </c>
      <c r="C66" s="30">
        <v>1</v>
      </c>
      <c r="D66" s="30">
        <f>VLOOKUP(RUTA474[[#This Row],[Columna1]],Tabla14[#All],6,0)</f>
        <v>0.57333333333333336</v>
      </c>
      <c r="E66" s="30">
        <f>RUTA474[[#This Row],[Columna3]]*RUTA474[[#This Row],[Columna4]]</f>
        <v>0.57333333333333336</v>
      </c>
    </row>
    <row r="67" spans="1:5">
      <c r="A67" s="30" t="s">
        <v>1283</v>
      </c>
      <c r="B67" s="30" t="s">
        <v>1282</v>
      </c>
      <c r="C67" s="30">
        <v>1</v>
      </c>
      <c r="D67" s="30">
        <f>VLOOKUP(RUTA474[[#This Row],[Columna1]],Tabla14[#All],6,0)</f>
        <v>0.57333333333333336</v>
      </c>
      <c r="E67" s="30">
        <f>RUTA474[[#This Row],[Columna3]]*RUTA474[[#This Row],[Columna4]]</f>
        <v>0.57333333333333336</v>
      </c>
    </row>
    <row r="68" spans="1:5">
      <c r="A68" s="30" t="s">
        <v>1269</v>
      </c>
      <c r="B68" s="30" t="s">
        <v>1647</v>
      </c>
      <c r="C68" s="30">
        <v>39</v>
      </c>
      <c r="D68" s="30">
        <f>VLOOKUP(RUTA474[[#This Row],[Columna1]],Tabla14[#All],6,0)</f>
        <v>0.22041666666666668</v>
      </c>
      <c r="E68" s="30">
        <f>RUTA474[[#This Row],[Columna3]]*RUTA474[[#This Row],[Columna4]]</f>
        <v>8.5962500000000013</v>
      </c>
    </row>
    <row r="69" spans="1:5">
      <c r="A69" s="30" t="s">
        <v>1267</v>
      </c>
      <c r="B69" s="30" t="s">
        <v>1662</v>
      </c>
      <c r="C69" s="30">
        <v>6</v>
      </c>
      <c r="D69" s="30">
        <f>VLOOKUP(RUTA474[[#This Row],[Columna1]],Tabla14[#All],6,0)</f>
        <v>0.44083333333333335</v>
      </c>
      <c r="E69" s="30">
        <f>RUTA474[[#This Row],[Columna3]]*RUTA474[[#This Row],[Columna4]]</f>
        <v>2.645</v>
      </c>
    </row>
    <row r="70" spans="1:5">
      <c r="A70" s="30" t="s">
        <v>1265</v>
      </c>
      <c r="B70" s="30" t="s">
        <v>1264</v>
      </c>
      <c r="C70" s="30">
        <v>28</v>
      </c>
      <c r="D70" s="30">
        <f>VLOOKUP(RUTA474[[#This Row],[Columna1]],Tabla14[#All],6,0)</f>
        <v>0.22041666666666668</v>
      </c>
      <c r="E70" s="30">
        <f>RUTA474[[#This Row],[Columna3]]*RUTA474[[#This Row],[Columna4]]</f>
        <v>6.1716666666666669</v>
      </c>
    </row>
    <row r="71" spans="1:5">
      <c r="A71" s="30" t="s">
        <v>1301</v>
      </c>
      <c r="B71" s="30" t="s">
        <v>1300</v>
      </c>
      <c r="C71" s="30">
        <v>12</v>
      </c>
      <c r="D71" s="30">
        <f>VLOOKUP(RUTA474[[#This Row],[Columna1]],Tabla14[#All],6,0)</f>
        <v>0.22041666666666668</v>
      </c>
      <c r="E71" s="30">
        <f>RUTA474[[#This Row],[Columna3]]*RUTA474[[#This Row],[Columna4]]</f>
        <v>2.645</v>
      </c>
    </row>
    <row r="72" spans="1:5">
      <c r="A72" s="30" t="s">
        <v>2148</v>
      </c>
      <c r="B72" s="30" t="s">
        <v>2147</v>
      </c>
      <c r="C72" s="30">
        <v>24</v>
      </c>
      <c r="D72" s="30">
        <f>VLOOKUP(RUTA474[[#This Row],[Columna1]],Tabla14[#All],6,0)</f>
        <v>0.22041666666666668</v>
      </c>
      <c r="E72" s="30">
        <f>RUTA474[[#This Row],[Columna3]]*RUTA474[[#This Row],[Columna4]]</f>
        <v>5.29</v>
      </c>
    </row>
    <row r="73" spans="1:5">
      <c r="A73" s="30" t="s">
        <v>2146</v>
      </c>
      <c r="B73" s="30" t="s">
        <v>2145</v>
      </c>
      <c r="C73" s="30">
        <v>62</v>
      </c>
      <c r="D73" s="30">
        <f>VLOOKUP(RUTA474[[#This Row],[Columna1]],Tabla14[#All],6,0)</f>
        <v>0.24041666666666664</v>
      </c>
      <c r="E73" s="30">
        <f>RUTA474[[#This Row],[Columna3]]*RUTA474[[#This Row],[Columna4]]</f>
        <v>14.905833333333332</v>
      </c>
    </row>
    <row r="74" spans="1:5">
      <c r="A74" s="30" t="s">
        <v>2152</v>
      </c>
      <c r="B74" s="30" t="s">
        <v>2151</v>
      </c>
      <c r="C74" s="30">
        <v>6</v>
      </c>
      <c r="D74" s="30">
        <f>VLOOKUP(RUTA474[[#This Row],[Columna1]],Tabla14[#All],6,0)</f>
        <v>0.47395833333333331</v>
      </c>
      <c r="E74" s="30">
        <f>RUTA474[[#This Row],[Columna3]]*RUTA474[[#This Row],[Columna4]]</f>
        <v>2.84375</v>
      </c>
    </row>
    <row r="75" spans="1:5">
      <c r="A75" s="30" t="s">
        <v>2154</v>
      </c>
      <c r="B75" s="30" t="s">
        <v>2153</v>
      </c>
      <c r="C75" s="30">
        <v>6</v>
      </c>
      <c r="D75" s="30">
        <f>VLOOKUP(RUTA474[[#This Row],[Columna1]],Tabla14[#All],6,0)</f>
        <v>0.95906250000000004</v>
      </c>
      <c r="E75" s="30">
        <f>RUTA474[[#This Row],[Columna3]]*RUTA474[[#This Row],[Columna4]]</f>
        <v>5.7543750000000005</v>
      </c>
    </row>
    <row r="76" spans="1:5">
      <c r="A76" s="30" t="s">
        <v>1295</v>
      </c>
      <c r="B76" s="30" t="s">
        <v>1294</v>
      </c>
      <c r="C76" s="30">
        <v>12</v>
      </c>
      <c r="D76" s="30">
        <f>VLOOKUP(RUTA474[[#This Row],[Columna1]],Tabla14[#All],6,0)</f>
        <v>0.21875</v>
      </c>
      <c r="E76" s="30">
        <f>RUTA474[[#This Row],[Columna3]]*RUTA474[[#This Row],[Columna4]]</f>
        <v>2.625</v>
      </c>
    </row>
    <row r="77" spans="1:5">
      <c r="A77" s="30" t="s">
        <v>1293</v>
      </c>
      <c r="B77" s="30" t="s">
        <v>1292</v>
      </c>
      <c r="C77" s="30">
        <v>12</v>
      </c>
      <c r="D77" s="30">
        <f>VLOOKUP(RUTA474[[#This Row],[Columna1]],Tabla14[#All],6,0)</f>
        <v>0.21875</v>
      </c>
      <c r="E77" s="30">
        <f>RUTA474[[#This Row],[Columna3]]*RUTA474[[#This Row],[Columna4]]</f>
        <v>2.625</v>
      </c>
    </row>
    <row r="78" spans="1:5">
      <c r="A78" s="30" t="s">
        <v>1277</v>
      </c>
      <c r="B78" s="30" t="s">
        <v>1276</v>
      </c>
      <c r="C78" s="30">
        <v>49</v>
      </c>
      <c r="D78" s="30">
        <f>VLOOKUP(RUTA474[[#This Row],[Columna1]],Tabla14[#All],6,0)</f>
        <v>0.22041666666666668</v>
      </c>
      <c r="E78" s="30">
        <f>RUTA474[[#This Row],[Columna3]]*RUTA474[[#This Row],[Columna4]]</f>
        <v>10.800416666666667</v>
      </c>
    </row>
    <row r="79" spans="1:5">
      <c r="A79" s="30" t="s">
        <v>1428</v>
      </c>
      <c r="B79" s="30" t="s">
        <v>1427</v>
      </c>
      <c r="C79" s="30">
        <v>12</v>
      </c>
      <c r="D79" s="30">
        <f>VLOOKUP(RUTA474[[#This Row],[Columna1]],Tabla14[#All],6,0)</f>
        <v>0.44083333333333335</v>
      </c>
      <c r="E79" s="30">
        <f>RUTA474[[#This Row],[Columna3]]*RUTA474[[#This Row],[Columna4]]</f>
        <v>5.29</v>
      </c>
    </row>
    <row r="80" spans="1:5">
      <c r="A80" s="30" t="s">
        <v>1279</v>
      </c>
      <c r="B80" s="30" t="s">
        <v>1278</v>
      </c>
      <c r="C80" s="30">
        <v>6</v>
      </c>
      <c r="D80" s="30">
        <f>VLOOKUP(RUTA474[[#This Row],[Columna1]],Tabla14[#All],6,0)</f>
        <v>0.875</v>
      </c>
      <c r="E80" s="30">
        <f>RUTA474[[#This Row],[Columna3]]*RUTA474[[#This Row],[Columna4]]</f>
        <v>5.25</v>
      </c>
    </row>
    <row r="81" spans="1:5">
      <c r="A81" s="30" t="s">
        <v>2179</v>
      </c>
      <c r="B81" s="30" t="s">
        <v>2178</v>
      </c>
      <c r="C81" s="30">
        <v>2</v>
      </c>
      <c r="D81" s="30">
        <f>VLOOKUP(RUTA474[[#This Row],[Columna1]],Tabla14[#All],6,0)</f>
        <v>0.42333333333333334</v>
      </c>
      <c r="E81" s="30">
        <f>RUTA474[[#This Row],[Columna3]]*RUTA474[[#This Row],[Columna4]]</f>
        <v>0.84666666666666668</v>
      </c>
    </row>
    <row r="82" spans="1:5">
      <c r="A82" s="30" t="s">
        <v>662</v>
      </c>
      <c r="B82" s="30" t="s">
        <v>2171</v>
      </c>
      <c r="C82" s="30">
        <v>32</v>
      </c>
      <c r="D82" s="30">
        <f>VLOOKUP(RUTA474[[#This Row],[Columna1]],Tabla14[#All],6,0)</f>
        <v>8.3333333333333329E-2</v>
      </c>
      <c r="E82" s="30">
        <f>RUTA474[[#This Row],[Columna3]]*RUTA474[[#This Row],[Columna4]]</f>
        <v>2.6666666666666665</v>
      </c>
    </row>
    <row r="83" spans="1:5">
      <c r="A83" s="30" t="s">
        <v>671</v>
      </c>
      <c r="B83" s="30" t="s">
        <v>670</v>
      </c>
      <c r="C83" s="30">
        <v>12</v>
      </c>
      <c r="D83" s="30">
        <f>VLOOKUP(RUTA474[[#This Row],[Columna1]],Tabla14[#All],6,0)</f>
        <v>0.25</v>
      </c>
      <c r="E83" s="30">
        <f>RUTA474[[#This Row],[Columna3]]*RUTA474[[#This Row],[Columna4]]</f>
        <v>3</v>
      </c>
    </row>
    <row r="84" spans="1:5">
      <c r="A84" s="30" t="s">
        <v>21</v>
      </c>
      <c r="B84" s="30" t="s">
        <v>20</v>
      </c>
      <c r="C84" s="30">
        <v>5</v>
      </c>
      <c r="D84" s="30">
        <f>VLOOKUP(RUTA474[[#This Row],[Columna1]],Tabla14[#All],6,0)</f>
        <v>0.8833333333333333</v>
      </c>
      <c r="E84" s="30">
        <f>RUTA474[[#This Row],[Columna3]]*RUTA474[[#This Row],[Columna4]]</f>
        <v>4.4166666666666661</v>
      </c>
    </row>
    <row r="85" spans="1:5">
      <c r="A85" s="30" t="s">
        <v>1819</v>
      </c>
      <c r="B85" s="30" t="s">
        <v>1818</v>
      </c>
      <c r="C85" s="30">
        <v>4</v>
      </c>
      <c r="D85" s="30">
        <f>VLOOKUP(RUTA474[[#This Row],[Columna1]],Tabla14[#All],6,0)</f>
        <v>0.87035714285714294</v>
      </c>
      <c r="E85" s="30">
        <f>RUTA474[[#This Row],[Columna3]]*RUTA474[[#This Row],[Columna4]]</f>
        <v>3.4814285714285718</v>
      </c>
    </row>
    <row r="86" spans="1:5">
      <c r="A86" s="30" t="s">
        <v>1766</v>
      </c>
      <c r="B86" s="30" t="s">
        <v>1765</v>
      </c>
      <c r="C86" s="30">
        <v>4</v>
      </c>
      <c r="D86" s="30">
        <f>VLOOKUP(RUTA474[[#This Row],[Columna1]],Tabla14[#All],6,0)</f>
        <v>0.87035714285714294</v>
      </c>
      <c r="E86" s="30">
        <f>RUTA474[[#This Row],[Columna3]]*RUTA474[[#This Row],[Columna4]]</f>
        <v>3.4814285714285718</v>
      </c>
    </row>
    <row r="87" spans="1:5">
      <c r="A87" s="30" t="s">
        <v>1764</v>
      </c>
      <c r="B87" s="30" t="s">
        <v>1763</v>
      </c>
      <c r="C87" s="30">
        <v>1</v>
      </c>
      <c r="D87" s="30">
        <f>VLOOKUP(RUTA474[[#This Row],[Columna1]],Tabla14[#All],6,0)</f>
        <v>0.87035714285714294</v>
      </c>
      <c r="E87" s="30">
        <f>RUTA474[[#This Row],[Columna3]]*RUTA474[[#This Row],[Columna4]]</f>
        <v>0.87035714285714294</v>
      </c>
    </row>
    <row r="88" spans="1:5">
      <c r="A88" s="30" t="s">
        <v>1841</v>
      </c>
      <c r="B88" s="30" t="s">
        <v>1840</v>
      </c>
      <c r="C88" s="30">
        <v>2</v>
      </c>
      <c r="D88" s="30">
        <f>VLOOKUP(RUTA474[[#This Row],[Columna1]],Tabla14[#All],6,0)</f>
        <v>0.88178571428571428</v>
      </c>
      <c r="E88" s="30">
        <f>RUTA474[[#This Row],[Columna3]]*RUTA474[[#This Row],[Columna4]]</f>
        <v>1.7635714285714286</v>
      </c>
    </row>
    <row r="89" spans="1:5">
      <c r="A89" s="30" t="s">
        <v>2136</v>
      </c>
      <c r="B89" s="30" t="s">
        <v>2135</v>
      </c>
      <c r="C89" s="30">
        <v>9</v>
      </c>
      <c r="D89" s="30">
        <f>VLOOKUP(RUTA474[[#This Row],[Columna1]],Tabla14[#All],6,0)</f>
        <v>0.82750000000000001</v>
      </c>
      <c r="E89" s="30">
        <f>RUTA474[[#This Row],[Columna3]]*RUTA474[[#This Row],[Columna4]]</f>
        <v>7.4474999999999998</v>
      </c>
    </row>
    <row r="90" spans="1:5">
      <c r="A90" s="30" t="s">
        <v>2144</v>
      </c>
      <c r="B90" s="30" t="s">
        <v>2143</v>
      </c>
      <c r="C90" s="30">
        <v>5</v>
      </c>
      <c r="D90" s="30">
        <f>VLOOKUP(RUTA474[[#This Row],[Columna1]],Tabla14[#All],6,0)</f>
        <v>0.82750000000000001</v>
      </c>
      <c r="E90" s="30">
        <f>RUTA474[[#This Row],[Columna3]]*RUTA474[[#This Row],[Columna4]]</f>
        <v>4.1375000000000002</v>
      </c>
    </row>
    <row r="91" spans="1:5">
      <c r="A91" s="30" t="s">
        <v>2087</v>
      </c>
      <c r="B91" s="30" t="s">
        <v>2086</v>
      </c>
      <c r="C91" s="30">
        <v>6</v>
      </c>
      <c r="D91" s="30">
        <f>VLOOKUP(RUTA474[[#This Row],[Columna1]],Tabla14[#All],6,0)</f>
        <v>0.82750000000000001</v>
      </c>
      <c r="E91" s="30">
        <f>RUTA474[[#This Row],[Columna3]]*RUTA474[[#This Row],[Columna4]]</f>
        <v>4.9649999999999999</v>
      </c>
    </row>
    <row r="92" spans="1:5">
      <c r="A92" s="30" t="s">
        <v>2196</v>
      </c>
      <c r="B92" s="30" t="s">
        <v>2195</v>
      </c>
      <c r="C92" s="30">
        <v>1</v>
      </c>
      <c r="D92" s="30">
        <f>VLOOKUP(RUTA474[[#This Row],[Columna1]],Tabla14[#All],6,0)</f>
        <v>0.5</v>
      </c>
      <c r="E92" s="30">
        <f>RUTA474[[#This Row],[Columna3]]*RUTA474[[#This Row],[Columna4]]</f>
        <v>0.5</v>
      </c>
    </row>
    <row r="93" spans="1:5">
      <c r="A93" s="30" t="s">
        <v>2198</v>
      </c>
      <c r="B93" s="30" t="s">
        <v>2197</v>
      </c>
      <c r="C93" s="30">
        <v>2</v>
      </c>
      <c r="D93" s="30">
        <f>VLOOKUP(RUTA474[[#This Row],[Columna1]],Tabla14[#All],6,0)</f>
        <v>0.15</v>
      </c>
      <c r="E93" s="30">
        <f>RUTA474[[#This Row],[Columna3]]*RUTA474[[#This Row],[Columna4]]</f>
        <v>0.3</v>
      </c>
    </row>
    <row r="94" spans="1:5">
      <c r="A94" s="30" t="s">
        <v>1861</v>
      </c>
      <c r="B94" s="30" t="s">
        <v>1860</v>
      </c>
      <c r="C94" s="30">
        <v>2</v>
      </c>
      <c r="D94" s="30">
        <f>VLOOKUP(RUTA474[[#This Row],[Columna1]],Tabla14[#All],6,0)</f>
        <v>0.1</v>
      </c>
      <c r="E94" s="30">
        <f>RUTA474[[#This Row],[Columna3]]*RUTA474[[#This Row],[Columna4]]</f>
        <v>0.2</v>
      </c>
    </row>
    <row r="95" spans="1:5">
      <c r="A95" s="30" t="s">
        <v>706</v>
      </c>
      <c r="B95" s="30" t="s">
        <v>705</v>
      </c>
      <c r="C95" s="30">
        <v>10</v>
      </c>
      <c r="D95" s="30">
        <f>VLOOKUP(RUTA474[[#This Row],[Columna1]],Tabla14[#All],6,0)</f>
        <v>0.70833333333333337</v>
      </c>
      <c r="E95" s="30">
        <f>RUTA474[[#This Row],[Columna3]]*RUTA474[[#This Row],[Columna4]]</f>
        <v>7.0833333333333339</v>
      </c>
    </row>
    <row r="96" spans="1:5">
      <c r="A96" s="30" t="s">
        <v>2068</v>
      </c>
      <c r="B96" s="30" t="s">
        <v>2067</v>
      </c>
      <c r="C96" s="30">
        <v>2</v>
      </c>
      <c r="D96" s="30">
        <f>VLOOKUP(RUTA474[[#This Row],[Columna1]],Tabla14[#All],6,0)</f>
        <v>1.1008333333333333</v>
      </c>
      <c r="E96" s="30">
        <f>RUTA474[[#This Row],[Columna3]]*RUTA474[[#This Row],[Columna4]]</f>
        <v>2.2016666666666667</v>
      </c>
    </row>
    <row r="97" spans="1:5">
      <c r="A97" s="30" t="s">
        <v>13</v>
      </c>
      <c r="B97" s="30" t="s">
        <v>12</v>
      </c>
      <c r="C97" s="30">
        <v>36</v>
      </c>
      <c r="D97" s="30">
        <f>VLOOKUP(RUTA474[[#This Row],[Columna1]],Tabla14[#All],6,0)</f>
        <v>3.1091666666666669</v>
      </c>
      <c r="E97" s="30">
        <f>RUTA474[[#This Row],[Columna3]]*RUTA474[[#This Row],[Columna4]]</f>
        <v>111.93</v>
      </c>
    </row>
    <row r="98" spans="1:5">
      <c r="A98" s="30" t="s">
        <v>109</v>
      </c>
      <c r="B98" s="30" t="s">
        <v>108</v>
      </c>
      <c r="C98" s="30">
        <v>176</v>
      </c>
      <c r="D98" s="30">
        <f>VLOOKUP(RUTA474[[#This Row],[Columna1]],Tabla14[#All],6,0)</f>
        <v>0.44166666666666665</v>
      </c>
      <c r="E98" s="30">
        <f>RUTA474[[#This Row],[Columna3]]*RUTA474[[#This Row],[Columna4]]</f>
        <v>77.733333333333334</v>
      </c>
    </row>
    <row r="99" spans="1:5">
      <c r="A99" s="30" t="s">
        <v>107</v>
      </c>
      <c r="B99" s="30" t="s">
        <v>106</v>
      </c>
      <c r="C99" s="30">
        <v>72</v>
      </c>
      <c r="D99" s="30">
        <f>VLOOKUP(RUTA474[[#This Row],[Columna1]],Tabla14[#All],6,0)</f>
        <v>0.44166666666666665</v>
      </c>
      <c r="E99" s="30">
        <f>RUTA474[[#This Row],[Columna3]]*RUTA474[[#This Row],[Columna4]]</f>
        <v>31.799999999999997</v>
      </c>
    </row>
    <row r="100" spans="1:5">
      <c r="A100" s="30" t="s">
        <v>482</v>
      </c>
      <c r="B100" s="30" t="s">
        <v>481</v>
      </c>
      <c r="C100" s="30">
        <v>12</v>
      </c>
      <c r="D100" s="30">
        <f>VLOOKUP(RUTA474[[#This Row],[Columna1]],Tabla14[#All],6,0)</f>
        <v>0.11493055555555556</v>
      </c>
      <c r="E100" s="30">
        <f>RUTA474[[#This Row],[Columna3]]*RUTA474[[#This Row],[Columna4]]</f>
        <v>1.3791666666666669</v>
      </c>
    </row>
    <row r="101" spans="1:5">
      <c r="A101" s="30" t="s">
        <v>480</v>
      </c>
      <c r="B101" s="30" t="s">
        <v>479</v>
      </c>
      <c r="C101" s="30">
        <v>24</v>
      </c>
      <c r="D101" s="30">
        <f>VLOOKUP(RUTA474[[#This Row],[Columna1]],Tabla14[#All],6,0)</f>
        <v>0.55208333333333337</v>
      </c>
      <c r="E101" s="30">
        <f>RUTA474[[#This Row],[Columna3]]*RUTA474[[#This Row],[Columna4]]</f>
        <v>13.25</v>
      </c>
    </row>
    <row r="102" spans="1:5">
      <c r="A102" s="30" t="s">
        <v>100</v>
      </c>
      <c r="B102" s="30" t="s">
        <v>99</v>
      </c>
      <c r="C102" s="30">
        <v>24</v>
      </c>
      <c r="D102" s="30">
        <f>VLOOKUP(RUTA474[[#This Row],[Columna1]],Tabla14[#All],6,0)</f>
        <v>0.55208333333333337</v>
      </c>
      <c r="E102" s="30">
        <f>RUTA474[[#This Row],[Columna3]]*RUTA474[[#This Row],[Columna4]]</f>
        <v>13.25</v>
      </c>
    </row>
    <row r="103" spans="1:5">
      <c r="A103" s="30" t="s">
        <v>533</v>
      </c>
      <c r="B103" s="30" t="s">
        <v>532</v>
      </c>
      <c r="C103" s="30">
        <v>159</v>
      </c>
      <c r="D103" s="30">
        <f>VLOOKUP(RUTA474[[#This Row],[Columna1]],Tabla14[#All],6,0)</f>
        <v>0.5</v>
      </c>
      <c r="E103" s="30">
        <f>RUTA474[[#This Row],[Columna3]]*RUTA474[[#This Row],[Columna4]]</f>
        <v>79.5</v>
      </c>
    </row>
    <row r="104" spans="1:5">
      <c r="A104" s="30" t="s">
        <v>119</v>
      </c>
      <c r="B104" s="30" t="s">
        <v>118</v>
      </c>
      <c r="C104" s="30">
        <v>12</v>
      </c>
      <c r="D104" s="30">
        <f>VLOOKUP(RUTA474[[#This Row],[Columna1]],Tabla14[#All],6,0)</f>
        <v>0.875</v>
      </c>
      <c r="E104" s="30">
        <f>RUTA474[[#This Row],[Columna3]]*RUTA474[[#This Row],[Columna4]]</f>
        <v>10.5</v>
      </c>
    </row>
    <row r="105" spans="1:5">
      <c r="A105" s="30" t="s">
        <v>103</v>
      </c>
      <c r="B105" s="30" t="s">
        <v>1147</v>
      </c>
      <c r="C105" s="30">
        <v>72</v>
      </c>
      <c r="D105" s="30">
        <f>VLOOKUP(RUTA474[[#This Row],[Columna1]],Tabla14[#All],6,0)</f>
        <v>0.72916666666666663</v>
      </c>
      <c r="E105" s="30">
        <f>RUTA474[[#This Row],[Columna3]]*RUTA474[[#This Row],[Columna4]]</f>
        <v>52.5</v>
      </c>
    </row>
    <row r="106" spans="1:5">
      <c r="A106" s="30" t="s">
        <v>535</v>
      </c>
      <c r="B106" s="30" t="s">
        <v>534</v>
      </c>
      <c r="C106" s="30">
        <v>42</v>
      </c>
      <c r="D106" s="30">
        <f>VLOOKUP(RUTA474[[#This Row],[Columna1]],Tabla14[#All],6,0)</f>
        <v>1.75</v>
      </c>
      <c r="E106" s="30">
        <f>RUTA474[[#This Row],[Columna3]]*RUTA474[[#This Row],[Columna4]]</f>
        <v>73.5</v>
      </c>
    </row>
    <row r="107" spans="1:5">
      <c r="A107" s="30" t="s">
        <v>123</v>
      </c>
      <c r="B107" s="30" t="s">
        <v>122</v>
      </c>
      <c r="C107" s="30">
        <v>24</v>
      </c>
      <c r="D107" s="30">
        <f>VLOOKUP(RUTA474[[#This Row],[Columna1]],Tabla14[#All],6,0)</f>
        <v>0.44166666666666665</v>
      </c>
      <c r="E107" s="30">
        <f>RUTA474[[#This Row],[Columna3]]*RUTA474[[#This Row],[Columna4]]</f>
        <v>10.6</v>
      </c>
    </row>
    <row r="108" spans="1:5">
      <c r="A108" s="30" t="s">
        <v>125</v>
      </c>
      <c r="B108" s="30" t="s">
        <v>124</v>
      </c>
      <c r="C108" s="30">
        <v>24</v>
      </c>
      <c r="D108" s="30">
        <f>VLOOKUP(RUTA474[[#This Row],[Columna1]],Tabla14[#All],6,0)</f>
        <v>0.44166666666666665</v>
      </c>
      <c r="E108" s="30">
        <f>RUTA474[[#This Row],[Columna3]]*RUTA474[[#This Row],[Columna4]]</f>
        <v>10.6</v>
      </c>
    </row>
    <row r="109" spans="1:5">
      <c r="A109" s="30" t="s">
        <v>512</v>
      </c>
      <c r="B109" s="30" t="s">
        <v>2236</v>
      </c>
      <c r="C109" s="30">
        <v>24</v>
      </c>
      <c r="D109" s="30">
        <f>VLOOKUP(RUTA474[[#This Row],[Columna1]],Tabla14[#All],6,0)</f>
        <v>0.72916666666666663</v>
      </c>
      <c r="E109" s="30">
        <f>RUTA474[[#This Row],[Columna3]]*RUTA474[[#This Row],[Columna4]]</f>
        <v>17.5</v>
      </c>
    </row>
    <row r="110" spans="1:5">
      <c r="A110" s="30" t="s">
        <v>102</v>
      </c>
      <c r="B110" s="30" t="s">
        <v>101</v>
      </c>
      <c r="C110" s="30">
        <v>18</v>
      </c>
      <c r="D110" s="30">
        <f>VLOOKUP(RUTA474[[#This Row],[Columna1]],Tabla14[#All],6,0)</f>
        <v>0.72916666666666663</v>
      </c>
      <c r="E110" s="30">
        <f>RUTA474[[#This Row],[Columna3]]*RUTA474[[#This Row],[Columna4]]</f>
        <v>13.125</v>
      </c>
    </row>
    <row r="111" spans="1:5">
      <c r="A111" s="30" t="s">
        <v>510</v>
      </c>
      <c r="B111" s="30" t="s">
        <v>1237</v>
      </c>
      <c r="C111" s="30">
        <v>18</v>
      </c>
      <c r="D111" s="30">
        <f>VLOOKUP(RUTA474[[#This Row],[Columna1]],Tabla14[#All],6,0)</f>
        <v>0.72916666666666663</v>
      </c>
      <c r="E111" s="30">
        <f>RUTA474[[#This Row],[Columna3]]*RUTA474[[#This Row],[Columna4]]</f>
        <v>13.125</v>
      </c>
    </row>
    <row r="112" spans="1:5">
      <c r="A112" s="30" t="s">
        <v>517</v>
      </c>
      <c r="B112" s="30" t="s">
        <v>516</v>
      </c>
      <c r="C112" s="30">
        <v>12</v>
      </c>
      <c r="D112" s="30">
        <f>VLOOKUP(RUTA474[[#This Row],[Columna1]],Tabla14[#All],6,0)</f>
        <v>0.96875</v>
      </c>
      <c r="E112" s="30">
        <f>RUTA474[[#This Row],[Columna3]]*RUTA474[[#This Row],[Columna4]]</f>
        <v>11.625</v>
      </c>
    </row>
    <row r="113" spans="1:5">
      <c r="A113" s="30" t="s">
        <v>2228</v>
      </c>
      <c r="B113" s="30" t="s">
        <v>2227</v>
      </c>
      <c r="C113" s="30">
        <v>120</v>
      </c>
      <c r="D113" s="30">
        <f>VLOOKUP(RUTA474[[#This Row],[Columna1]],Tabla14[#All],6,0)</f>
        <v>0.33958333333333335</v>
      </c>
      <c r="E113" s="30">
        <f>RUTA474[[#This Row],[Columna3]]*RUTA474[[#This Row],[Columna4]]</f>
        <v>40.75</v>
      </c>
    </row>
    <row r="114" spans="1:5">
      <c r="A114" s="30" t="s">
        <v>1716</v>
      </c>
      <c r="B114" s="30" t="s">
        <v>1715</v>
      </c>
      <c r="C114" s="30">
        <v>123</v>
      </c>
      <c r="D114" s="30">
        <f>VLOOKUP(RUTA474[[#This Row],[Columna1]],Tabla14[#All],6,0)</f>
        <v>0.25</v>
      </c>
      <c r="E114" s="30">
        <f>RUTA474[[#This Row],[Columna3]]*RUTA474[[#This Row],[Columna4]]</f>
        <v>30.75</v>
      </c>
    </row>
    <row r="115" spans="1:5">
      <c r="A115" s="30" t="s">
        <v>1720</v>
      </c>
      <c r="B115" s="30" t="s">
        <v>2262</v>
      </c>
      <c r="C115" s="30">
        <v>6</v>
      </c>
      <c r="D115" s="30">
        <f>VLOOKUP(RUTA474[[#This Row],[Columna1]],Tabla14[#All],6,0)</f>
        <v>0.875</v>
      </c>
      <c r="E115" s="30">
        <f>RUTA474[[#This Row],[Columna3]]*RUTA474[[#This Row],[Columna4]]</f>
        <v>5.25</v>
      </c>
    </row>
    <row r="116" spans="1:5">
      <c r="A116" s="30" t="s">
        <v>531</v>
      </c>
      <c r="B116" s="30" t="s">
        <v>530</v>
      </c>
      <c r="C116" s="30">
        <v>2</v>
      </c>
      <c r="D116" s="30">
        <f>VLOOKUP(RUTA474[[#This Row],[Columna1]],Tabla14[#All],6,0)</f>
        <v>1.8125</v>
      </c>
      <c r="E116" s="30">
        <f>RUTA474[[#This Row],[Columna3]]*RUTA474[[#This Row],[Columna4]]</f>
        <v>3.625</v>
      </c>
    </row>
    <row r="117" spans="1:5">
      <c r="A117" s="30" t="s">
        <v>115</v>
      </c>
      <c r="B117" s="30" t="s">
        <v>114</v>
      </c>
      <c r="C117" s="30">
        <v>42</v>
      </c>
      <c r="D117" s="30">
        <f>VLOOKUP(RUTA474[[#This Row],[Columna1]],Tabla14[#All],6,0)</f>
        <v>0.65625</v>
      </c>
      <c r="E117" s="30">
        <f>RUTA474[[#This Row],[Columna3]]*RUTA474[[#This Row],[Columna4]]</f>
        <v>27.5625</v>
      </c>
    </row>
    <row r="118" spans="1:5">
      <c r="A118" s="30" t="s">
        <v>529</v>
      </c>
      <c r="B118" s="30" t="s">
        <v>528</v>
      </c>
      <c r="C118" s="30">
        <v>116</v>
      </c>
      <c r="D118" s="30">
        <f>VLOOKUP(RUTA474[[#This Row],[Columna1]],Tabla14[#All],6,0)</f>
        <v>0.34375</v>
      </c>
      <c r="E118" s="30">
        <f>RUTA474[[#This Row],[Columna3]]*RUTA474[[#This Row],[Columna4]]</f>
        <v>39.875</v>
      </c>
    </row>
    <row r="119" spans="1:5">
      <c r="A119" s="30" t="s">
        <v>94</v>
      </c>
      <c r="B119" s="30" t="s">
        <v>93</v>
      </c>
      <c r="C119" s="30">
        <v>3</v>
      </c>
      <c r="D119" s="30">
        <f>VLOOKUP(RUTA474[[#This Row],[Columna1]],Tabla14[#All],6,0)</f>
        <v>0.375</v>
      </c>
      <c r="E119" s="30">
        <f>RUTA474[[#This Row],[Columna3]]*RUTA474[[#This Row],[Columna4]]</f>
        <v>1.125</v>
      </c>
    </row>
    <row r="120" spans="1:5">
      <c r="A120" s="30" t="s">
        <v>96</v>
      </c>
      <c r="B120" s="30" t="s">
        <v>95</v>
      </c>
      <c r="C120" s="30">
        <v>30</v>
      </c>
      <c r="D120" s="30">
        <f>VLOOKUP(RUTA474[[#This Row],[Columna1]],Tabla14[#All],6,0)</f>
        <v>0.25</v>
      </c>
      <c r="E120" s="30">
        <f>RUTA474[[#This Row],[Columna3]]*RUTA474[[#This Row],[Columna4]]</f>
        <v>7.5</v>
      </c>
    </row>
    <row r="121" spans="1:5">
      <c r="A121" s="30" t="s">
        <v>508</v>
      </c>
      <c r="B121" s="30" t="s">
        <v>507</v>
      </c>
      <c r="C121" s="30">
        <v>18</v>
      </c>
      <c r="D121" s="30">
        <f>VLOOKUP(RUTA474[[#This Row],[Columna1]],Tabla14[#All],6,0)</f>
        <v>0.72916666666666663</v>
      </c>
      <c r="E121" s="30">
        <f>RUTA474[[#This Row],[Columna3]]*RUTA474[[#This Row],[Columna4]]</f>
        <v>13.125</v>
      </c>
    </row>
    <row r="122" spans="1:5">
      <c r="A122" s="30" t="s">
        <v>506</v>
      </c>
      <c r="B122" s="30" t="s">
        <v>505</v>
      </c>
      <c r="C122" s="30">
        <v>18</v>
      </c>
      <c r="D122" s="30">
        <f>VLOOKUP(RUTA474[[#This Row],[Columna1]],Tabla14[#All],6,0)</f>
        <v>0.72916666666666663</v>
      </c>
      <c r="E122" s="30">
        <f>RUTA474[[#This Row],[Columna3]]*RUTA474[[#This Row],[Columna4]]</f>
        <v>13.125</v>
      </c>
    </row>
    <row r="123" spans="1:5">
      <c r="A123" s="30" t="s">
        <v>113</v>
      </c>
      <c r="B123" s="30" t="s">
        <v>112</v>
      </c>
      <c r="C123" s="30">
        <v>12</v>
      </c>
      <c r="D123" s="30">
        <f>VLOOKUP(RUTA474[[#This Row],[Columna1]],Tabla14[#All],6,0)</f>
        <v>0.9375</v>
      </c>
      <c r="E123" s="30">
        <f>RUTA474[[#This Row],[Columna3]]*RUTA474[[#This Row],[Columna4]]</f>
        <v>11.25</v>
      </c>
    </row>
    <row r="124" spans="1:5">
      <c r="A124" s="30" t="s">
        <v>1795</v>
      </c>
      <c r="B124" s="30" t="s">
        <v>1794</v>
      </c>
      <c r="C124" s="30">
        <v>1</v>
      </c>
      <c r="D124" s="30">
        <f>VLOOKUP(RUTA474[[#This Row],[Columna1]],Tabla14[#All],6,0)</f>
        <v>0.2</v>
      </c>
      <c r="E124" s="30">
        <f>RUTA474[[#This Row],[Columna3]]*RUTA474[[#This Row],[Columna4]]</f>
        <v>0.2</v>
      </c>
    </row>
    <row r="125" spans="1:5">
      <c r="A125" s="30" t="s">
        <v>403</v>
      </c>
      <c r="B125" s="30" t="s">
        <v>402</v>
      </c>
      <c r="C125" s="30">
        <v>1</v>
      </c>
      <c r="D125" s="30">
        <f>VLOOKUP(RUTA474[[#This Row],[Columna1]],Tabla14[#All],6,0)</f>
        <v>2.1166666666666667</v>
      </c>
      <c r="E125" s="30">
        <f>RUTA474[[#This Row],[Columna3]]*RUTA474[[#This Row],[Columna4]]</f>
        <v>2.1166666666666667</v>
      </c>
    </row>
    <row r="126" spans="1:5">
      <c r="A126" s="30" t="s">
        <v>401</v>
      </c>
      <c r="B126" s="30" t="s">
        <v>400</v>
      </c>
      <c r="C126" s="30">
        <v>4</v>
      </c>
      <c r="D126" s="30">
        <f>VLOOKUP(RUTA474[[#This Row],[Columna1]],Tabla14[#All],6,0)</f>
        <v>2.1166666666666667</v>
      </c>
      <c r="E126" s="30">
        <f>RUTA474[[#This Row],[Columna3]]*RUTA474[[#This Row],[Columna4]]</f>
        <v>8.4666666666666668</v>
      </c>
    </row>
    <row r="127" spans="1:5">
      <c r="A127" s="30" t="s">
        <v>431</v>
      </c>
      <c r="B127" s="30" t="s">
        <v>430</v>
      </c>
      <c r="C127" s="30">
        <v>4</v>
      </c>
      <c r="D127" s="30">
        <f>VLOOKUP(RUTA474[[#This Row],[Columna1]],Tabla14[#All],6,0)</f>
        <v>2.1166666666666667</v>
      </c>
      <c r="E127" s="30">
        <f>RUTA474[[#This Row],[Columna3]]*RUTA474[[#This Row],[Columna4]]</f>
        <v>8.4666666666666668</v>
      </c>
    </row>
    <row r="128" spans="1:5">
      <c r="A128" s="30" t="s">
        <v>359</v>
      </c>
      <c r="B128" s="30" t="s">
        <v>358</v>
      </c>
      <c r="C128" s="30">
        <v>2</v>
      </c>
      <c r="D128" s="30">
        <f>VLOOKUP(RUTA474[[#This Row],[Columna1]],Tabla14[#All],6,0)</f>
        <v>2.1166666666666667</v>
      </c>
      <c r="E128" s="30">
        <f>RUTA474[[#This Row],[Columna3]]*RUTA474[[#This Row],[Columna4]]</f>
        <v>4.2333333333333334</v>
      </c>
    </row>
    <row r="129" spans="1:5">
      <c r="A129" s="30" t="s">
        <v>1081</v>
      </c>
      <c r="B129" s="30" t="s">
        <v>1080</v>
      </c>
      <c r="C129" s="30">
        <v>9</v>
      </c>
      <c r="D129" s="30">
        <f>VLOOKUP(RUTA474[[#This Row],[Columna1]],Tabla14[#All],6,0)</f>
        <v>2.1166666666666667</v>
      </c>
      <c r="E129" s="30">
        <f>RUTA474[[#This Row],[Columna3]]*RUTA474[[#This Row],[Columna4]]</f>
        <v>19.05</v>
      </c>
    </row>
    <row r="130" spans="1:5">
      <c r="A130" s="30" t="s">
        <v>35</v>
      </c>
      <c r="B130" s="30" t="s">
        <v>2273</v>
      </c>
      <c r="C130" s="30">
        <v>1</v>
      </c>
      <c r="D130" s="30">
        <f>VLOOKUP(RUTA474[[#This Row],[Columna1]],Tabla14[#All],6,0)</f>
        <v>3.0416666666666665</v>
      </c>
      <c r="E130" s="30">
        <f>RUTA474[[#This Row],[Columna3]]*RUTA474[[#This Row],[Columna4]]</f>
        <v>3.0416666666666665</v>
      </c>
    </row>
    <row r="131" spans="1:5">
      <c r="A131" s="30" t="s">
        <v>391</v>
      </c>
      <c r="B131" s="30" t="s">
        <v>2260</v>
      </c>
      <c r="C131" s="30">
        <v>1</v>
      </c>
      <c r="D131" s="30">
        <f>VLOOKUP(RUTA474[[#This Row],[Columna1]],Tabla14[#All],6,0)</f>
        <v>1.5</v>
      </c>
      <c r="E131" s="30">
        <f>RUTA474[[#This Row],[Columna3]]*RUTA474[[#This Row],[Columna4]]</f>
        <v>1.5</v>
      </c>
    </row>
    <row r="132" spans="1:5">
      <c r="A132" s="30" t="s">
        <v>41</v>
      </c>
      <c r="B132" s="30" t="s">
        <v>40</v>
      </c>
      <c r="C132" s="30">
        <v>2</v>
      </c>
      <c r="D132" s="30">
        <f>VLOOKUP(RUTA474[[#This Row],[Columna1]],Tabla14[#All],6,0)</f>
        <v>0.24270833333333333</v>
      </c>
      <c r="E132" s="30">
        <f>RUTA474[[#This Row],[Columna3]]*RUTA474[[#This Row],[Columna4]]</f>
        <v>0.48541666666666666</v>
      </c>
    </row>
    <row r="133" spans="1:5">
      <c r="A133" s="30" t="s">
        <v>37</v>
      </c>
      <c r="B133" s="30" t="s">
        <v>36</v>
      </c>
      <c r="C133" s="30">
        <v>2</v>
      </c>
      <c r="D133" s="30">
        <f>VLOOKUP(RUTA474[[#This Row],[Columna1]],Tabla14[#All],6,0)</f>
        <v>0.24270833333333333</v>
      </c>
      <c r="E133" s="30">
        <f>RUTA474[[#This Row],[Columna3]]*RUTA474[[#This Row],[Columna4]]</f>
        <v>0.48541666666666666</v>
      </c>
    </row>
    <row r="134" spans="1:5">
      <c r="A134" s="30" t="s">
        <v>39</v>
      </c>
      <c r="B134" s="30" t="s">
        <v>38</v>
      </c>
      <c r="C134" s="30">
        <v>2</v>
      </c>
      <c r="D134" s="30">
        <f>VLOOKUP(RUTA474[[#This Row],[Columna1]],Tabla14[#All],6,0)</f>
        <v>0.24270833333333333</v>
      </c>
      <c r="E134" s="30">
        <f>RUTA474[[#This Row],[Columna3]]*RUTA474[[#This Row],[Columna4]]</f>
        <v>0.48541666666666666</v>
      </c>
    </row>
    <row r="135" spans="1:5">
      <c r="A135" s="30" t="s">
        <v>1679</v>
      </c>
      <c r="B135" s="30" t="s">
        <v>2201</v>
      </c>
      <c r="C135" s="30">
        <v>18</v>
      </c>
      <c r="D135" s="30">
        <f>VLOOKUP(RUTA474[[#This Row],[Columna1]],Tabla14[#All],6,0)</f>
        <v>0.33041666666666664</v>
      </c>
      <c r="E135" s="30">
        <f>RUTA474[[#This Row],[Columna3]]*RUTA474[[#This Row],[Columna4]]</f>
        <v>5.9474999999999998</v>
      </c>
    </row>
    <row r="136" spans="1:5">
      <c r="A136" s="30" t="s">
        <v>47</v>
      </c>
      <c r="B136" s="30" t="s">
        <v>46</v>
      </c>
      <c r="C136" s="30">
        <v>1</v>
      </c>
      <c r="D136" s="30">
        <f>VLOOKUP(RUTA474[[#This Row],[Columna1]],Tabla14[#All],6,0)</f>
        <v>2.1166666666666667</v>
      </c>
      <c r="E136" s="30">
        <f>RUTA474[[#This Row],[Columna3]]*RUTA474[[#This Row],[Columna4]]</f>
        <v>2.1166666666666667</v>
      </c>
    </row>
    <row r="137" spans="1:5">
      <c r="A137" s="30" t="s">
        <v>31</v>
      </c>
      <c r="B137" s="30" t="s">
        <v>30</v>
      </c>
      <c r="C137" s="30">
        <v>10</v>
      </c>
      <c r="D137" s="30">
        <f>VLOOKUP(RUTA474[[#This Row],[Columna1]],Tabla14[#All],6,0)</f>
        <v>0.11</v>
      </c>
      <c r="E137" s="30">
        <f>RUTA474[[#This Row],[Columna3]]*RUTA474[[#This Row],[Columna4]]</f>
        <v>1.1000000000000001</v>
      </c>
    </row>
    <row r="138" spans="1:5">
      <c r="A138" s="30" t="s">
        <v>395</v>
      </c>
      <c r="B138" s="30" t="s">
        <v>2237</v>
      </c>
      <c r="C138" s="30">
        <v>12</v>
      </c>
      <c r="D138" s="30">
        <f>VLOOKUP(RUTA474[[#This Row],[Columna1]],Tabla14[#All],6,0)</f>
        <v>0.47499999999999998</v>
      </c>
      <c r="E138" s="30">
        <f>RUTA474[[#This Row],[Columna3]]*RUTA474[[#This Row],[Columna4]]</f>
        <v>5.6999999999999993</v>
      </c>
    </row>
    <row r="139" spans="1:5">
      <c r="A139" s="30" t="s">
        <v>1136</v>
      </c>
      <c r="B139" s="30" t="s">
        <v>1135</v>
      </c>
      <c r="C139" s="30">
        <v>1</v>
      </c>
      <c r="D139" s="30">
        <f>VLOOKUP(RUTA474[[#This Row],[Columna1]],Tabla14[#All],6,0)</f>
        <v>0.06</v>
      </c>
      <c r="E139" s="30">
        <f>RUTA474[[#This Row],[Columna3]]*RUTA474[[#This Row],[Columna4]]</f>
        <v>0.06</v>
      </c>
    </row>
    <row r="140" spans="1:5">
      <c r="A140" s="30" t="s">
        <v>427</v>
      </c>
      <c r="B140" s="30" t="s">
        <v>426</v>
      </c>
      <c r="C140" s="30">
        <v>1</v>
      </c>
      <c r="D140" s="30">
        <f>VLOOKUP(RUTA474[[#This Row],[Columna1]],Tabla14[#All],6,0)</f>
        <v>0.01</v>
      </c>
      <c r="E140" s="30">
        <f>RUTA474[[#This Row],[Columna3]]*RUTA474[[#This Row],[Columna4]]</f>
        <v>0.01</v>
      </c>
    </row>
    <row r="141" spans="1:5">
      <c r="A141" s="30" t="s">
        <v>5</v>
      </c>
      <c r="B141" s="30" t="s">
        <v>4</v>
      </c>
      <c r="C141" s="30">
        <v>8</v>
      </c>
      <c r="D141" s="30">
        <f>VLOOKUP(RUTA474[[#This Row],[Columna1]],Tabla14[#All],6,0)</f>
        <v>1.1041666666666667</v>
      </c>
      <c r="E141" s="30">
        <f>RUTA474[[#This Row],[Columna3]]*RUTA474[[#This Row],[Columna4]]</f>
        <v>8.8333333333333339</v>
      </c>
    </row>
    <row r="142" spans="1:5">
      <c r="A142" s="30" t="s">
        <v>339</v>
      </c>
      <c r="B142" s="30" t="s">
        <v>338</v>
      </c>
      <c r="C142" s="30">
        <v>19</v>
      </c>
      <c r="D142" s="30">
        <f>VLOOKUP(RUTA474[[#This Row],[Columna1]],Tabla14[#All],6,0)</f>
        <v>1.1041666666666667</v>
      </c>
      <c r="E142" s="30">
        <f>RUTA474[[#This Row],[Columna3]]*RUTA474[[#This Row],[Columna4]]</f>
        <v>20.979166666666668</v>
      </c>
    </row>
    <row r="143" spans="1:5">
      <c r="A143" s="30" t="s">
        <v>7</v>
      </c>
      <c r="B143" s="30" t="s">
        <v>6</v>
      </c>
      <c r="C143" s="30">
        <v>43</v>
      </c>
      <c r="D143" s="30">
        <f>VLOOKUP(RUTA474[[#This Row],[Columna1]],Tabla14[#All],6,0)</f>
        <v>1.1041666666666667</v>
      </c>
      <c r="E143" s="30">
        <f>RUTA474[[#This Row],[Columna3]]*RUTA474[[#This Row],[Columna4]]</f>
        <v>47.479166666666671</v>
      </c>
    </row>
    <row r="144" spans="1:5">
      <c r="A144" s="30" t="s">
        <v>343</v>
      </c>
      <c r="B144" s="30" t="s">
        <v>342</v>
      </c>
      <c r="C144" s="30">
        <v>15</v>
      </c>
      <c r="D144" s="30">
        <f>VLOOKUP(RUTA474[[#This Row],[Columna1]],Tabla14[#All],6,0)</f>
        <v>1.1041666666666667</v>
      </c>
      <c r="E144" s="30">
        <f>RUTA474[[#This Row],[Columna3]]*RUTA474[[#This Row],[Columna4]]</f>
        <v>16.5625</v>
      </c>
    </row>
    <row r="145" spans="1:5">
      <c r="A145" s="30" t="s">
        <v>3</v>
      </c>
      <c r="B145" s="30" t="s">
        <v>2</v>
      </c>
      <c r="C145" s="30">
        <v>19</v>
      </c>
      <c r="D145" s="30">
        <f>VLOOKUP(RUTA474[[#This Row],[Columna1]],Tabla14[#All],6,0)</f>
        <v>1.1041666666666667</v>
      </c>
      <c r="E145" s="30">
        <f>RUTA474[[#This Row],[Columna3]]*RUTA474[[#This Row],[Columna4]]</f>
        <v>20.979166666666668</v>
      </c>
    </row>
    <row r="146" spans="1:5">
      <c r="A146" s="30" t="s">
        <v>1980</v>
      </c>
      <c r="B146" s="30" t="s">
        <v>1979</v>
      </c>
      <c r="C146" s="30">
        <v>6</v>
      </c>
      <c r="D146" s="30">
        <f>VLOOKUP(RUTA474[[#This Row],[Columna1]],Tabla14[#All],6,0)</f>
        <v>1.3340744858254587</v>
      </c>
      <c r="E146" s="30">
        <f>RUTA474[[#This Row],[Columna3]]*RUTA474[[#This Row],[Columna4]]</f>
        <v>8.0044469149527515</v>
      </c>
    </row>
    <row r="147" spans="1:5">
      <c r="A147" s="30" t="s">
        <v>857</v>
      </c>
      <c r="B147" s="30" t="s">
        <v>856</v>
      </c>
      <c r="C147" s="30">
        <v>1</v>
      </c>
      <c r="D147" s="30">
        <f>VLOOKUP(RUTA474[[#This Row],[Columna1]],Tabla14[#All],6,0)</f>
        <v>1.3125</v>
      </c>
      <c r="E147" s="30">
        <f>RUTA474[[#This Row],[Columna3]]*RUTA474[[#This Row],[Columna4]]</f>
        <v>1.3125</v>
      </c>
    </row>
    <row r="148" spans="1:5">
      <c r="A148" s="30" t="s">
        <v>1694</v>
      </c>
      <c r="B148" s="30" t="s">
        <v>1693</v>
      </c>
      <c r="C148" s="30">
        <v>2</v>
      </c>
      <c r="D148" s="30">
        <f>VLOOKUP(RUTA474[[#This Row],[Columna1]],Tabla14[#All],6,0)</f>
        <v>0.6</v>
      </c>
      <c r="E148" s="30">
        <f>RUTA474[[#This Row],[Columna3]]*RUTA474[[#This Row],[Columna4]]</f>
        <v>1.2</v>
      </c>
    </row>
    <row r="149" spans="1:5">
      <c r="A149" s="30" t="s">
        <v>1738</v>
      </c>
      <c r="B149" s="30" t="s">
        <v>1737</v>
      </c>
      <c r="C149" s="30">
        <v>1</v>
      </c>
      <c r="D149" s="30">
        <f>VLOOKUP(RUTA474[[#This Row],[Columna1]],Tabla14[#All],6,0)</f>
        <v>0.6</v>
      </c>
      <c r="E149" s="30">
        <f>RUTA474[[#This Row],[Columna3]]*RUTA474[[#This Row],[Columna4]]</f>
        <v>0.6</v>
      </c>
    </row>
    <row r="150" spans="1:5">
      <c r="A150" s="30" t="s">
        <v>1718</v>
      </c>
      <c r="B150" s="30" t="s">
        <v>1717</v>
      </c>
      <c r="C150" s="30">
        <v>4</v>
      </c>
      <c r="D150" s="30">
        <f>VLOOKUP(RUTA474[[#This Row],[Columna1]],Tabla14[#All],6,0)</f>
        <v>0.6</v>
      </c>
      <c r="E150" s="30">
        <f>RUTA474[[#This Row],[Columna3]]*RUTA474[[#This Row],[Columna4]]</f>
        <v>2.4</v>
      </c>
    </row>
    <row r="151" spans="1:5">
      <c r="A151" s="30" t="s">
        <v>1710</v>
      </c>
      <c r="B151" s="30" t="s">
        <v>1709</v>
      </c>
      <c r="C151" s="30">
        <v>1</v>
      </c>
      <c r="D151" s="30">
        <f>VLOOKUP(RUTA474[[#This Row],[Columna1]],Tabla14[#All],6,0)</f>
        <v>0.6</v>
      </c>
      <c r="E151" s="30">
        <f>RUTA474[[#This Row],[Columna3]]*RUTA474[[#This Row],[Columna4]]</f>
        <v>0.6</v>
      </c>
    </row>
    <row r="152" spans="1:5">
      <c r="A152" s="30" t="s">
        <v>1722</v>
      </c>
      <c r="B152" s="30" t="s">
        <v>1721</v>
      </c>
      <c r="C152" s="30">
        <v>1</v>
      </c>
      <c r="D152" s="30">
        <f>VLOOKUP(RUTA474[[#This Row],[Columna1]],Tabla14[#All],6,0)</f>
        <v>0.6</v>
      </c>
      <c r="E152" s="30">
        <f>RUTA474[[#This Row],[Columna3]]*RUTA474[[#This Row],[Columna4]]</f>
        <v>0.6</v>
      </c>
    </row>
    <row r="153" spans="1:5">
      <c r="A153" s="30" t="s">
        <v>1213</v>
      </c>
      <c r="B153" s="30" t="s">
        <v>303</v>
      </c>
      <c r="C153" s="30">
        <v>2</v>
      </c>
      <c r="D153" s="30">
        <f>VLOOKUP(RUTA474[[#This Row],[Columna1]],Tabla14[#All],6,0)</f>
        <v>0.42399999999999999</v>
      </c>
      <c r="E153" s="30">
        <f>RUTA474[[#This Row],[Columna3]]*RUTA474[[#This Row],[Columna4]]</f>
        <v>0.84799999999999998</v>
      </c>
    </row>
    <row r="154" spans="1:5">
      <c r="A154" s="30" t="s">
        <v>1749</v>
      </c>
      <c r="B154" s="30" t="s">
        <v>2008</v>
      </c>
      <c r="C154" s="30">
        <v>9</v>
      </c>
      <c r="D154" s="30">
        <f>VLOOKUP(RUTA474[[#This Row],[Columna1]],Tabla14[#All],6,0)</f>
        <v>0.71375</v>
      </c>
      <c r="E154" s="30">
        <f>RUTA474[[#This Row],[Columna3]]*RUTA474[[#This Row],[Columna4]]</f>
        <v>6.4237500000000001</v>
      </c>
    </row>
    <row r="155" spans="1:5">
      <c r="A155" s="30" t="s">
        <v>1148</v>
      </c>
      <c r="B155" s="30" t="s">
        <v>1512</v>
      </c>
      <c r="C155" s="30">
        <v>43</v>
      </c>
      <c r="D155" s="30">
        <f>VLOOKUP(RUTA474[[#This Row],[Columna1]],Tabla14[#All],6,0)</f>
        <v>0.88</v>
      </c>
      <c r="E155" s="30">
        <f>RUTA474[[#This Row],[Columna3]]*RUTA474[[#This Row],[Columna4]]</f>
        <v>37.840000000000003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134F2-68F8-44A5-9DF5-809F351B9838}">
  <dimension ref="A1:E134"/>
  <sheetViews>
    <sheetView workbookViewId="0"/>
  </sheetViews>
  <sheetFormatPr baseColWidth="10" defaultRowHeight="14.4"/>
  <cols>
    <col min="1" max="1" width="11.5546875" style="30"/>
    <col min="2" max="2" width="46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24</v>
      </c>
      <c r="D2" s="30">
        <f>VLOOKUP(RUTA475[[#This Row],[Columna1]],Tabla14[#All],6,0)</f>
        <v>0.88200000000000001</v>
      </c>
      <c r="E2" s="30">
        <f>RUTA475[[#This Row],[Columna3]]*RUTA475[[#This Row],[Columna4]]</f>
        <v>21.167999999999999</v>
      </c>
    </row>
    <row r="3" spans="1:5">
      <c r="A3" s="30">
        <v>10020010007</v>
      </c>
      <c r="B3" s="30" t="s">
        <v>143</v>
      </c>
      <c r="C3" s="30">
        <v>6</v>
      </c>
      <c r="D3" s="30">
        <f>VLOOKUP(RUTA475[[#This Row],[Columna1]],Tabla14[#All],6,0)</f>
        <v>0.88200000000000001</v>
      </c>
      <c r="E3" s="30">
        <f>RUTA475[[#This Row],[Columna3]]*RUTA475[[#This Row],[Columna4]]</f>
        <v>5.2919999999999998</v>
      </c>
    </row>
    <row r="4" spans="1:5">
      <c r="A4" s="30">
        <v>1008010073</v>
      </c>
      <c r="B4" s="30" t="s">
        <v>443</v>
      </c>
      <c r="C4" s="30">
        <v>2</v>
      </c>
      <c r="D4" s="30">
        <f>VLOOKUP(RUTA475[[#This Row],[Columna1]],Tabla14[#All],6,0)</f>
        <v>0.33071428571428568</v>
      </c>
      <c r="E4" s="30">
        <f>RUTA475[[#This Row],[Columna3]]*RUTA475[[#This Row],[Columna4]]</f>
        <v>0.66142857142857137</v>
      </c>
    </row>
    <row r="5" spans="1:5">
      <c r="A5" s="30">
        <v>1008011812</v>
      </c>
      <c r="B5" s="30" t="s">
        <v>445</v>
      </c>
      <c r="C5" s="30">
        <v>8</v>
      </c>
      <c r="D5" s="30">
        <f>VLOOKUP(RUTA475[[#This Row],[Columna1]],Tabla14[#All],6,0)</f>
        <v>0.63928571428571423</v>
      </c>
      <c r="E5" s="30">
        <f>RUTA475[[#This Row],[Columna3]]*RUTA475[[#This Row],[Columna4]]</f>
        <v>5.1142857142857139</v>
      </c>
    </row>
    <row r="6" spans="1:5">
      <c r="A6" s="30">
        <v>400000127</v>
      </c>
      <c r="B6" s="30" t="s">
        <v>585</v>
      </c>
      <c r="C6" s="30">
        <v>6</v>
      </c>
      <c r="D6" s="30">
        <f>VLOOKUP(RUTA475[[#This Row],[Columna1]],Tabla14[#All],6,0)</f>
        <v>1.5449999999999999</v>
      </c>
      <c r="E6" s="30">
        <f>RUTA475[[#This Row],[Columna3]]*RUTA475[[#This Row],[Columna4]]</f>
        <v>9.27</v>
      </c>
    </row>
    <row r="7" spans="1:5">
      <c r="A7" s="30">
        <v>400000160</v>
      </c>
      <c r="B7" s="30" t="s">
        <v>584</v>
      </c>
      <c r="C7" s="30">
        <v>10</v>
      </c>
      <c r="D7" s="30">
        <f>VLOOKUP(RUTA475[[#This Row],[Columna1]],Tabla14[#All],6,0)</f>
        <v>1.4166666666666667</v>
      </c>
      <c r="E7" s="30">
        <f>RUTA475[[#This Row],[Columna3]]*RUTA475[[#This Row],[Columna4]]</f>
        <v>14.166666666666668</v>
      </c>
    </row>
    <row r="8" spans="1:5">
      <c r="A8" s="30">
        <v>50470107</v>
      </c>
      <c r="B8" s="30" t="s">
        <v>2272</v>
      </c>
      <c r="C8" s="30">
        <v>6</v>
      </c>
      <c r="D8" s="30">
        <f>VLOOKUP(RUTA475[[#This Row],[Columna1]],Tabla14[#All],6,0)</f>
        <v>2.9166666666666665</v>
      </c>
      <c r="E8" s="30">
        <f>RUTA475[[#This Row],[Columna3]]*RUTA475[[#This Row],[Columna4]]</f>
        <v>17.5</v>
      </c>
    </row>
    <row r="9" spans="1:5">
      <c r="A9" s="30">
        <v>50470114</v>
      </c>
      <c r="B9" s="30" t="s">
        <v>2053</v>
      </c>
      <c r="C9" s="30">
        <v>2</v>
      </c>
      <c r="D9" s="30">
        <f>VLOOKUP(RUTA475[[#This Row],[Columna1]],Tabla14[#All],6,0)</f>
        <v>2.48</v>
      </c>
      <c r="E9" s="30">
        <f>RUTA475[[#This Row],[Columna3]]*RUTA475[[#This Row],[Columna4]]</f>
        <v>4.96</v>
      </c>
    </row>
    <row r="10" spans="1:5">
      <c r="A10" s="30">
        <v>50470115</v>
      </c>
      <c r="B10" s="30" t="s">
        <v>2052</v>
      </c>
      <c r="C10" s="30">
        <v>2</v>
      </c>
      <c r="D10" s="30">
        <f>VLOOKUP(RUTA475[[#This Row],[Columna1]],Tabla14[#All],6,0)</f>
        <v>2.48</v>
      </c>
      <c r="E10" s="30">
        <f>RUTA475[[#This Row],[Columna3]]*RUTA475[[#This Row],[Columna4]]</f>
        <v>4.96</v>
      </c>
    </row>
    <row r="11" spans="1:5">
      <c r="A11" s="30">
        <v>50491102</v>
      </c>
      <c r="B11" s="30" t="s">
        <v>1898</v>
      </c>
      <c r="C11" s="30">
        <v>14</v>
      </c>
      <c r="D11" s="30">
        <f>VLOOKUP(RUTA475[[#This Row],[Columna1]],Tabla14[#All],6,0)</f>
        <v>2.65</v>
      </c>
      <c r="E11" s="30">
        <f>RUTA475[[#This Row],[Columna3]]*RUTA475[[#This Row],[Columna4]]</f>
        <v>37.1</v>
      </c>
    </row>
    <row r="12" spans="1:5">
      <c r="A12" s="30">
        <v>50491108</v>
      </c>
      <c r="B12" s="30" t="s">
        <v>2010</v>
      </c>
      <c r="C12" s="30">
        <v>2</v>
      </c>
      <c r="D12" s="30">
        <f>VLOOKUP(RUTA475[[#This Row],[Columna1]],Tabla14[#All],6,0)</f>
        <v>2.65</v>
      </c>
      <c r="E12" s="30">
        <f>RUTA475[[#This Row],[Columna3]]*RUTA475[[#This Row],[Columna4]]</f>
        <v>5.3</v>
      </c>
    </row>
    <row r="13" spans="1:5">
      <c r="A13" s="30">
        <v>50491122</v>
      </c>
      <c r="B13" s="30" t="s">
        <v>2264</v>
      </c>
      <c r="C13" s="30">
        <v>2</v>
      </c>
      <c r="D13" s="30">
        <f>VLOOKUP(RUTA475[[#This Row],[Columna1]],Tabla14[#All],6,0)</f>
        <v>0.88166666666666671</v>
      </c>
      <c r="E13" s="30">
        <f>RUTA475[[#This Row],[Columna3]]*RUTA475[[#This Row],[Columna4]]</f>
        <v>1.7633333333333334</v>
      </c>
    </row>
    <row r="14" spans="1:5">
      <c r="A14" s="30">
        <v>50491132</v>
      </c>
      <c r="B14" s="30" t="s">
        <v>1762</v>
      </c>
      <c r="C14" s="30">
        <v>6</v>
      </c>
      <c r="D14" s="30">
        <f>VLOOKUP(RUTA475[[#This Row],[Columna1]],Tabla14[#All],6,0)</f>
        <v>3.3049999999999997</v>
      </c>
      <c r="E14" s="30">
        <f>RUTA475[[#This Row],[Columna3]]*RUTA475[[#This Row],[Columna4]]</f>
        <v>19.829999999999998</v>
      </c>
    </row>
    <row r="15" spans="1:5">
      <c r="A15" s="30">
        <v>50491134</v>
      </c>
      <c r="B15" s="30" t="s">
        <v>1758</v>
      </c>
      <c r="C15" s="30">
        <v>12</v>
      </c>
      <c r="D15" s="30">
        <f>VLOOKUP(RUTA475[[#This Row],[Columna1]],Tabla14[#All],6,0)</f>
        <v>3.2916666666666665</v>
      </c>
      <c r="E15" s="30">
        <f>RUTA475[[#This Row],[Columna3]]*RUTA475[[#This Row],[Columna4]]</f>
        <v>39.5</v>
      </c>
    </row>
    <row r="16" spans="1:5">
      <c r="A16" s="30">
        <v>52480086</v>
      </c>
      <c r="B16" s="30" t="s">
        <v>1939</v>
      </c>
      <c r="C16" s="30">
        <v>6</v>
      </c>
      <c r="D16" s="30">
        <f>VLOOKUP(RUTA475[[#This Row],[Columna1]],Tabla14[#All],6,0)</f>
        <v>0.23805555555555558</v>
      </c>
      <c r="E16" s="30">
        <f>RUTA475[[#This Row],[Columna3]]*RUTA475[[#This Row],[Columna4]]</f>
        <v>1.4283333333333335</v>
      </c>
    </row>
    <row r="17" spans="1:5">
      <c r="A17" s="30">
        <v>5460400</v>
      </c>
      <c r="B17" s="30" t="s">
        <v>2133</v>
      </c>
      <c r="C17" s="30">
        <v>48</v>
      </c>
      <c r="D17" s="30">
        <f>VLOOKUP(RUTA475[[#This Row],[Columna1]],Tabla14[#All],6,0)</f>
        <v>0.75</v>
      </c>
      <c r="E17" s="30">
        <f>RUTA475[[#This Row],[Columna3]]*RUTA475[[#This Row],[Columna4]]</f>
        <v>36</v>
      </c>
    </row>
    <row r="18" spans="1:5">
      <c r="A18" s="30">
        <v>5467000</v>
      </c>
      <c r="B18" s="30" t="s">
        <v>2066</v>
      </c>
      <c r="C18" s="30">
        <v>12</v>
      </c>
      <c r="D18" s="30">
        <f>VLOOKUP(RUTA475[[#This Row],[Columna1]],Tabla14[#All],6,0)</f>
        <v>1.1100000000000001</v>
      </c>
      <c r="E18" s="30">
        <f>RUTA475[[#This Row],[Columna3]]*RUTA475[[#This Row],[Columna4]]</f>
        <v>13.32</v>
      </c>
    </row>
    <row r="19" spans="1:5">
      <c r="A19" s="30">
        <v>576003</v>
      </c>
      <c r="B19" s="30" t="s">
        <v>2084</v>
      </c>
      <c r="C19" s="30">
        <v>12</v>
      </c>
      <c r="D19" s="30">
        <f>VLOOKUP(RUTA475[[#This Row],[Columna1]],Tabla14[#All],6,0)</f>
        <v>0.11944444444444444</v>
      </c>
      <c r="E19" s="30">
        <f>RUTA475[[#This Row],[Columna3]]*RUTA475[[#This Row],[Columna4]]</f>
        <v>1.4333333333333331</v>
      </c>
    </row>
    <row r="20" spans="1:5">
      <c r="A20" s="30">
        <v>60000094</v>
      </c>
      <c r="B20" s="30" t="s">
        <v>1387</v>
      </c>
      <c r="C20" s="30">
        <v>186</v>
      </c>
      <c r="D20" s="30">
        <f>VLOOKUP(RUTA475[[#This Row],[Columna1]],Tabla14[#All],6,0)</f>
        <v>1.76</v>
      </c>
      <c r="E20" s="30">
        <f>RUTA475[[#This Row],[Columna3]]*RUTA475[[#This Row],[Columna4]]</f>
        <v>327.36</v>
      </c>
    </row>
    <row r="21" spans="1:5">
      <c r="A21" s="30">
        <v>60000210</v>
      </c>
      <c r="B21" s="30" t="s">
        <v>148</v>
      </c>
      <c r="C21" s="30">
        <v>6</v>
      </c>
      <c r="D21" s="30">
        <f>VLOOKUP(RUTA475[[#This Row],[Columna1]],Tabla14[#All],6,0)</f>
        <v>0.77200000000000002</v>
      </c>
      <c r="E21" s="30">
        <f>RUTA475[[#This Row],[Columna3]]*RUTA475[[#This Row],[Columna4]]</f>
        <v>4.6319999999999997</v>
      </c>
    </row>
    <row r="22" spans="1:5">
      <c r="A22" s="30">
        <v>620678</v>
      </c>
      <c r="B22" s="30" t="s">
        <v>654</v>
      </c>
      <c r="C22" s="30">
        <v>6</v>
      </c>
      <c r="D22" s="30">
        <f>VLOOKUP(RUTA475[[#This Row],[Columna1]],Tabla14[#All],6,0)</f>
        <v>1</v>
      </c>
      <c r="E22" s="30">
        <f>RUTA475[[#This Row],[Columna3]]*RUTA475[[#This Row],[Columna4]]</f>
        <v>6</v>
      </c>
    </row>
    <row r="23" spans="1:5">
      <c r="A23" s="30">
        <v>620845</v>
      </c>
      <c r="B23" s="30" t="s">
        <v>1627</v>
      </c>
      <c r="C23" s="30">
        <v>3</v>
      </c>
      <c r="D23" s="30">
        <f>VLOOKUP(RUTA475[[#This Row],[Columna1]],Tabla14[#All],6,0)</f>
        <v>1.6555555555555557</v>
      </c>
      <c r="E23" s="30">
        <f>RUTA475[[#This Row],[Columna3]]*RUTA475[[#This Row],[Columna4]]</f>
        <v>4.9666666666666668</v>
      </c>
    </row>
    <row r="24" spans="1:5">
      <c r="A24" s="30">
        <v>621330</v>
      </c>
      <c r="B24" s="30" t="s">
        <v>652</v>
      </c>
      <c r="C24" s="30">
        <v>10</v>
      </c>
      <c r="D24" s="30">
        <f>VLOOKUP(RUTA475[[#This Row],[Columna1]],Tabla14[#All],6,0)</f>
        <v>0.8833333333333333</v>
      </c>
      <c r="E24" s="30">
        <f>RUTA475[[#This Row],[Columna3]]*RUTA475[[#This Row],[Columna4]]</f>
        <v>8.8333333333333321</v>
      </c>
    </row>
    <row r="25" spans="1:5">
      <c r="A25" s="30">
        <v>642557</v>
      </c>
      <c r="B25" s="30" t="s">
        <v>220</v>
      </c>
      <c r="C25" s="30">
        <v>3</v>
      </c>
      <c r="D25" s="30">
        <f>VLOOKUP(RUTA475[[#This Row],[Columna1]],Tabla14[#All],6,0)</f>
        <v>2.65</v>
      </c>
      <c r="E25" s="30">
        <f>RUTA475[[#This Row],[Columna3]]*RUTA475[[#This Row],[Columna4]]</f>
        <v>7.9499999999999993</v>
      </c>
    </row>
    <row r="26" spans="1:5">
      <c r="A26" s="30">
        <v>642694</v>
      </c>
      <c r="B26" s="30" t="s">
        <v>1788</v>
      </c>
      <c r="C26" s="30">
        <v>3</v>
      </c>
      <c r="D26" s="30">
        <f>VLOOKUP(RUTA475[[#This Row],[Columna1]],Tabla14[#All],6,0)</f>
        <v>2.65</v>
      </c>
      <c r="E26" s="30">
        <f>RUTA475[[#This Row],[Columna3]]*RUTA475[[#This Row],[Columna4]]</f>
        <v>7.9499999999999993</v>
      </c>
    </row>
    <row r="27" spans="1:5">
      <c r="A27" s="30">
        <v>67767705</v>
      </c>
      <c r="B27" s="30" t="s">
        <v>276</v>
      </c>
      <c r="C27" s="30">
        <v>1</v>
      </c>
      <c r="D27" s="30">
        <f>VLOOKUP(RUTA475[[#This Row],[Columna1]],Tabla14[#All],6,0)</f>
        <v>6.6666666666666666E-2</v>
      </c>
      <c r="E27" s="30">
        <f>RUTA475[[#This Row],[Columna3]]*RUTA475[[#This Row],[Columna4]]</f>
        <v>6.6666666666666666E-2</v>
      </c>
    </row>
    <row r="28" spans="1:5">
      <c r="A28" s="30">
        <v>68798139</v>
      </c>
      <c r="B28" s="30" t="s">
        <v>1993</v>
      </c>
      <c r="C28" s="30">
        <v>12</v>
      </c>
      <c r="D28" s="30">
        <f>VLOOKUP(RUTA475[[#This Row],[Columna1]],Tabla14[#All],6,0)</f>
        <v>0.1275</v>
      </c>
      <c r="E28" s="30">
        <f>RUTA475[[#This Row],[Columna3]]*RUTA475[[#This Row],[Columna4]]</f>
        <v>1.53</v>
      </c>
    </row>
    <row r="29" spans="1:5">
      <c r="A29" s="30">
        <v>68798140</v>
      </c>
      <c r="B29" s="30" t="s">
        <v>1992</v>
      </c>
      <c r="C29" s="30">
        <v>12</v>
      </c>
      <c r="D29" s="30">
        <f>VLOOKUP(RUTA475[[#This Row],[Columna1]],Tabla14[#All],6,0)</f>
        <v>0.1275</v>
      </c>
      <c r="E29" s="30">
        <f>RUTA475[[#This Row],[Columna3]]*RUTA475[[#This Row],[Columna4]]</f>
        <v>1.53</v>
      </c>
    </row>
    <row r="30" spans="1:5">
      <c r="A30" s="30">
        <v>69584479</v>
      </c>
      <c r="B30" s="30" t="s">
        <v>2085</v>
      </c>
      <c r="C30" s="30">
        <v>12</v>
      </c>
      <c r="D30" s="30">
        <f>VLOOKUP(RUTA475[[#This Row],[Columna1]],Tabla14[#All],6,0)</f>
        <v>0.82674999999999998</v>
      </c>
      <c r="E30" s="30">
        <f>RUTA475[[#This Row],[Columna3]]*RUTA475[[#This Row],[Columna4]]</f>
        <v>9.9209999999999994</v>
      </c>
    </row>
    <row r="31" spans="1:5">
      <c r="A31" s="30">
        <v>69584483</v>
      </c>
      <c r="B31" s="30" t="s">
        <v>1553</v>
      </c>
      <c r="C31" s="30">
        <v>6</v>
      </c>
      <c r="D31" s="30">
        <f>VLOOKUP(RUTA475[[#This Row],[Columna1]],Tabla14[#All],6,0)</f>
        <v>0.40750000000000003</v>
      </c>
      <c r="E31" s="30">
        <f>RUTA475[[#This Row],[Columna3]]*RUTA475[[#This Row],[Columna4]]</f>
        <v>2.4450000000000003</v>
      </c>
    </row>
    <row r="32" spans="1:5">
      <c r="A32" s="30">
        <v>69584486</v>
      </c>
      <c r="B32" s="30" t="s">
        <v>1834</v>
      </c>
      <c r="C32" s="30">
        <v>19</v>
      </c>
      <c r="D32" s="30">
        <f>VLOOKUP(RUTA475[[#This Row],[Columna1]],Tabla14[#All],6,0)</f>
        <v>1.190625</v>
      </c>
      <c r="E32" s="30">
        <f>RUTA475[[#This Row],[Columna3]]*RUTA475[[#This Row],[Columna4]]</f>
        <v>22.621874999999999</v>
      </c>
    </row>
    <row r="33" spans="1:5">
      <c r="A33" s="30">
        <v>69584500</v>
      </c>
      <c r="B33" s="30" t="s">
        <v>2166</v>
      </c>
      <c r="C33" s="30">
        <v>93</v>
      </c>
      <c r="D33" s="30">
        <f>VLOOKUP(RUTA475[[#This Row],[Columna1]],Tabla14[#All],6,0)</f>
        <v>9.9124999999999991E-2</v>
      </c>
      <c r="E33" s="30">
        <f>RUTA475[[#This Row],[Columna3]]*RUTA475[[#This Row],[Columna4]]</f>
        <v>9.2186249999999994</v>
      </c>
    </row>
    <row r="34" spans="1:5">
      <c r="A34" s="30">
        <v>69678219</v>
      </c>
      <c r="B34" s="30" t="s">
        <v>2240</v>
      </c>
      <c r="C34" s="30">
        <v>1</v>
      </c>
      <c r="D34" s="30">
        <f>VLOOKUP(RUTA475[[#This Row],[Columna1]],Tabla14[#All],6,0)</f>
        <v>0.55541666666666667</v>
      </c>
      <c r="E34" s="30">
        <f>RUTA475[[#This Row],[Columna3]]*RUTA475[[#This Row],[Columna4]]</f>
        <v>0.55541666666666667</v>
      </c>
    </row>
    <row r="35" spans="1:5">
      <c r="A35" s="30">
        <v>69761861</v>
      </c>
      <c r="B35" s="30" t="s">
        <v>1987</v>
      </c>
      <c r="C35" s="30">
        <v>130</v>
      </c>
      <c r="D35" s="30">
        <f>VLOOKUP(RUTA475[[#This Row],[Columna1]],Tabla14[#All],6,0)</f>
        <v>0.19833333333333333</v>
      </c>
      <c r="E35" s="30">
        <f>RUTA475[[#This Row],[Columna3]]*RUTA475[[#This Row],[Columna4]]</f>
        <v>25.783333333333335</v>
      </c>
    </row>
    <row r="36" spans="1:5">
      <c r="A36" s="30">
        <v>69761868</v>
      </c>
      <c r="B36" s="30" t="s">
        <v>2024</v>
      </c>
      <c r="C36" s="30">
        <v>24</v>
      </c>
      <c r="D36" s="30">
        <f>VLOOKUP(RUTA475[[#This Row],[Columna1]],Tabla14[#All],6,0)</f>
        <v>0.19843750000000002</v>
      </c>
      <c r="E36" s="30">
        <f>RUTA475[[#This Row],[Columna3]]*RUTA475[[#This Row],[Columna4]]</f>
        <v>4.7625000000000002</v>
      </c>
    </row>
    <row r="37" spans="1:5">
      <c r="A37" s="30">
        <v>69780941</v>
      </c>
      <c r="B37" s="30" t="s">
        <v>1951</v>
      </c>
      <c r="C37" s="30">
        <v>216</v>
      </c>
      <c r="D37" s="30">
        <f>VLOOKUP(RUTA475[[#This Row],[Columna1]],Tabla14[#All],6,0)</f>
        <v>0.19833333333333333</v>
      </c>
      <c r="E37" s="30">
        <f>RUTA475[[#This Row],[Columna3]]*RUTA475[[#This Row],[Columna4]]</f>
        <v>42.84</v>
      </c>
    </row>
    <row r="38" spans="1:5">
      <c r="A38" s="30">
        <v>84153562</v>
      </c>
      <c r="B38" s="30" t="s">
        <v>320</v>
      </c>
      <c r="C38" s="30">
        <v>2</v>
      </c>
      <c r="D38" s="30">
        <f>VLOOKUP(RUTA475[[#This Row],[Columna1]],Tabla14[#All],6,0)</f>
        <v>2.6875E-2</v>
      </c>
      <c r="E38" s="30">
        <f>RUTA475[[#This Row],[Columna3]]*RUTA475[[#This Row],[Columna4]]</f>
        <v>5.3749999999999999E-2</v>
      </c>
    </row>
    <row r="39" spans="1:5">
      <c r="A39" s="30">
        <v>84157362</v>
      </c>
      <c r="B39" s="30" t="s">
        <v>275</v>
      </c>
      <c r="C39" s="30">
        <v>2</v>
      </c>
      <c r="D39" s="30">
        <f>VLOOKUP(RUTA475[[#This Row],[Columna1]],Tabla14[#All],6,0)</f>
        <v>6.6666666666666666E-2</v>
      </c>
      <c r="E39" s="30">
        <f>RUTA475[[#This Row],[Columna3]]*RUTA475[[#This Row],[Columna4]]</f>
        <v>0.13333333333333333</v>
      </c>
    </row>
    <row r="40" spans="1:5">
      <c r="A40" s="30">
        <v>84158961</v>
      </c>
      <c r="B40" s="30" t="s">
        <v>246</v>
      </c>
      <c r="C40" s="30">
        <v>1</v>
      </c>
      <c r="D40" s="30">
        <f>VLOOKUP(RUTA475[[#This Row],[Columna1]],Tabla14[#All],6,0)</f>
        <v>0.75</v>
      </c>
      <c r="E40" s="30">
        <f>RUTA475[[#This Row],[Columna3]]*RUTA475[[#This Row],[Columna4]]</f>
        <v>0.75</v>
      </c>
    </row>
    <row r="41" spans="1:5">
      <c r="A41" s="30">
        <v>84159040</v>
      </c>
      <c r="B41" s="30" t="s">
        <v>244</v>
      </c>
      <c r="C41" s="30">
        <v>1</v>
      </c>
      <c r="D41" s="30">
        <f>VLOOKUP(RUTA475[[#This Row],[Columna1]],Tabla14[#All],6,0)</f>
        <v>0.75</v>
      </c>
      <c r="E41" s="30">
        <f>RUTA475[[#This Row],[Columna3]]*RUTA475[[#This Row],[Columna4]]</f>
        <v>0.75</v>
      </c>
    </row>
    <row r="42" spans="1:5">
      <c r="A42" s="30" t="s">
        <v>1026</v>
      </c>
      <c r="B42" s="30" t="s">
        <v>1025</v>
      </c>
      <c r="C42" s="30">
        <v>5</v>
      </c>
      <c r="D42" s="30">
        <f>VLOOKUP(RUTA475[[#This Row],[Columna1]],Tabla14[#All],6,0)</f>
        <v>0.9</v>
      </c>
      <c r="E42" s="30">
        <f>RUTA475[[#This Row],[Columna3]]*RUTA475[[#This Row],[Columna4]]</f>
        <v>4.5</v>
      </c>
    </row>
    <row r="43" spans="1:5">
      <c r="A43" s="30" t="s">
        <v>1040</v>
      </c>
      <c r="B43" s="30" t="s">
        <v>1039</v>
      </c>
      <c r="C43" s="30">
        <v>2</v>
      </c>
      <c r="D43" s="30">
        <f>VLOOKUP(RUTA475[[#This Row],[Columna1]],Tabla14[#All],6,0)</f>
        <v>0.88437500000000002</v>
      </c>
      <c r="E43" s="30">
        <f>RUTA475[[#This Row],[Columna3]]*RUTA475[[#This Row],[Columna4]]</f>
        <v>1.76875</v>
      </c>
    </row>
    <row r="44" spans="1:5">
      <c r="A44" s="30" t="s">
        <v>1355</v>
      </c>
      <c r="B44" s="30" t="s">
        <v>1354</v>
      </c>
      <c r="C44" s="30">
        <v>2</v>
      </c>
      <c r="D44" s="30">
        <f>VLOOKUP(RUTA475[[#This Row],[Columna1]],Tabla14[#All],6,0)</f>
        <v>0.9</v>
      </c>
      <c r="E44" s="30">
        <f>RUTA475[[#This Row],[Columna3]]*RUTA475[[#This Row],[Columna4]]</f>
        <v>1.8</v>
      </c>
    </row>
    <row r="45" spans="1:5">
      <c r="A45" s="30" t="s">
        <v>1347</v>
      </c>
      <c r="B45" s="30" t="s">
        <v>1346</v>
      </c>
      <c r="C45" s="30">
        <v>7</v>
      </c>
      <c r="D45" s="30">
        <f>VLOOKUP(RUTA475[[#This Row],[Columna1]],Tabla14[#All],6,0)</f>
        <v>0.9</v>
      </c>
      <c r="E45" s="30">
        <f>RUTA475[[#This Row],[Columna3]]*RUTA475[[#This Row],[Columna4]]</f>
        <v>6.3</v>
      </c>
    </row>
    <row r="46" spans="1:5">
      <c r="A46" s="30" t="s">
        <v>1473</v>
      </c>
      <c r="B46" s="30" t="s">
        <v>1472</v>
      </c>
      <c r="C46" s="30">
        <v>7</v>
      </c>
      <c r="D46" s="30">
        <f>VLOOKUP(RUTA475[[#This Row],[Columna1]],Tabla14[#All],6,0)</f>
        <v>0.9</v>
      </c>
      <c r="E46" s="30">
        <f>RUTA475[[#This Row],[Columna3]]*RUTA475[[#This Row],[Columna4]]</f>
        <v>6.3</v>
      </c>
    </row>
    <row r="47" spans="1:5">
      <c r="A47" s="30" t="s">
        <v>1359</v>
      </c>
      <c r="B47" s="30" t="s">
        <v>1358</v>
      </c>
      <c r="C47" s="30">
        <v>7</v>
      </c>
      <c r="D47" s="30">
        <f>VLOOKUP(RUTA475[[#This Row],[Columna1]],Tabla14[#All],6,0)</f>
        <v>0.9</v>
      </c>
      <c r="E47" s="30">
        <f>RUTA475[[#This Row],[Columna3]]*RUTA475[[#This Row],[Columna4]]</f>
        <v>6.3</v>
      </c>
    </row>
    <row r="48" spans="1:5">
      <c r="A48" s="30" t="s">
        <v>1477</v>
      </c>
      <c r="B48" s="30" t="s">
        <v>1476</v>
      </c>
      <c r="C48" s="30">
        <v>7</v>
      </c>
      <c r="D48" s="30">
        <f>VLOOKUP(RUTA475[[#This Row],[Columna1]],Tabla14[#All],6,0)</f>
        <v>0.9</v>
      </c>
      <c r="E48" s="30">
        <f>RUTA475[[#This Row],[Columna3]]*RUTA475[[#This Row],[Columna4]]</f>
        <v>6.3</v>
      </c>
    </row>
    <row r="49" spans="1:5">
      <c r="A49" s="30" t="s">
        <v>1475</v>
      </c>
      <c r="B49" s="30" t="s">
        <v>1474</v>
      </c>
      <c r="C49" s="30">
        <v>10</v>
      </c>
      <c r="D49" s="30">
        <f>VLOOKUP(RUTA475[[#This Row],[Columna1]],Tabla14[#All],6,0)</f>
        <v>0.9</v>
      </c>
      <c r="E49" s="30">
        <f>RUTA475[[#This Row],[Columna3]]*RUTA475[[#This Row],[Columna4]]</f>
        <v>9</v>
      </c>
    </row>
    <row r="50" spans="1:5">
      <c r="A50" s="30" t="s">
        <v>1674</v>
      </c>
      <c r="B50" s="30" t="s">
        <v>1673</v>
      </c>
      <c r="C50" s="30">
        <v>5</v>
      </c>
      <c r="D50" s="30">
        <f>VLOOKUP(RUTA475[[#This Row],[Columna1]],Tabla14[#All],6,0)</f>
        <v>0.9</v>
      </c>
      <c r="E50" s="30">
        <f>RUTA475[[#This Row],[Columna3]]*RUTA475[[#This Row],[Columna4]]</f>
        <v>4.5</v>
      </c>
    </row>
    <row r="51" spans="1:5">
      <c r="A51" s="30" t="s">
        <v>1349</v>
      </c>
      <c r="B51" s="30" t="s">
        <v>1348</v>
      </c>
      <c r="C51" s="30">
        <v>5</v>
      </c>
      <c r="D51" s="30">
        <f>VLOOKUP(RUTA475[[#This Row],[Columna1]],Tabla14[#All],6,0)</f>
        <v>0.9</v>
      </c>
      <c r="E51" s="30">
        <f>RUTA475[[#This Row],[Columna3]]*RUTA475[[#This Row],[Columna4]]</f>
        <v>4.5</v>
      </c>
    </row>
    <row r="52" spans="1:5">
      <c r="A52" s="30" t="s">
        <v>1692</v>
      </c>
      <c r="B52" s="30" t="s">
        <v>1691</v>
      </c>
      <c r="C52" s="30">
        <v>10</v>
      </c>
      <c r="D52" s="30">
        <f>VLOOKUP(RUTA475[[#This Row],[Columna1]],Tabla14[#All],6,0)</f>
        <v>0.92524999999999991</v>
      </c>
      <c r="E52" s="30">
        <f>RUTA475[[#This Row],[Columna3]]*RUTA475[[#This Row],[Columna4]]</f>
        <v>9.2524999999999995</v>
      </c>
    </row>
    <row r="53" spans="1:5">
      <c r="A53" s="30" t="s">
        <v>2188</v>
      </c>
      <c r="B53" s="30" t="s">
        <v>2187</v>
      </c>
      <c r="C53" s="30">
        <v>3</v>
      </c>
      <c r="D53" s="30">
        <f>VLOOKUP(RUTA475[[#This Row],[Columna1]],Tabla14[#All],6,0)</f>
        <v>0.52916666666666667</v>
      </c>
      <c r="E53" s="30">
        <f>RUTA475[[#This Row],[Columna3]]*RUTA475[[#This Row],[Columna4]]</f>
        <v>1.5874999999999999</v>
      </c>
    </row>
    <row r="54" spans="1:5">
      <c r="A54" s="30" t="s">
        <v>2218</v>
      </c>
      <c r="B54" s="30" t="s">
        <v>2217</v>
      </c>
      <c r="C54" s="30">
        <v>1</v>
      </c>
      <c r="D54" s="30">
        <f>VLOOKUP(RUTA475[[#This Row],[Columna1]],Tabla14[#All],6,0)</f>
        <v>1.3125</v>
      </c>
      <c r="E54" s="30">
        <f>RUTA475[[#This Row],[Columna3]]*RUTA475[[#This Row],[Columna4]]</f>
        <v>1.3125</v>
      </c>
    </row>
    <row r="55" spans="1:5">
      <c r="A55" s="30" t="s">
        <v>1974</v>
      </c>
      <c r="B55" s="30" t="s">
        <v>1973</v>
      </c>
      <c r="C55" s="30">
        <v>4</v>
      </c>
      <c r="D55" s="30">
        <f>VLOOKUP(RUTA475[[#This Row],[Columna1]],Tabla14[#All],6,0)</f>
        <v>0.47599999999999998</v>
      </c>
      <c r="E55" s="30">
        <f>RUTA475[[#This Row],[Columna3]]*RUTA475[[#This Row],[Columna4]]</f>
        <v>1.9039999999999999</v>
      </c>
    </row>
    <row r="56" spans="1:5">
      <c r="A56" s="30" t="s">
        <v>1261</v>
      </c>
      <c r="B56" s="30" t="s">
        <v>1513</v>
      </c>
      <c r="C56" s="30">
        <v>36</v>
      </c>
      <c r="D56" s="30">
        <f>VLOOKUP(RUTA475[[#This Row],[Columna1]],Tabla14[#All],6,0)</f>
        <v>0.36249999999999999</v>
      </c>
      <c r="E56" s="30">
        <f>RUTA475[[#This Row],[Columna3]]*RUTA475[[#This Row],[Columna4]]</f>
        <v>13.049999999999999</v>
      </c>
    </row>
    <row r="57" spans="1:5">
      <c r="A57" s="30" t="s">
        <v>1289</v>
      </c>
      <c r="B57" s="30" t="s">
        <v>1431</v>
      </c>
      <c r="C57" s="30">
        <v>18</v>
      </c>
      <c r="D57" s="30">
        <f>VLOOKUP(RUTA475[[#This Row],[Columna1]],Tabla14[#All],6,0)</f>
        <v>0.36249999999999999</v>
      </c>
      <c r="E57" s="30">
        <f>RUTA475[[#This Row],[Columna3]]*RUTA475[[#This Row],[Columna4]]</f>
        <v>6.5249999999999995</v>
      </c>
    </row>
    <row r="58" spans="1:5">
      <c r="A58" s="30" t="s">
        <v>1269</v>
      </c>
      <c r="B58" s="30" t="s">
        <v>1647</v>
      </c>
      <c r="C58" s="30">
        <v>16</v>
      </c>
      <c r="D58" s="30">
        <f>VLOOKUP(RUTA475[[#This Row],[Columna1]],Tabla14[#All],6,0)</f>
        <v>0.22041666666666668</v>
      </c>
      <c r="E58" s="30">
        <f>RUTA475[[#This Row],[Columna3]]*RUTA475[[#This Row],[Columna4]]</f>
        <v>3.5266666666666668</v>
      </c>
    </row>
    <row r="59" spans="1:5">
      <c r="A59" s="30" t="s">
        <v>1267</v>
      </c>
      <c r="B59" s="30" t="s">
        <v>1662</v>
      </c>
      <c r="C59" s="30">
        <v>18</v>
      </c>
      <c r="D59" s="30">
        <f>VLOOKUP(RUTA475[[#This Row],[Columna1]],Tabla14[#All],6,0)</f>
        <v>0.44083333333333335</v>
      </c>
      <c r="E59" s="30">
        <f>RUTA475[[#This Row],[Columna3]]*RUTA475[[#This Row],[Columna4]]</f>
        <v>7.9350000000000005</v>
      </c>
    </row>
    <row r="60" spans="1:5">
      <c r="A60" s="30" t="s">
        <v>1271</v>
      </c>
      <c r="B60" s="30" t="s">
        <v>1642</v>
      </c>
      <c r="C60" s="30">
        <v>30</v>
      </c>
      <c r="D60" s="30">
        <f>VLOOKUP(RUTA475[[#This Row],[Columna1]],Tabla14[#All],6,0)</f>
        <v>0.83750000000000002</v>
      </c>
      <c r="E60" s="30">
        <f>RUTA475[[#This Row],[Columna3]]*RUTA475[[#This Row],[Columna4]]</f>
        <v>25.125</v>
      </c>
    </row>
    <row r="61" spans="1:5">
      <c r="A61" s="30" t="s">
        <v>1443</v>
      </c>
      <c r="B61" s="30" t="s">
        <v>1442</v>
      </c>
      <c r="C61" s="30">
        <v>1</v>
      </c>
      <c r="D61" s="30">
        <f>VLOOKUP(RUTA475[[#This Row],[Columna1]],Tabla14[#All],6,0)</f>
        <v>3.3050000000000002</v>
      </c>
      <c r="E61" s="30">
        <f>RUTA475[[#This Row],[Columna3]]*RUTA475[[#This Row],[Columna4]]</f>
        <v>3.3050000000000002</v>
      </c>
    </row>
    <row r="62" spans="1:5">
      <c r="A62" s="30" t="s">
        <v>1291</v>
      </c>
      <c r="B62" s="30" t="s">
        <v>1290</v>
      </c>
      <c r="C62" s="30">
        <v>12</v>
      </c>
      <c r="D62" s="30">
        <f>VLOOKUP(RUTA475[[#This Row],[Columna1]],Tabla14[#All],6,0)</f>
        <v>0.22041666666666668</v>
      </c>
      <c r="E62" s="30">
        <f>RUTA475[[#This Row],[Columna3]]*RUTA475[[#This Row],[Columna4]]</f>
        <v>2.645</v>
      </c>
    </row>
    <row r="63" spans="1:5">
      <c r="A63" s="30" t="s">
        <v>1265</v>
      </c>
      <c r="B63" s="30" t="s">
        <v>1264</v>
      </c>
      <c r="C63" s="30">
        <v>69</v>
      </c>
      <c r="D63" s="30">
        <f>VLOOKUP(RUTA475[[#This Row],[Columna1]],Tabla14[#All],6,0)</f>
        <v>0.22041666666666668</v>
      </c>
      <c r="E63" s="30">
        <f>RUTA475[[#This Row],[Columna3]]*RUTA475[[#This Row],[Columna4]]</f>
        <v>15.20875</v>
      </c>
    </row>
    <row r="64" spans="1:5">
      <c r="A64" s="30" t="s">
        <v>1301</v>
      </c>
      <c r="B64" s="30" t="s">
        <v>1300</v>
      </c>
      <c r="C64" s="30">
        <v>6</v>
      </c>
      <c r="D64" s="30">
        <f>VLOOKUP(RUTA475[[#This Row],[Columna1]],Tabla14[#All],6,0)</f>
        <v>0.22041666666666668</v>
      </c>
      <c r="E64" s="30">
        <f>RUTA475[[#This Row],[Columna3]]*RUTA475[[#This Row],[Columna4]]</f>
        <v>1.3225</v>
      </c>
    </row>
    <row r="65" spans="1:5">
      <c r="A65" s="30" t="s">
        <v>1449</v>
      </c>
      <c r="B65" s="30" t="s">
        <v>1448</v>
      </c>
      <c r="C65" s="30">
        <v>3</v>
      </c>
      <c r="D65" s="30">
        <f>VLOOKUP(RUTA475[[#This Row],[Columna1]],Tabla14[#All],6,0)</f>
        <v>1.1875</v>
      </c>
      <c r="E65" s="30">
        <f>RUTA475[[#This Row],[Columna3]]*RUTA475[[#This Row],[Columna4]]</f>
        <v>3.5625</v>
      </c>
    </row>
    <row r="66" spans="1:5">
      <c r="A66" s="30" t="s">
        <v>2146</v>
      </c>
      <c r="B66" s="30" t="s">
        <v>2145</v>
      </c>
      <c r="C66" s="30">
        <v>12</v>
      </c>
      <c r="D66" s="30">
        <f>VLOOKUP(RUTA475[[#This Row],[Columna1]],Tabla14[#All],6,0)</f>
        <v>0.24041666666666664</v>
      </c>
      <c r="E66" s="30">
        <f>RUTA475[[#This Row],[Columna3]]*RUTA475[[#This Row],[Columna4]]</f>
        <v>2.8849999999999998</v>
      </c>
    </row>
    <row r="67" spans="1:5">
      <c r="A67" s="30" t="s">
        <v>1293</v>
      </c>
      <c r="B67" s="30" t="s">
        <v>1292</v>
      </c>
      <c r="C67" s="30">
        <v>6</v>
      </c>
      <c r="D67" s="30">
        <f>VLOOKUP(RUTA475[[#This Row],[Columna1]],Tabla14[#All],6,0)</f>
        <v>0.21875</v>
      </c>
      <c r="E67" s="30">
        <f>RUTA475[[#This Row],[Columna3]]*RUTA475[[#This Row],[Columna4]]</f>
        <v>1.3125</v>
      </c>
    </row>
    <row r="68" spans="1:5">
      <c r="A68" s="30" t="s">
        <v>1277</v>
      </c>
      <c r="B68" s="30" t="s">
        <v>1276</v>
      </c>
      <c r="C68" s="30">
        <v>35</v>
      </c>
      <c r="D68" s="30">
        <f>VLOOKUP(RUTA475[[#This Row],[Columna1]],Tabla14[#All],6,0)</f>
        <v>0.22041666666666668</v>
      </c>
      <c r="E68" s="30">
        <f>RUTA475[[#This Row],[Columna3]]*RUTA475[[#This Row],[Columna4]]</f>
        <v>7.7145833333333336</v>
      </c>
    </row>
    <row r="69" spans="1:5">
      <c r="A69" s="30" t="s">
        <v>1353</v>
      </c>
      <c r="B69" s="30" t="s">
        <v>1352</v>
      </c>
      <c r="C69" s="30">
        <v>3</v>
      </c>
      <c r="D69" s="30">
        <f>VLOOKUP(RUTA475[[#This Row],[Columna1]],Tabla14[#All],6,0)</f>
        <v>0.5</v>
      </c>
      <c r="E69" s="30">
        <f>RUTA475[[#This Row],[Columna3]]*RUTA475[[#This Row],[Columna4]]</f>
        <v>1.5</v>
      </c>
    </row>
    <row r="70" spans="1:5">
      <c r="A70" s="30" t="s">
        <v>1263</v>
      </c>
      <c r="B70" s="30" t="s">
        <v>1262</v>
      </c>
      <c r="C70" s="30">
        <v>4</v>
      </c>
      <c r="D70" s="30">
        <f>VLOOKUP(RUTA475[[#This Row],[Columna1]],Tabla14[#All],6,0)</f>
        <v>1.6600000000000001</v>
      </c>
      <c r="E70" s="30">
        <f>RUTA475[[#This Row],[Columna3]]*RUTA475[[#This Row],[Columna4]]</f>
        <v>6.6400000000000006</v>
      </c>
    </row>
    <row r="71" spans="1:5">
      <c r="A71" s="30" t="s">
        <v>662</v>
      </c>
      <c r="B71" s="30" t="s">
        <v>2171</v>
      </c>
      <c r="C71" s="30">
        <v>18</v>
      </c>
      <c r="D71" s="30">
        <f>VLOOKUP(RUTA475[[#This Row],[Columna1]],Tabla14[#All],6,0)</f>
        <v>8.3333333333333329E-2</v>
      </c>
      <c r="E71" s="30">
        <f>RUTA475[[#This Row],[Columna3]]*RUTA475[[#This Row],[Columna4]]</f>
        <v>1.5</v>
      </c>
    </row>
    <row r="72" spans="1:5">
      <c r="A72" s="30" t="s">
        <v>671</v>
      </c>
      <c r="B72" s="30" t="s">
        <v>670</v>
      </c>
      <c r="C72" s="30">
        <v>43</v>
      </c>
      <c r="D72" s="30">
        <f>VLOOKUP(RUTA475[[#This Row],[Columna1]],Tabla14[#All],6,0)</f>
        <v>0.25</v>
      </c>
      <c r="E72" s="30">
        <f>RUTA475[[#This Row],[Columna3]]*RUTA475[[#This Row],[Columna4]]</f>
        <v>10.75</v>
      </c>
    </row>
    <row r="73" spans="1:5">
      <c r="A73" s="30" t="s">
        <v>21</v>
      </c>
      <c r="B73" s="30" t="s">
        <v>20</v>
      </c>
      <c r="C73" s="30">
        <v>48</v>
      </c>
      <c r="D73" s="30">
        <f>VLOOKUP(RUTA475[[#This Row],[Columna1]],Tabla14[#All],6,0)</f>
        <v>0.8833333333333333</v>
      </c>
      <c r="E73" s="30">
        <f>RUTA475[[#This Row],[Columna3]]*RUTA475[[#This Row],[Columna4]]</f>
        <v>42.4</v>
      </c>
    </row>
    <row r="74" spans="1:5">
      <c r="A74" s="30" t="s">
        <v>1819</v>
      </c>
      <c r="B74" s="30" t="s">
        <v>1818</v>
      </c>
      <c r="C74" s="30">
        <v>46</v>
      </c>
      <c r="D74" s="30">
        <f>VLOOKUP(RUTA475[[#This Row],[Columna1]],Tabla14[#All],6,0)</f>
        <v>0.87035714285714294</v>
      </c>
      <c r="E74" s="30">
        <f>RUTA475[[#This Row],[Columna3]]*RUTA475[[#This Row],[Columna4]]</f>
        <v>40.036428571428573</v>
      </c>
    </row>
    <row r="75" spans="1:5">
      <c r="A75" s="30" t="s">
        <v>1766</v>
      </c>
      <c r="B75" s="30" t="s">
        <v>1765</v>
      </c>
      <c r="C75" s="30">
        <v>58</v>
      </c>
      <c r="D75" s="30">
        <f>VLOOKUP(RUTA475[[#This Row],[Columna1]],Tabla14[#All],6,0)</f>
        <v>0.87035714285714294</v>
      </c>
      <c r="E75" s="30">
        <f>RUTA475[[#This Row],[Columna3]]*RUTA475[[#This Row],[Columna4]]</f>
        <v>50.480714285714292</v>
      </c>
    </row>
    <row r="76" spans="1:5">
      <c r="A76" s="30" t="s">
        <v>1764</v>
      </c>
      <c r="B76" s="30" t="s">
        <v>1763</v>
      </c>
      <c r="C76" s="30">
        <v>6</v>
      </c>
      <c r="D76" s="30">
        <f>VLOOKUP(RUTA475[[#This Row],[Columna1]],Tabla14[#All],6,0)</f>
        <v>0.87035714285714294</v>
      </c>
      <c r="E76" s="30">
        <f>RUTA475[[#This Row],[Columna3]]*RUTA475[[#This Row],[Columna4]]</f>
        <v>5.2221428571428579</v>
      </c>
    </row>
    <row r="77" spans="1:5">
      <c r="A77" s="30" t="s">
        <v>1841</v>
      </c>
      <c r="B77" s="30" t="s">
        <v>1840</v>
      </c>
      <c r="C77" s="30">
        <v>12</v>
      </c>
      <c r="D77" s="30">
        <f>VLOOKUP(RUTA475[[#This Row],[Columna1]],Tabla14[#All],6,0)</f>
        <v>0.88178571428571428</v>
      </c>
      <c r="E77" s="30">
        <f>RUTA475[[#This Row],[Columna3]]*RUTA475[[#This Row],[Columna4]]</f>
        <v>10.581428571428571</v>
      </c>
    </row>
    <row r="78" spans="1:5">
      <c r="A78" s="30" t="s">
        <v>1839</v>
      </c>
      <c r="B78" s="30" t="s">
        <v>1838</v>
      </c>
      <c r="C78" s="30">
        <v>3</v>
      </c>
      <c r="D78" s="30">
        <f>VLOOKUP(RUTA475[[#This Row],[Columna1]],Tabla14[#All],6,0)</f>
        <v>0.88178571428571428</v>
      </c>
      <c r="E78" s="30">
        <f>RUTA475[[#This Row],[Columna3]]*RUTA475[[#This Row],[Columna4]]</f>
        <v>2.6453571428571427</v>
      </c>
    </row>
    <row r="79" spans="1:5">
      <c r="A79" s="30" t="s">
        <v>1823</v>
      </c>
      <c r="B79" s="30" t="s">
        <v>1822</v>
      </c>
      <c r="C79" s="30">
        <v>5</v>
      </c>
      <c r="D79" s="30">
        <f>VLOOKUP(RUTA475[[#This Row],[Columna1]],Tabla14[#All],6,0)</f>
        <v>0.88107142857142862</v>
      </c>
      <c r="E79" s="30">
        <f>RUTA475[[#This Row],[Columna3]]*RUTA475[[#This Row],[Columna4]]</f>
        <v>4.4053571428571434</v>
      </c>
    </row>
    <row r="80" spans="1:5">
      <c r="A80" s="30" t="s">
        <v>2023</v>
      </c>
      <c r="B80" s="30" t="s">
        <v>2022</v>
      </c>
      <c r="C80" s="30">
        <v>3</v>
      </c>
      <c r="D80" s="30">
        <f>VLOOKUP(RUTA475[[#This Row],[Columna1]],Tabla14[#All],6,0)</f>
        <v>0.95321428571428579</v>
      </c>
      <c r="E80" s="30">
        <f>RUTA475[[#This Row],[Columna3]]*RUTA475[[#This Row],[Columna4]]</f>
        <v>2.8596428571428572</v>
      </c>
    </row>
    <row r="81" spans="1:5">
      <c r="A81" s="30" t="s">
        <v>1821</v>
      </c>
      <c r="B81" s="30" t="s">
        <v>1820</v>
      </c>
      <c r="C81" s="30">
        <v>24</v>
      </c>
      <c r="D81" s="30">
        <f>VLOOKUP(RUTA475[[#This Row],[Columna1]],Tabla14[#All],6,0)</f>
        <v>1.3216666666666665</v>
      </c>
      <c r="E81" s="30">
        <f>RUTA475[[#This Row],[Columna3]]*RUTA475[[#This Row],[Columna4]]</f>
        <v>31.72</v>
      </c>
    </row>
    <row r="82" spans="1:5">
      <c r="A82" s="30" t="s">
        <v>708</v>
      </c>
      <c r="B82" s="30" t="s">
        <v>2252</v>
      </c>
      <c r="C82" s="30">
        <v>2</v>
      </c>
      <c r="D82" s="30">
        <f>VLOOKUP(RUTA475[[#This Row],[Columna1]],Tabla14[#All],6,0)</f>
        <v>4.1666666666666664E-2</v>
      </c>
      <c r="E82" s="30">
        <f>RUTA475[[#This Row],[Columna3]]*RUTA475[[#This Row],[Columna4]]</f>
        <v>8.3333333333333329E-2</v>
      </c>
    </row>
    <row r="83" spans="1:5">
      <c r="A83" s="30" t="s">
        <v>706</v>
      </c>
      <c r="B83" s="30" t="s">
        <v>705</v>
      </c>
      <c r="C83" s="30">
        <v>4</v>
      </c>
      <c r="D83" s="30">
        <f>VLOOKUP(RUTA475[[#This Row],[Columna1]],Tabla14[#All],6,0)</f>
        <v>0.70833333333333337</v>
      </c>
      <c r="E83" s="30">
        <f>RUTA475[[#This Row],[Columna3]]*RUTA475[[#This Row],[Columna4]]</f>
        <v>2.8333333333333335</v>
      </c>
    </row>
    <row r="84" spans="1:5">
      <c r="A84" s="30" t="s">
        <v>2068</v>
      </c>
      <c r="B84" s="30" t="s">
        <v>2067</v>
      </c>
      <c r="C84" s="30">
        <v>2</v>
      </c>
      <c r="D84" s="30">
        <f>VLOOKUP(RUTA475[[#This Row],[Columna1]],Tabla14[#All],6,0)</f>
        <v>1.1008333333333333</v>
      </c>
      <c r="E84" s="30">
        <f>RUTA475[[#This Row],[Columna3]]*RUTA475[[#This Row],[Columna4]]</f>
        <v>2.2016666666666667</v>
      </c>
    </row>
    <row r="85" spans="1:5">
      <c r="A85" s="30" t="s">
        <v>13</v>
      </c>
      <c r="B85" s="30" t="s">
        <v>12</v>
      </c>
      <c r="C85" s="30">
        <v>48</v>
      </c>
      <c r="D85" s="30">
        <f>VLOOKUP(RUTA475[[#This Row],[Columna1]],Tabla14[#All],6,0)</f>
        <v>3.1091666666666669</v>
      </c>
      <c r="E85" s="30">
        <f>RUTA475[[#This Row],[Columna3]]*RUTA475[[#This Row],[Columna4]]</f>
        <v>149.24</v>
      </c>
    </row>
    <row r="86" spans="1:5">
      <c r="A86" s="30" t="s">
        <v>109</v>
      </c>
      <c r="B86" s="30" t="s">
        <v>108</v>
      </c>
      <c r="C86" s="30">
        <v>593</v>
      </c>
      <c r="D86" s="30">
        <f>VLOOKUP(RUTA475[[#This Row],[Columna1]],Tabla14[#All],6,0)</f>
        <v>0.44166666666666665</v>
      </c>
      <c r="E86" s="30">
        <f>RUTA475[[#This Row],[Columna3]]*RUTA475[[#This Row],[Columna4]]</f>
        <v>261.9083333333333</v>
      </c>
    </row>
    <row r="87" spans="1:5">
      <c r="A87" s="30" t="s">
        <v>107</v>
      </c>
      <c r="B87" s="30" t="s">
        <v>106</v>
      </c>
      <c r="C87" s="30">
        <v>711</v>
      </c>
      <c r="D87" s="30">
        <f>VLOOKUP(RUTA475[[#This Row],[Columna1]],Tabla14[#All],6,0)</f>
        <v>0.44166666666666665</v>
      </c>
      <c r="E87" s="30">
        <f>RUTA475[[#This Row],[Columna3]]*RUTA475[[#This Row],[Columna4]]</f>
        <v>314.02499999999998</v>
      </c>
    </row>
    <row r="88" spans="1:5">
      <c r="A88" s="30" t="s">
        <v>482</v>
      </c>
      <c r="B88" s="30" t="s">
        <v>481</v>
      </c>
      <c r="C88" s="30">
        <v>39</v>
      </c>
      <c r="D88" s="30">
        <f>VLOOKUP(RUTA475[[#This Row],[Columna1]],Tabla14[#All],6,0)</f>
        <v>0.11493055555555556</v>
      </c>
      <c r="E88" s="30">
        <f>RUTA475[[#This Row],[Columna3]]*RUTA475[[#This Row],[Columna4]]</f>
        <v>4.4822916666666668</v>
      </c>
    </row>
    <row r="89" spans="1:5">
      <c r="A89" s="30" t="s">
        <v>480</v>
      </c>
      <c r="B89" s="30" t="s">
        <v>479</v>
      </c>
      <c r="C89" s="30">
        <v>12</v>
      </c>
      <c r="D89" s="30">
        <f>VLOOKUP(RUTA475[[#This Row],[Columna1]],Tabla14[#All],6,0)</f>
        <v>0.55208333333333337</v>
      </c>
      <c r="E89" s="30">
        <f>RUTA475[[#This Row],[Columna3]]*RUTA475[[#This Row],[Columna4]]</f>
        <v>6.625</v>
      </c>
    </row>
    <row r="90" spans="1:5">
      <c r="A90" s="30" t="s">
        <v>100</v>
      </c>
      <c r="B90" s="30" t="s">
        <v>99</v>
      </c>
      <c r="C90" s="30">
        <v>12</v>
      </c>
      <c r="D90" s="30">
        <f>VLOOKUP(RUTA475[[#This Row],[Columna1]],Tabla14[#All],6,0)</f>
        <v>0.55208333333333337</v>
      </c>
      <c r="E90" s="30">
        <f>RUTA475[[#This Row],[Columna3]]*RUTA475[[#This Row],[Columna4]]</f>
        <v>6.625</v>
      </c>
    </row>
    <row r="91" spans="1:5">
      <c r="A91" s="30" t="s">
        <v>533</v>
      </c>
      <c r="B91" s="30" t="s">
        <v>532</v>
      </c>
      <c r="C91" s="30">
        <v>80</v>
      </c>
      <c r="D91" s="30">
        <f>VLOOKUP(RUTA475[[#This Row],[Columna1]],Tabla14[#All],6,0)</f>
        <v>0.5</v>
      </c>
      <c r="E91" s="30">
        <f>RUTA475[[#This Row],[Columna3]]*RUTA475[[#This Row],[Columna4]]</f>
        <v>40</v>
      </c>
    </row>
    <row r="92" spans="1:5">
      <c r="A92" s="30" t="s">
        <v>119</v>
      </c>
      <c r="B92" s="30" t="s">
        <v>118</v>
      </c>
      <c r="C92" s="30">
        <v>35</v>
      </c>
      <c r="D92" s="30">
        <f>VLOOKUP(RUTA475[[#This Row],[Columna1]],Tabla14[#All],6,0)</f>
        <v>0.875</v>
      </c>
      <c r="E92" s="30">
        <f>RUTA475[[#This Row],[Columna3]]*RUTA475[[#This Row],[Columna4]]</f>
        <v>30.625</v>
      </c>
    </row>
    <row r="93" spans="1:5">
      <c r="A93" s="30" t="s">
        <v>103</v>
      </c>
      <c r="B93" s="30" t="s">
        <v>1147</v>
      </c>
      <c r="C93" s="30">
        <v>378</v>
      </c>
      <c r="D93" s="30">
        <f>VLOOKUP(RUTA475[[#This Row],[Columna1]],Tabla14[#All],6,0)</f>
        <v>0.72916666666666663</v>
      </c>
      <c r="E93" s="30">
        <f>RUTA475[[#This Row],[Columna3]]*RUTA475[[#This Row],[Columna4]]</f>
        <v>275.625</v>
      </c>
    </row>
    <row r="94" spans="1:5">
      <c r="A94" s="30" t="s">
        <v>535</v>
      </c>
      <c r="B94" s="30" t="s">
        <v>534</v>
      </c>
      <c r="C94" s="30">
        <v>32</v>
      </c>
      <c r="D94" s="30">
        <f>VLOOKUP(RUTA475[[#This Row],[Columna1]],Tabla14[#All],6,0)</f>
        <v>1.75</v>
      </c>
      <c r="E94" s="30">
        <f>RUTA475[[#This Row],[Columna3]]*RUTA475[[#This Row],[Columna4]]</f>
        <v>56</v>
      </c>
    </row>
    <row r="95" spans="1:5">
      <c r="A95" s="30" t="s">
        <v>123</v>
      </c>
      <c r="B95" s="30" t="s">
        <v>122</v>
      </c>
      <c r="C95" s="30">
        <v>12</v>
      </c>
      <c r="D95" s="30">
        <f>VLOOKUP(RUTA475[[#This Row],[Columna1]],Tabla14[#All],6,0)</f>
        <v>0.44166666666666665</v>
      </c>
      <c r="E95" s="30">
        <f>RUTA475[[#This Row],[Columna3]]*RUTA475[[#This Row],[Columna4]]</f>
        <v>5.3</v>
      </c>
    </row>
    <row r="96" spans="1:5">
      <c r="A96" s="30" t="s">
        <v>125</v>
      </c>
      <c r="B96" s="30" t="s">
        <v>124</v>
      </c>
      <c r="C96" s="30">
        <v>3</v>
      </c>
      <c r="D96" s="30">
        <f>VLOOKUP(RUTA475[[#This Row],[Columna1]],Tabla14[#All],6,0)</f>
        <v>0.44166666666666665</v>
      </c>
      <c r="E96" s="30">
        <f>RUTA475[[#This Row],[Columna3]]*RUTA475[[#This Row],[Columna4]]</f>
        <v>1.325</v>
      </c>
    </row>
    <row r="97" spans="1:5">
      <c r="A97" s="30" t="s">
        <v>555</v>
      </c>
      <c r="B97" s="30" t="s">
        <v>554</v>
      </c>
      <c r="C97" s="30">
        <v>24</v>
      </c>
      <c r="D97" s="30">
        <f>VLOOKUP(RUTA475[[#This Row],[Columna1]],Tabla14[#All],6,0)</f>
        <v>0.7729166666666667</v>
      </c>
      <c r="E97" s="30">
        <f>RUTA475[[#This Row],[Columna3]]*RUTA475[[#This Row],[Columna4]]</f>
        <v>18.55</v>
      </c>
    </row>
    <row r="98" spans="1:5">
      <c r="A98" s="30" t="s">
        <v>102</v>
      </c>
      <c r="B98" s="30" t="s">
        <v>101</v>
      </c>
      <c r="C98" s="30">
        <v>12</v>
      </c>
      <c r="D98" s="30">
        <f>VLOOKUP(RUTA475[[#This Row],[Columna1]],Tabla14[#All],6,0)</f>
        <v>0.72916666666666663</v>
      </c>
      <c r="E98" s="30">
        <f>RUTA475[[#This Row],[Columna3]]*RUTA475[[#This Row],[Columna4]]</f>
        <v>8.75</v>
      </c>
    </row>
    <row r="99" spans="1:5">
      <c r="A99" s="30" t="s">
        <v>510</v>
      </c>
      <c r="B99" s="30" t="s">
        <v>1237</v>
      </c>
      <c r="C99" s="30">
        <v>12</v>
      </c>
      <c r="D99" s="30">
        <f>VLOOKUP(RUTA475[[#This Row],[Columna1]],Tabla14[#All],6,0)</f>
        <v>0.72916666666666663</v>
      </c>
      <c r="E99" s="30">
        <f>RUTA475[[#This Row],[Columna3]]*RUTA475[[#This Row],[Columna4]]</f>
        <v>8.75</v>
      </c>
    </row>
    <row r="100" spans="1:5">
      <c r="A100" s="30" t="s">
        <v>2228</v>
      </c>
      <c r="B100" s="30" t="s">
        <v>2227</v>
      </c>
      <c r="C100" s="30">
        <v>603</v>
      </c>
      <c r="D100" s="30">
        <f>VLOOKUP(RUTA475[[#This Row],[Columna1]],Tabla14[#All],6,0)</f>
        <v>0.33958333333333335</v>
      </c>
      <c r="E100" s="30">
        <f>RUTA475[[#This Row],[Columna3]]*RUTA475[[#This Row],[Columna4]]</f>
        <v>204.76875000000001</v>
      </c>
    </row>
    <row r="101" spans="1:5">
      <c r="A101" s="30" t="s">
        <v>1716</v>
      </c>
      <c r="B101" s="30" t="s">
        <v>1715</v>
      </c>
      <c r="C101" s="30">
        <v>38</v>
      </c>
      <c r="D101" s="30">
        <f>VLOOKUP(RUTA475[[#This Row],[Columna1]],Tabla14[#All],6,0)</f>
        <v>0.25</v>
      </c>
      <c r="E101" s="30">
        <f>RUTA475[[#This Row],[Columna3]]*RUTA475[[#This Row],[Columna4]]</f>
        <v>9.5</v>
      </c>
    </row>
    <row r="102" spans="1:5">
      <c r="A102" s="30" t="s">
        <v>531</v>
      </c>
      <c r="B102" s="30" t="s">
        <v>530</v>
      </c>
      <c r="C102" s="30">
        <v>18</v>
      </c>
      <c r="D102" s="30">
        <f>VLOOKUP(RUTA475[[#This Row],[Columna1]],Tabla14[#All],6,0)</f>
        <v>1.8125</v>
      </c>
      <c r="E102" s="30">
        <f>RUTA475[[#This Row],[Columna3]]*RUTA475[[#This Row],[Columna4]]</f>
        <v>32.625</v>
      </c>
    </row>
    <row r="103" spans="1:5">
      <c r="A103" s="30" t="s">
        <v>115</v>
      </c>
      <c r="B103" s="30" t="s">
        <v>114</v>
      </c>
      <c r="C103" s="30">
        <v>48</v>
      </c>
      <c r="D103" s="30">
        <f>VLOOKUP(RUTA475[[#This Row],[Columna1]],Tabla14[#All],6,0)</f>
        <v>0.65625</v>
      </c>
      <c r="E103" s="30">
        <f>RUTA475[[#This Row],[Columna3]]*RUTA475[[#This Row],[Columna4]]</f>
        <v>31.5</v>
      </c>
    </row>
    <row r="104" spans="1:5">
      <c r="A104" s="30" t="s">
        <v>529</v>
      </c>
      <c r="B104" s="30" t="s">
        <v>528</v>
      </c>
      <c r="C104" s="30">
        <v>212</v>
      </c>
      <c r="D104" s="30">
        <f>VLOOKUP(RUTA475[[#This Row],[Columna1]],Tabla14[#All],6,0)</f>
        <v>0.34375</v>
      </c>
      <c r="E104" s="30">
        <f>RUTA475[[#This Row],[Columna3]]*RUTA475[[#This Row],[Columna4]]</f>
        <v>72.875</v>
      </c>
    </row>
    <row r="105" spans="1:5">
      <c r="A105" s="30" t="s">
        <v>113</v>
      </c>
      <c r="B105" s="30" t="s">
        <v>112</v>
      </c>
      <c r="C105" s="30">
        <v>24</v>
      </c>
      <c r="D105" s="30">
        <f>VLOOKUP(RUTA475[[#This Row],[Columna1]],Tabla14[#All],6,0)</f>
        <v>0.9375</v>
      </c>
      <c r="E105" s="30">
        <f>RUTA475[[#This Row],[Columna3]]*RUTA475[[#This Row],[Columna4]]</f>
        <v>22.5</v>
      </c>
    </row>
    <row r="106" spans="1:5">
      <c r="A106" s="30" t="s">
        <v>2076</v>
      </c>
      <c r="B106" s="30" t="s">
        <v>2247</v>
      </c>
      <c r="C106" s="30">
        <v>26</v>
      </c>
      <c r="D106" s="30">
        <f>VLOOKUP(RUTA475[[#This Row],[Columna1]],Tabla14[#All],6,0)</f>
        <v>1.1363636363636362</v>
      </c>
      <c r="E106" s="30">
        <f>RUTA475[[#This Row],[Columna3]]*RUTA475[[#This Row],[Columna4]]</f>
        <v>29.545454545454543</v>
      </c>
    </row>
    <row r="107" spans="1:5">
      <c r="A107" s="30" t="s">
        <v>1795</v>
      </c>
      <c r="B107" s="30" t="s">
        <v>1794</v>
      </c>
      <c r="C107" s="30">
        <v>1</v>
      </c>
      <c r="D107" s="30">
        <f>VLOOKUP(RUTA475[[#This Row],[Columna1]],Tabla14[#All],6,0)</f>
        <v>0.2</v>
      </c>
      <c r="E107" s="30">
        <f>RUTA475[[#This Row],[Columna3]]*RUTA475[[#This Row],[Columna4]]</f>
        <v>0.2</v>
      </c>
    </row>
    <row r="108" spans="1:5">
      <c r="A108" s="30" t="s">
        <v>419</v>
      </c>
      <c r="B108" s="30" t="s">
        <v>418</v>
      </c>
      <c r="C108" s="30">
        <v>2</v>
      </c>
      <c r="D108" s="30">
        <f>VLOOKUP(RUTA475[[#This Row],[Columna1]],Tabla14[#All],6,0)</f>
        <v>0.16</v>
      </c>
      <c r="E108" s="30">
        <f>RUTA475[[#This Row],[Columna3]]*RUTA475[[#This Row],[Columna4]]</f>
        <v>0.32</v>
      </c>
    </row>
    <row r="109" spans="1:5">
      <c r="A109" s="30" t="s">
        <v>2015</v>
      </c>
      <c r="B109" s="30" t="s">
        <v>2250</v>
      </c>
      <c r="C109" s="30">
        <v>6</v>
      </c>
      <c r="D109" s="30">
        <f>VLOOKUP(RUTA475[[#This Row],[Columna1]],Tabla14[#All],6,0)</f>
        <v>0.51854166666666668</v>
      </c>
      <c r="E109" s="30">
        <f>RUTA475[[#This Row],[Columna3]]*RUTA475[[#This Row],[Columna4]]</f>
        <v>3.1112500000000001</v>
      </c>
    </row>
    <row r="110" spans="1:5">
      <c r="A110" s="30" t="s">
        <v>347</v>
      </c>
      <c r="B110" s="30" t="s">
        <v>346</v>
      </c>
      <c r="C110" s="30">
        <v>2</v>
      </c>
      <c r="D110" s="30">
        <f>VLOOKUP(RUTA475[[#This Row],[Columna1]],Tabla14[#All],6,0)</f>
        <v>2.65</v>
      </c>
      <c r="E110" s="30">
        <f>RUTA475[[#This Row],[Columna3]]*RUTA475[[#This Row],[Columna4]]</f>
        <v>5.3</v>
      </c>
    </row>
    <row r="111" spans="1:5">
      <c r="A111" s="30" t="s">
        <v>401</v>
      </c>
      <c r="B111" s="30" t="s">
        <v>400</v>
      </c>
      <c r="C111" s="30">
        <v>2</v>
      </c>
      <c r="D111" s="30">
        <f>VLOOKUP(RUTA475[[#This Row],[Columna1]],Tabla14[#All],6,0)</f>
        <v>2.1166666666666667</v>
      </c>
      <c r="E111" s="30">
        <f>RUTA475[[#This Row],[Columna3]]*RUTA475[[#This Row],[Columna4]]</f>
        <v>4.2333333333333334</v>
      </c>
    </row>
    <row r="112" spans="1:5">
      <c r="A112" s="30" t="s">
        <v>431</v>
      </c>
      <c r="B112" s="30" t="s">
        <v>430</v>
      </c>
      <c r="C112" s="30">
        <v>2</v>
      </c>
      <c r="D112" s="30">
        <f>VLOOKUP(RUTA475[[#This Row],[Columna1]],Tabla14[#All],6,0)</f>
        <v>2.1166666666666667</v>
      </c>
      <c r="E112" s="30">
        <f>RUTA475[[#This Row],[Columna3]]*RUTA475[[#This Row],[Columna4]]</f>
        <v>4.2333333333333334</v>
      </c>
    </row>
    <row r="113" spans="1:5">
      <c r="A113" s="30" t="s">
        <v>1081</v>
      </c>
      <c r="B113" s="30" t="s">
        <v>1080</v>
      </c>
      <c r="C113" s="30">
        <v>2</v>
      </c>
      <c r="D113" s="30">
        <f>VLOOKUP(RUTA475[[#This Row],[Columna1]],Tabla14[#All],6,0)</f>
        <v>2.1166666666666667</v>
      </c>
      <c r="E113" s="30">
        <f>RUTA475[[#This Row],[Columna3]]*RUTA475[[#This Row],[Columna4]]</f>
        <v>4.2333333333333334</v>
      </c>
    </row>
    <row r="114" spans="1:5">
      <c r="A114" s="30" t="s">
        <v>397</v>
      </c>
      <c r="B114" s="30" t="s">
        <v>396</v>
      </c>
      <c r="C114" s="30">
        <v>3</v>
      </c>
      <c r="D114" s="30">
        <f>VLOOKUP(RUTA475[[#This Row],[Columna1]],Tabla14[#All],6,0)</f>
        <v>0.24270833333333333</v>
      </c>
      <c r="E114" s="30">
        <f>RUTA475[[#This Row],[Columna3]]*RUTA475[[#This Row],[Columna4]]</f>
        <v>0.72812500000000002</v>
      </c>
    </row>
    <row r="115" spans="1:5">
      <c r="A115" s="30" t="s">
        <v>41</v>
      </c>
      <c r="B115" s="30" t="s">
        <v>40</v>
      </c>
      <c r="C115" s="30">
        <v>5</v>
      </c>
      <c r="D115" s="30">
        <f>VLOOKUP(RUTA475[[#This Row],[Columna1]],Tabla14[#All],6,0)</f>
        <v>0.24270833333333333</v>
      </c>
      <c r="E115" s="30">
        <f>RUTA475[[#This Row],[Columna3]]*RUTA475[[#This Row],[Columna4]]</f>
        <v>1.2135416666666667</v>
      </c>
    </row>
    <row r="116" spans="1:5">
      <c r="A116" s="30" t="s">
        <v>37</v>
      </c>
      <c r="B116" s="30" t="s">
        <v>36</v>
      </c>
      <c r="C116" s="30">
        <v>5</v>
      </c>
      <c r="D116" s="30">
        <f>VLOOKUP(RUTA475[[#This Row],[Columna1]],Tabla14[#All],6,0)</f>
        <v>0.24270833333333333</v>
      </c>
      <c r="E116" s="30">
        <f>RUTA475[[#This Row],[Columna3]]*RUTA475[[#This Row],[Columna4]]</f>
        <v>1.2135416666666667</v>
      </c>
    </row>
    <row r="117" spans="1:5">
      <c r="A117" s="30" t="s">
        <v>39</v>
      </c>
      <c r="B117" s="30" t="s">
        <v>38</v>
      </c>
      <c r="C117" s="30">
        <v>17</v>
      </c>
      <c r="D117" s="30">
        <f>VLOOKUP(RUTA475[[#This Row],[Columna1]],Tabla14[#All],6,0)</f>
        <v>0.24270833333333333</v>
      </c>
      <c r="E117" s="30">
        <f>RUTA475[[#This Row],[Columna3]]*RUTA475[[#This Row],[Columna4]]</f>
        <v>4.1260416666666666</v>
      </c>
    </row>
    <row r="118" spans="1:5">
      <c r="A118" s="30" t="s">
        <v>387</v>
      </c>
      <c r="B118" s="30" t="s">
        <v>2271</v>
      </c>
      <c r="C118" s="30">
        <v>26</v>
      </c>
      <c r="D118" s="30">
        <f>VLOOKUP(RUTA475[[#This Row],[Columna1]],Tabla14[#All],6,0)</f>
        <v>0.88249999999999995</v>
      </c>
      <c r="E118" s="30">
        <f>RUTA475[[#This Row],[Columna3]]*RUTA475[[#This Row],[Columna4]]</f>
        <v>22.945</v>
      </c>
    </row>
    <row r="119" spans="1:5">
      <c r="A119" s="30" t="s">
        <v>429</v>
      </c>
      <c r="B119" s="30" t="s">
        <v>428</v>
      </c>
      <c r="C119" s="30">
        <v>2</v>
      </c>
      <c r="D119" s="30">
        <f>VLOOKUP(RUTA475[[#This Row],[Columna1]],Tabla14[#All],6,0)</f>
        <v>2.1166666666666667</v>
      </c>
      <c r="E119" s="30">
        <f>RUTA475[[#This Row],[Columna3]]*RUTA475[[#This Row],[Columna4]]</f>
        <v>4.2333333333333334</v>
      </c>
    </row>
    <row r="120" spans="1:5">
      <c r="A120" s="30" t="s">
        <v>1679</v>
      </c>
      <c r="B120" s="30" t="s">
        <v>2201</v>
      </c>
      <c r="C120" s="30">
        <v>3</v>
      </c>
      <c r="D120" s="30">
        <f>VLOOKUP(RUTA475[[#This Row],[Columna1]],Tabla14[#All],6,0)</f>
        <v>0.33041666666666664</v>
      </c>
      <c r="E120" s="30">
        <f>RUTA475[[#This Row],[Columna3]]*RUTA475[[#This Row],[Columna4]]</f>
        <v>0.99124999999999996</v>
      </c>
    </row>
    <row r="121" spans="1:5">
      <c r="A121" s="30" t="s">
        <v>31</v>
      </c>
      <c r="B121" s="30" t="s">
        <v>30</v>
      </c>
      <c r="C121" s="30">
        <v>6</v>
      </c>
      <c r="D121" s="30">
        <f>VLOOKUP(RUTA475[[#This Row],[Columna1]],Tabla14[#All],6,0)</f>
        <v>0.11</v>
      </c>
      <c r="E121" s="30">
        <f>RUTA475[[#This Row],[Columna3]]*RUTA475[[#This Row],[Columna4]]</f>
        <v>0.66</v>
      </c>
    </row>
    <row r="122" spans="1:5">
      <c r="A122" s="30" t="s">
        <v>395</v>
      </c>
      <c r="B122" s="30" t="s">
        <v>2237</v>
      </c>
      <c r="C122" s="30">
        <v>126</v>
      </c>
      <c r="D122" s="30">
        <f>VLOOKUP(RUTA475[[#This Row],[Columna1]],Tabla14[#All],6,0)</f>
        <v>0.47499999999999998</v>
      </c>
      <c r="E122" s="30">
        <f>RUTA475[[#This Row],[Columna3]]*RUTA475[[#This Row],[Columna4]]</f>
        <v>59.849999999999994</v>
      </c>
    </row>
    <row r="123" spans="1:5">
      <c r="A123" s="30" t="s">
        <v>1244</v>
      </c>
      <c r="B123" s="30" t="s">
        <v>1243</v>
      </c>
      <c r="C123" s="30">
        <v>1</v>
      </c>
      <c r="D123" s="30">
        <f>VLOOKUP(RUTA475[[#This Row],[Columna1]],Tabla14[#All],6,0)</f>
        <v>2.1166666666666667</v>
      </c>
      <c r="E123" s="30">
        <f>RUTA475[[#This Row],[Columna3]]*RUTA475[[#This Row],[Columna4]]</f>
        <v>2.1166666666666667</v>
      </c>
    </row>
    <row r="124" spans="1:5">
      <c r="A124" s="30" t="s">
        <v>1933</v>
      </c>
      <c r="B124" s="30" t="s">
        <v>1934</v>
      </c>
      <c r="C124" s="30">
        <v>4</v>
      </c>
      <c r="D124" s="30">
        <f>VLOOKUP(RUTA475[[#This Row],[Columna1]],Tabla14[#All],6,0)</f>
        <v>0.35625000000000001</v>
      </c>
      <c r="E124" s="30">
        <f>RUTA475[[#This Row],[Columna3]]*RUTA475[[#This Row],[Columna4]]</f>
        <v>1.425</v>
      </c>
    </row>
    <row r="125" spans="1:5">
      <c r="A125" s="30" t="s">
        <v>5</v>
      </c>
      <c r="B125" s="30" t="s">
        <v>4</v>
      </c>
      <c r="C125" s="30">
        <v>6</v>
      </c>
      <c r="D125" s="30">
        <f>VLOOKUP(RUTA475[[#This Row],[Columna1]],Tabla14[#All],6,0)</f>
        <v>1.1041666666666667</v>
      </c>
      <c r="E125" s="30">
        <f>RUTA475[[#This Row],[Columna3]]*RUTA475[[#This Row],[Columna4]]</f>
        <v>6.625</v>
      </c>
    </row>
    <row r="126" spans="1:5">
      <c r="A126" s="30" t="s">
        <v>339</v>
      </c>
      <c r="B126" s="30" t="s">
        <v>338</v>
      </c>
      <c r="C126" s="30">
        <v>31</v>
      </c>
      <c r="D126" s="30">
        <f>VLOOKUP(RUTA475[[#This Row],[Columna1]],Tabla14[#All],6,0)</f>
        <v>1.1041666666666667</v>
      </c>
      <c r="E126" s="30">
        <f>RUTA475[[#This Row],[Columna3]]*RUTA475[[#This Row],[Columna4]]</f>
        <v>34.229166666666671</v>
      </c>
    </row>
    <row r="127" spans="1:5">
      <c r="A127" s="30" t="s">
        <v>7</v>
      </c>
      <c r="B127" s="30" t="s">
        <v>6</v>
      </c>
      <c r="C127" s="30">
        <v>3</v>
      </c>
      <c r="D127" s="30">
        <f>VLOOKUP(RUTA475[[#This Row],[Columna1]],Tabla14[#All],6,0)</f>
        <v>1.1041666666666667</v>
      </c>
      <c r="E127" s="30">
        <f>RUTA475[[#This Row],[Columna3]]*RUTA475[[#This Row],[Columna4]]</f>
        <v>3.3125</v>
      </c>
    </row>
    <row r="128" spans="1:5">
      <c r="A128" s="30" t="s">
        <v>343</v>
      </c>
      <c r="B128" s="30" t="s">
        <v>342</v>
      </c>
      <c r="C128" s="30">
        <v>27</v>
      </c>
      <c r="D128" s="30">
        <f>VLOOKUP(RUTA475[[#This Row],[Columna1]],Tabla14[#All],6,0)</f>
        <v>1.1041666666666667</v>
      </c>
      <c r="E128" s="30">
        <f>RUTA475[[#This Row],[Columna3]]*RUTA475[[#This Row],[Columna4]]</f>
        <v>29.812500000000004</v>
      </c>
    </row>
    <row r="129" spans="1:5">
      <c r="A129" s="30" t="s">
        <v>3</v>
      </c>
      <c r="B129" s="30" t="s">
        <v>2</v>
      </c>
      <c r="C129" s="30">
        <v>15</v>
      </c>
      <c r="D129" s="30">
        <f>VLOOKUP(RUTA475[[#This Row],[Columna1]],Tabla14[#All],6,0)</f>
        <v>1.1041666666666667</v>
      </c>
      <c r="E129" s="30">
        <f>RUTA475[[#This Row],[Columna3]]*RUTA475[[#This Row],[Columna4]]</f>
        <v>16.5625</v>
      </c>
    </row>
    <row r="130" spans="1:5">
      <c r="A130" s="30" t="s">
        <v>857</v>
      </c>
      <c r="B130" s="30" t="s">
        <v>856</v>
      </c>
      <c r="C130" s="30">
        <v>1</v>
      </c>
      <c r="D130" s="30">
        <f>VLOOKUP(RUTA475[[#This Row],[Columna1]],Tabla14[#All],6,0)</f>
        <v>1.3125</v>
      </c>
      <c r="E130" s="30">
        <f>RUTA475[[#This Row],[Columna3]]*RUTA475[[#This Row],[Columna4]]</f>
        <v>1.3125</v>
      </c>
    </row>
    <row r="131" spans="1:5">
      <c r="A131" s="30" t="s">
        <v>825</v>
      </c>
      <c r="B131" s="30" t="s">
        <v>824</v>
      </c>
      <c r="C131" s="30">
        <v>1</v>
      </c>
      <c r="D131" s="30">
        <f>VLOOKUP(RUTA475[[#This Row],[Columna1]],Tabla14[#All],6,0)</f>
        <v>0.37040000000000001</v>
      </c>
      <c r="E131" s="30">
        <f>RUTA475[[#This Row],[Columna3]]*RUTA475[[#This Row],[Columna4]]</f>
        <v>0.37040000000000001</v>
      </c>
    </row>
    <row r="132" spans="1:5">
      <c r="A132" s="30" t="s">
        <v>1212</v>
      </c>
      <c r="B132" s="30" t="s">
        <v>300</v>
      </c>
      <c r="C132" s="30">
        <v>1</v>
      </c>
      <c r="D132" s="30">
        <f>VLOOKUP(RUTA475[[#This Row],[Columna1]],Tabla14[#All],6,0)</f>
        <v>0.9277777777777777</v>
      </c>
      <c r="E132" s="30">
        <f>RUTA475[[#This Row],[Columna3]]*RUTA475[[#This Row],[Columna4]]</f>
        <v>0.9277777777777777</v>
      </c>
    </row>
    <row r="133" spans="1:5">
      <c r="A133" s="30" t="s">
        <v>1749</v>
      </c>
      <c r="B133" s="30" t="s">
        <v>2008</v>
      </c>
      <c r="C133" s="30">
        <v>2</v>
      </c>
      <c r="D133" s="30">
        <f>VLOOKUP(RUTA475[[#This Row],[Columna1]],Tabla14[#All],6,0)</f>
        <v>0.71375</v>
      </c>
      <c r="E133" s="30">
        <f>RUTA475[[#This Row],[Columna3]]*RUTA475[[#This Row],[Columna4]]</f>
        <v>1.4275</v>
      </c>
    </row>
    <row r="134" spans="1:5">
      <c r="A134" s="30" t="s">
        <v>1330</v>
      </c>
      <c r="B134" s="30" t="s">
        <v>2221</v>
      </c>
      <c r="C134" s="30">
        <v>1</v>
      </c>
      <c r="D134" s="30">
        <f>VLOOKUP(RUTA475[[#This Row],[Columna1]],Tabla14[#All],6,0)</f>
        <v>0.62</v>
      </c>
      <c r="E134" s="30">
        <f>RUTA475[[#This Row],[Columna3]]*RUTA475[[#This Row],[Columna4]]</f>
        <v>0.62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F47A1-2021-4A8C-BC7F-8D16313D5037}">
  <dimension ref="A1:E142"/>
  <sheetViews>
    <sheetView workbookViewId="0"/>
  </sheetViews>
  <sheetFormatPr baseColWidth="10" defaultRowHeight="14.4"/>
  <cols>
    <col min="1" max="1" width="11.5546875" style="30"/>
    <col min="2" max="2" width="4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25</v>
      </c>
      <c r="D2" s="30">
        <f>VLOOKUP(RUTA476[[#This Row],[Columna1]],Tabla14[#All],6,0)</f>
        <v>0.88200000000000001</v>
      </c>
      <c r="E2" s="30">
        <f>RUTA476[[#This Row],[Columna3]]*RUTA476[[#This Row],[Columna4]]</f>
        <v>22.05</v>
      </c>
    </row>
    <row r="3" spans="1:5">
      <c r="A3" s="30">
        <v>10020010007</v>
      </c>
      <c r="B3" s="30" t="s">
        <v>143</v>
      </c>
      <c r="C3" s="30">
        <v>50</v>
      </c>
      <c r="D3" s="30">
        <f>VLOOKUP(RUTA476[[#This Row],[Columna1]],Tabla14[#All],6,0)</f>
        <v>0.88200000000000001</v>
      </c>
      <c r="E3" s="30">
        <f>RUTA476[[#This Row],[Columna3]]*RUTA476[[#This Row],[Columna4]]</f>
        <v>44.1</v>
      </c>
    </row>
    <row r="4" spans="1:5">
      <c r="A4" s="30">
        <v>400000127</v>
      </c>
      <c r="B4" s="30" t="s">
        <v>585</v>
      </c>
      <c r="C4" s="30">
        <v>17</v>
      </c>
      <c r="D4" s="30">
        <f>VLOOKUP(RUTA476[[#This Row],[Columna1]],Tabla14[#All],6,0)</f>
        <v>1.5449999999999999</v>
      </c>
      <c r="E4" s="30">
        <f>RUTA476[[#This Row],[Columna3]]*RUTA476[[#This Row],[Columna4]]</f>
        <v>26.265000000000001</v>
      </c>
    </row>
    <row r="5" spans="1:5">
      <c r="A5" s="30">
        <v>400000158</v>
      </c>
      <c r="B5" s="30" t="s">
        <v>586</v>
      </c>
      <c r="C5" s="30">
        <v>2</v>
      </c>
      <c r="D5" s="30">
        <f>VLOOKUP(RUTA476[[#This Row],[Columna1]],Tabla14[#All],6,0)</f>
        <v>0.29166666666666669</v>
      </c>
      <c r="E5" s="30">
        <f>RUTA476[[#This Row],[Columna3]]*RUTA476[[#This Row],[Columna4]]</f>
        <v>0.58333333333333337</v>
      </c>
    </row>
    <row r="6" spans="1:5">
      <c r="A6" s="30">
        <v>400000160</v>
      </c>
      <c r="B6" s="30" t="s">
        <v>584</v>
      </c>
      <c r="C6" s="30">
        <v>5</v>
      </c>
      <c r="D6" s="30">
        <f>VLOOKUP(RUTA476[[#This Row],[Columna1]],Tabla14[#All],6,0)</f>
        <v>1.4166666666666667</v>
      </c>
      <c r="E6" s="30">
        <f>RUTA476[[#This Row],[Columna3]]*RUTA476[[#This Row],[Columna4]]</f>
        <v>7.0833333333333339</v>
      </c>
    </row>
    <row r="7" spans="1:5">
      <c r="A7" s="30">
        <v>50491101</v>
      </c>
      <c r="B7" s="30" t="s">
        <v>1950</v>
      </c>
      <c r="C7" s="30">
        <v>6</v>
      </c>
      <c r="D7" s="30">
        <f>VLOOKUP(RUTA476[[#This Row],[Columna1]],Tabla14[#All],6,0)</f>
        <v>2.65</v>
      </c>
      <c r="E7" s="30">
        <f>RUTA476[[#This Row],[Columna3]]*RUTA476[[#This Row],[Columna4]]</f>
        <v>15.899999999999999</v>
      </c>
    </row>
    <row r="8" spans="1:5">
      <c r="A8" s="30">
        <v>50491102</v>
      </c>
      <c r="B8" s="30" t="s">
        <v>1898</v>
      </c>
      <c r="C8" s="30">
        <v>6</v>
      </c>
      <c r="D8" s="30">
        <f>VLOOKUP(RUTA476[[#This Row],[Columna1]],Tabla14[#All],6,0)</f>
        <v>2.65</v>
      </c>
      <c r="E8" s="30">
        <f>RUTA476[[#This Row],[Columna3]]*RUTA476[[#This Row],[Columna4]]</f>
        <v>15.899999999999999</v>
      </c>
    </row>
    <row r="9" spans="1:5">
      <c r="A9" s="30">
        <v>50491107</v>
      </c>
      <c r="B9" s="30" t="s">
        <v>1897</v>
      </c>
      <c r="C9" s="30">
        <v>9</v>
      </c>
      <c r="D9" s="30">
        <f>VLOOKUP(RUTA476[[#This Row],[Columna1]],Tabla14[#All],6,0)</f>
        <v>2.65</v>
      </c>
      <c r="E9" s="30">
        <f>RUTA476[[#This Row],[Columna3]]*RUTA476[[#This Row],[Columna4]]</f>
        <v>23.849999999999998</v>
      </c>
    </row>
    <row r="10" spans="1:5">
      <c r="A10" s="30">
        <v>50491108</v>
      </c>
      <c r="B10" s="30" t="s">
        <v>2010</v>
      </c>
      <c r="C10" s="30">
        <v>3</v>
      </c>
      <c r="D10" s="30">
        <f>VLOOKUP(RUTA476[[#This Row],[Columna1]],Tabla14[#All],6,0)</f>
        <v>2.65</v>
      </c>
      <c r="E10" s="30">
        <f>RUTA476[[#This Row],[Columna3]]*RUTA476[[#This Row],[Columna4]]</f>
        <v>7.9499999999999993</v>
      </c>
    </row>
    <row r="11" spans="1:5">
      <c r="A11" s="30">
        <v>50491109</v>
      </c>
      <c r="B11" s="30" t="s">
        <v>1584</v>
      </c>
      <c r="C11" s="30">
        <v>6</v>
      </c>
      <c r="D11" s="30">
        <f>VLOOKUP(RUTA476[[#This Row],[Columna1]],Tabla14[#All],6,0)</f>
        <v>2.65</v>
      </c>
      <c r="E11" s="30">
        <f>RUTA476[[#This Row],[Columna3]]*RUTA476[[#This Row],[Columna4]]</f>
        <v>15.899999999999999</v>
      </c>
    </row>
    <row r="12" spans="1:5">
      <c r="A12" s="30">
        <v>52480086</v>
      </c>
      <c r="B12" s="30" t="s">
        <v>1939</v>
      </c>
      <c r="C12" s="30">
        <v>5</v>
      </c>
      <c r="D12" s="30">
        <f>VLOOKUP(RUTA476[[#This Row],[Columna1]],Tabla14[#All],6,0)</f>
        <v>0.23805555555555558</v>
      </c>
      <c r="E12" s="30">
        <f>RUTA476[[#This Row],[Columna3]]*RUTA476[[#This Row],[Columna4]]</f>
        <v>1.1902777777777778</v>
      </c>
    </row>
    <row r="13" spans="1:5">
      <c r="A13" s="30">
        <v>5460400</v>
      </c>
      <c r="B13" s="30" t="s">
        <v>2133</v>
      </c>
      <c r="C13" s="30">
        <v>108</v>
      </c>
      <c r="D13" s="30">
        <f>VLOOKUP(RUTA476[[#This Row],[Columna1]],Tabla14[#All],6,0)</f>
        <v>0.75</v>
      </c>
      <c r="E13" s="30">
        <f>RUTA476[[#This Row],[Columna3]]*RUTA476[[#This Row],[Columna4]]</f>
        <v>81</v>
      </c>
    </row>
    <row r="14" spans="1:5">
      <c r="A14" s="30">
        <v>576003</v>
      </c>
      <c r="B14" s="30" t="s">
        <v>2084</v>
      </c>
      <c r="C14" s="30">
        <v>25</v>
      </c>
      <c r="D14" s="30">
        <f>VLOOKUP(RUTA476[[#This Row],[Columna1]],Tabla14[#All],6,0)</f>
        <v>0.11944444444444444</v>
      </c>
      <c r="E14" s="30">
        <f>RUTA476[[#This Row],[Columna3]]*RUTA476[[#This Row],[Columna4]]</f>
        <v>2.9861111111111107</v>
      </c>
    </row>
    <row r="15" spans="1:5">
      <c r="A15" s="30">
        <v>620500</v>
      </c>
      <c r="B15" s="30" t="s">
        <v>2261</v>
      </c>
      <c r="C15" s="30">
        <v>2</v>
      </c>
      <c r="D15" s="30">
        <f>VLOOKUP(RUTA476[[#This Row],[Columna1]],Tabla14[#All],6,0)</f>
        <v>2</v>
      </c>
      <c r="E15" s="30">
        <f>RUTA476[[#This Row],[Columna3]]*RUTA476[[#This Row],[Columna4]]</f>
        <v>4</v>
      </c>
    </row>
    <row r="16" spans="1:5">
      <c r="A16" s="30">
        <v>620678</v>
      </c>
      <c r="B16" s="30" t="s">
        <v>654</v>
      </c>
      <c r="C16" s="30">
        <v>100</v>
      </c>
      <c r="D16" s="30">
        <f>VLOOKUP(RUTA476[[#This Row],[Columna1]],Tabla14[#All],6,0)</f>
        <v>1</v>
      </c>
      <c r="E16" s="30">
        <f>RUTA476[[#This Row],[Columna3]]*RUTA476[[#This Row],[Columna4]]</f>
        <v>100</v>
      </c>
    </row>
    <row r="17" spans="1:5">
      <c r="A17" s="30">
        <v>621330</v>
      </c>
      <c r="B17" s="30" t="s">
        <v>652</v>
      </c>
      <c r="C17" s="30">
        <v>11</v>
      </c>
      <c r="D17" s="30">
        <f>VLOOKUP(RUTA476[[#This Row],[Columna1]],Tabla14[#All],6,0)</f>
        <v>0.8833333333333333</v>
      </c>
      <c r="E17" s="30">
        <f>RUTA476[[#This Row],[Columna3]]*RUTA476[[#This Row],[Columna4]]</f>
        <v>9.7166666666666668</v>
      </c>
    </row>
    <row r="18" spans="1:5">
      <c r="A18" s="30">
        <v>640683</v>
      </c>
      <c r="B18" s="30" t="s">
        <v>215</v>
      </c>
      <c r="C18" s="30">
        <v>1</v>
      </c>
      <c r="D18" s="30">
        <f>VLOOKUP(RUTA476[[#This Row],[Columna1]],Tabla14[#All],6,0)</f>
        <v>2.65</v>
      </c>
      <c r="E18" s="30">
        <f>RUTA476[[#This Row],[Columna3]]*RUTA476[[#This Row],[Columna4]]</f>
        <v>2.65</v>
      </c>
    </row>
    <row r="19" spans="1:5">
      <c r="A19" s="30">
        <v>641833</v>
      </c>
      <c r="B19" s="30" t="s">
        <v>217</v>
      </c>
      <c r="C19" s="30">
        <v>1</v>
      </c>
      <c r="D19" s="30">
        <f>VLOOKUP(RUTA476[[#This Row],[Columna1]],Tabla14[#All],6,0)</f>
        <v>2.65</v>
      </c>
      <c r="E19" s="30">
        <f>RUTA476[[#This Row],[Columna3]]*RUTA476[[#This Row],[Columna4]]</f>
        <v>2.65</v>
      </c>
    </row>
    <row r="20" spans="1:5">
      <c r="A20" s="30">
        <v>67409831</v>
      </c>
      <c r="B20" s="30" t="s">
        <v>83</v>
      </c>
      <c r="C20" s="30">
        <v>102</v>
      </c>
      <c r="D20" s="30">
        <f>VLOOKUP(RUTA476[[#This Row],[Columna1]],Tabla14[#All],6,0)</f>
        <v>0.79999999999999993</v>
      </c>
      <c r="E20" s="30">
        <f>RUTA476[[#This Row],[Columna3]]*RUTA476[[#This Row],[Columna4]]</f>
        <v>81.599999999999994</v>
      </c>
    </row>
    <row r="21" spans="1:5">
      <c r="A21" s="30">
        <v>69584479</v>
      </c>
      <c r="B21" s="30" t="s">
        <v>2085</v>
      </c>
      <c r="C21" s="30">
        <v>4</v>
      </c>
      <c r="D21" s="30">
        <f>VLOOKUP(RUTA476[[#This Row],[Columna1]],Tabla14[#All],6,0)</f>
        <v>0.82674999999999998</v>
      </c>
      <c r="E21" s="30">
        <f>RUTA476[[#This Row],[Columna3]]*RUTA476[[#This Row],[Columna4]]</f>
        <v>3.3069999999999999</v>
      </c>
    </row>
    <row r="22" spans="1:5">
      <c r="A22" s="30">
        <v>69584482</v>
      </c>
      <c r="B22" s="30" t="s">
        <v>2253</v>
      </c>
      <c r="C22" s="30">
        <v>6</v>
      </c>
      <c r="D22" s="30">
        <f>VLOOKUP(RUTA476[[#This Row],[Columna1]],Tabla14[#All],6,0)</f>
        <v>9.9166666666666667E-2</v>
      </c>
      <c r="E22" s="30">
        <f>RUTA476[[#This Row],[Columna3]]*RUTA476[[#This Row],[Columna4]]</f>
        <v>0.59499999999999997</v>
      </c>
    </row>
    <row r="23" spans="1:5">
      <c r="A23" s="30">
        <v>69584487</v>
      </c>
      <c r="B23" s="30" t="s">
        <v>2202</v>
      </c>
      <c r="C23" s="30">
        <v>6</v>
      </c>
      <c r="D23" s="30">
        <f>VLOOKUP(RUTA476[[#This Row],[Columna1]],Tabla14[#All],6,0)</f>
        <v>9.9166666666666667E-2</v>
      </c>
      <c r="E23" s="30">
        <f>RUTA476[[#This Row],[Columna3]]*RUTA476[[#This Row],[Columna4]]</f>
        <v>0.59499999999999997</v>
      </c>
    </row>
    <row r="24" spans="1:5">
      <c r="A24" s="30">
        <v>69584500</v>
      </c>
      <c r="B24" s="30" t="s">
        <v>2166</v>
      </c>
      <c r="C24" s="30">
        <v>138</v>
      </c>
      <c r="D24" s="30">
        <f>VLOOKUP(RUTA476[[#This Row],[Columna1]],Tabla14[#All],6,0)</f>
        <v>9.9124999999999991E-2</v>
      </c>
      <c r="E24" s="30">
        <f>RUTA476[[#This Row],[Columna3]]*RUTA476[[#This Row],[Columna4]]</f>
        <v>13.679249999999998</v>
      </c>
    </row>
    <row r="25" spans="1:5">
      <c r="A25" s="30">
        <v>69678219</v>
      </c>
      <c r="B25" s="30" t="s">
        <v>2240</v>
      </c>
      <c r="C25" s="30">
        <v>2</v>
      </c>
      <c r="D25" s="30">
        <f>VLOOKUP(RUTA476[[#This Row],[Columna1]],Tabla14[#All],6,0)</f>
        <v>0.55541666666666667</v>
      </c>
      <c r="E25" s="30">
        <f>RUTA476[[#This Row],[Columna3]]*RUTA476[[#This Row],[Columna4]]</f>
        <v>1.1108333333333333</v>
      </c>
    </row>
    <row r="26" spans="1:5">
      <c r="A26" s="30">
        <v>69678222</v>
      </c>
      <c r="B26" s="30" t="s">
        <v>2088</v>
      </c>
      <c r="C26" s="30">
        <v>4</v>
      </c>
      <c r="D26" s="30">
        <f>VLOOKUP(RUTA476[[#This Row],[Columna1]],Tabla14[#All],6,0)</f>
        <v>0.5541666666666667</v>
      </c>
      <c r="E26" s="30">
        <f>RUTA476[[#This Row],[Columna3]]*RUTA476[[#This Row],[Columna4]]</f>
        <v>2.2166666666666668</v>
      </c>
    </row>
    <row r="27" spans="1:5">
      <c r="A27" s="30">
        <v>69761861</v>
      </c>
      <c r="B27" s="30" t="s">
        <v>1987</v>
      </c>
      <c r="C27" s="30">
        <v>78</v>
      </c>
      <c r="D27" s="30">
        <f>VLOOKUP(RUTA476[[#This Row],[Columna1]],Tabla14[#All],6,0)</f>
        <v>0.19833333333333333</v>
      </c>
      <c r="E27" s="30">
        <f>RUTA476[[#This Row],[Columna3]]*RUTA476[[#This Row],[Columna4]]</f>
        <v>15.47</v>
      </c>
    </row>
    <row r="28" spans="1:5">
      <c r="A28" s="30">
        <v>69761868</v>
      </c>
      <c r="B28" s="30" t="s">
        <v>2024</v>
      </c>
      <c r="C28" s="30">
        <v>301</v>
      </c>
      <c r="D28" s="30">
        <f>VLOOKUP(RUTA476[[#This Row],[Columna1]],Tabla14[#All],6,0)</f>
        <v>0.19843750000000002</v>
      </c>
      <c r="E28" s="30">
        <f>RUTA476[[#This Row],[Columna3]]*RUTA476[[#This Row],[Columna4]]</f>
        <v>59.729687500000004</v>
      </c>
    </row>
    <row r="29" spans="1:5">
      <c r="A29" s="30">
        <v>69761870</v>
      </c>
      <c r="B29" s="30" t="s">
        <v>1972</v>
      </c>
      <c r="C29" s="30">
        <v>24</v>
      </c>
      <c r="D29" s="30">
        <f>VLOOKUP(RUTA476[[#This Row],[Columna1]],Tabla14[#All],6,0)</f>
        <v>0.19833333333333333</v>
      </c>
      <c r="E29" s="30">
        <f>RUTA476[[#This Row],[Columna3]]*RUTA476[[#This Row],[Columna4]]</f>
        <v>4.76</v>
      </c>
    </row>
    <row r="30" spans="1:5">
      <c r="A30" s="30">
        <v>69780941</v>
      </c>
      <c r="B30" s="30" t="s">
        <v>1951</v>
      </c>
      <c r="C30" s="30">
        <v>792</v>
      </c>
      <c r="D30" s="30">
        <f>VLOOKUP(RUTA476[[#This Row],[Columna1]],Tabla14[#All],6,0)</f>
        <v>0.19833333333333333</v>
      </c>
      <c r="E30" s="30">
        <f>RUTA476[[#This Row],[Columna3]]*RUTA476[[#This Row],[Columna4]]</f>
        <v>157.08000000000001</v>
      </c>
    </row>
    <row r="31" spans="1:5">
      <c r="A31" s="30" t="s">
        <v>1026</v>
      </c>
      <c r="B31" s="30" t="s">
        <v>1025</v>
      </c>
      <c r="C31" s="30">
        <v>3</v>
      </c>
      <c r="D31" s="30">
        <f>VLOOKUP(RUTA476[[#This Row],[Columna1]],Tabla14[#All],6,0)</f>
        <v>0.9</v>
      </c>
      <c r="E31" s="30">
        <f>RUTA476[[#This Row],[Columna3]]*RUTA476[[#This Row],[Columna4]]</f>
        <v>2.7</v>
      </c>
    </row>
    <row r="32" spans="1:5">
      <c r="A32" s="30" t="s">
        <v>1355</v>
      </c>
      <c r="B32" s="30" t="s">
        <v>1354</v>
      </c>
      <c r="C32" s="30">
        <v>3</v>
      </c>
      <c r="D32" s="30">
        <f>VLOOKUP(RUTA476[[#This Row],[Columna1]],Tabla14[#All],6,0)</f>
        <v>0.9</v>
      </c>
      <c r="E32" s="30">
        <f>RUTA476[[#This Row],[Columna3]]*RUTA476[[#This Row],[Columna4]]</f>
        <v>2.7</v>
      </c>
    </row>
    <row r="33" spans="1:5">
      <c r="A33" s="30" t="s">
        <v>1525</v>
      </c>
      <c r="B33" s="30" t="s">
        <v>1524</v>
      </c>
      <c r="C33" s="30">
        <v>2</v>
      </c>
      <c r="D33" s="30">
        <f>VLOOKUP(RUTA476[[#This Row],[Columna1]],Tabla14[#All],6,0)</f>
        <v>0.9</v>
      </c>
      <c r="E33" s="30">
        <f>RUTA476[[#This Row],[Columna3]]*RUTA476[[#This Row],[Columna4]]</f>
        <v>1.8</v>
      </c>
    </row>
    <row r="34" spans="1:5">
      <c r="A34" s="30" t="s">
        <v>1347</v>
      </c>
      <c r="B34" s="30" t="s">
        <v>1346</v>
      </c>
      <c r="C34" s="30">
        <v>4</v>
      </c>
      <c r="D34" s="30">
        <f>VLOOKUP(RUTA476[[#This Row],[Columna1]],Tabla14[#All],6,0)</f>
        <v>0.9</v>
      </c>
      <c r="E34" s="30">
        <f>RUTA476[[#This Row],[Columna3]]*RUTA476[[#This Row],[Columna4]]</f>
        <v>3.6</v>
      </c>
    </row>
    <row r="35" spans="1:5">
      <c r="A35" s="30" t="s">
        <v>1477</v>
      </c>
      <c r="B35" s="30" t="s">
        <v>1476</v>
      </c>
      <c r="C35" s="30">
        <v>2</v>
      </c>
      <c r="D35" s="30">
        <f>VLOOKUP(RUTA476[[#This Row],[Columna1]],Tabla14[#All],6,0)</f>
        <v>0.9</v>
      </c>
      <c r="E35" s="30">
        <f>RUTA476[[#This Row],[Columna3]]*RUTA476[[#This Row],[Columna4]]</f>
        <v>1.8</v>
      </c>
    </row>
    <row r="36" spans="1:5">
      <c r="A36" s="30" t="s">
        <v>1475</v>
      </c>
      <c r="B36" s="30" t="s">
        <v>1474</v>
      </c>
      <c r="C36" s="30">
        <v>5</v>
      </c>
      <c r="D36" s="30">
        <f>VLOOKUP(RUTA476[[#This Row],[Columna1]],Tabla14[#All],6,0)</f>
        <v>0.9</v>
      </c>
      <c r="E36" s="30">
        <f>RUTA476[[#This Row],[Columna3]]*RUTA476[[#This Row],[Columna4]]</f>
        <v>4.5</v>
      </c>
    </row>
    <row r="37" spans="1:5">
      <c r="A37" s="30" t="s">
        <v>1674</v>
      </c>
      <c r="B37" s="30" t="s">
        <v>1673</v>
      </c>
      <c r="C37" s="30">
        <v>8</v>
      </c>
      <c r="D37" s="30">
        <f>VLOOKUP(RUTA476[[#This Row],[Columna1]],Tabla14[#All],6,0)</f>
        <v>0.9</v>
      </c>
      <c r="E37" s="30">
        <f>RUTA476[[#This Row],[Columna3]]*RUTA476[[#This Row],[Columna4]]</f>
        <v>7.2</v>
      </c>
    </row>
    <row r="38" spans="1:5">
      <c r="A38" s="30" t="s">
        <v>1349</v>
      </c>
      <c r="B38" s="30" t="s">
        <v>1348</v>
      </c>
      <c r="C38" s="30">
        <v>2</v>
      </c>
      <c r="D38" s="30">
        <f>VLOOKUP(RUTA476[[#This Row],[Columna1]],Tabla14[#All],6,0)</f>
        <v>0.9</v>
      </c>
      <c r="E38" s="30">
        <f>RUTA476[[#This Row],[Columna3]]*RUTA476[[#This Row],[Columna4]]</f>
        <v>1.8</v>
      </c>
    </row>
    <row r="39" spans="1:5">
      <c r="A39" s="30" t="s">
        <v>2050</v>
      </c>
      <c r="B39" s="30" t="s">
        <v>2049</v>
      </c>
      <c r="C39" s="30">
        <v>12</v>
      </c>
      <c r="D39" s="30">
        <f>VLOOKUP(RUTA476[[#This Row],[Columna1]],Tabla14[#All],6,0)</f>
        <v>0.12125000000000001</v>
      </c>
      <c r="E39" s="30">
        <f>RUTA476[[#This Row],[Columna3]]*RUTA476[[#This Row],[Columna4]]</f>
        <v>1.4550000000000001</v>
      </c>
    </row>
    <row r="40" spans="1:5">
      <c r="A40" s="30" t="s">
        <v>2046</v>
      </c>
      <c r="B40" s="30" t="s">
        <v>2045</v>
      </c>
      <c r="C40" s="30">
        <v>12</v>
      </c>
      <c r="D40" s="30">
        <f>VLOOKUP(RUTA476[[#This Row],[Columna1]],Tabla14[#All],6,0)</f>
        <v>0.12125000000000001</v>
      </c>
      <c r="E40" s="30">
        <f>RUTA476[[#This Row],[Columna3]]*RUTA476[[#This Row],[Columna4]]</f>
        <v>1.4550000000000001</v>
      </c>
    </row>
    <row r="41" spans="1:5">
      <c r="A41" s="30" t="s">
        <v>2090</v>
      </c>
      <c r="B41" s="30" t="s">
        <v>2089</v>
      </c>
      <c r="C41" s="30">
        <v>5</v>
      </c>
      <c r="D41" s="30">
        <f>VLOOKUP(RUTA476[[#This Row],[Columna1]],Tabla14[#All],6,0)</f>
        <v>100</v>
      </c>
      <c r="E41" s="30">
        <f>RUTA476[[#This Row],[Columna3]]*RUTA476[[#This Row],[Columna4]]</f>
        <v>500</v>
      </c>
    </row>
    <row r="42" spans="1:5">
      <c r="A42" s="30" t="s">
        <v>2188</v>
      </c>
      <c r="B42" s="30" t="s">
        <v>2187</v>
      </c>
      <c r="C42" s="30">
        <v>5</v>
      </c>
      <c r="D42" s="30">
        <f>VLOOKUP(RUTA476[[#This Row],[Columna1]],Tabla14[#All],6,0)</f>
        <v>0.52916666666666667</v>
      </c>
      <c r="E42" s="30">
        <f>RUTA476[[#This Row],[Columna3]]*RUTA476[[#This Row],[Columna4]]</f>
        <v>2.6458333333333335</v>
      </c>
    </row>
    <row r="43" spans="1:5">
      <c r="A43" s="30" t="s">
        <v>1261</v>
      </c>
      <c r="B43" s="30" t="s">
        <v>1513</v>
      </c>
      <c r="C43" s="30">
        <v>6</v>
      </c>
      <c r="D43" s="30">
        <f>VLOOKUP(RUTA476[[#This Row],[Columna1]],Tabla14[#All],6,0)</f>
        <v>0.36249999999999999</v>
      </c>
      <c r="E43" s="30">
        <f>RUTA476[[#This Row],[Columna3]]*RUTA476[[#This Row],[Columna4]]</f>
        <v>2.1749999999999998</v>
      </c>
    </row>
    <row r="44" spans="1:5">
      <c r="A44" s="30" t="s">
        <v>1289</v>
      </c>
      <c r="B44" s="30" t="s">
        <v>1431</v>
      </c>
      <c r="C44" s="30">
        <v>12</v>
      </c>
      <c r="D44" s="30">
        <f>VLOOKUP(RUTA476[[#This Row],[Columna1]],Tabla14[#All],6,0)</f>
        <v>0.36249999999999999</v>
      </c>
      <c r="E44" s="30">
        <f>RUTA476[[#This Row],[Columna3]]*RUTA476[[#This Row],[Columna4]]</f>
        <v>4.3499999999999996</v>
      </c>
    </row>
    <row r="45" spans="1:5">
      <c r="A45" s="30" t="s">
        <v>1309</v>
      </c>
      <c r="B45" s="30" t="s">
        <v>1308</v>
      </c>
      <c r="C45" s="30">
        <v>2</v>
      </c>
      <c r="D45" s="30">
        <f>VLOOKUP(RUTA476[[#This Row],[Columna1]],Tabla14[#All],6,0)</f>
        <v>1.4950000000000001</v>
      </c>
      <c r="E45" s="30">
        <f>RUTA476[[#This Row],[Columna3]]*RUTA476[[#This Row],[Columna4]]</f>
        <v>2.99</v>
      </c>
    </row>
    <row r="46" spans="1:5">
      <c r="A46" s="30" t="s">
        <v>1259</v>
      </c>
      <c r="B46" s="30" t="s">
        <v>1258</v>
      </c>
      <c r="C46" s="30">
        <v>6</v>
      </c>
      <c r="D46" s="30">
        <f>VLOOKUP(RUTA476[[#This Row],[Columna1]],Tabla14[#All],6,0)</f>
        <v>0.44083333333333335</v>
      </c>
      <c r="E46" s="30">
        <f>RUTA476[[#This Row],[Columna3]]*RUTA476[[#This Row],[Columna4]]</f>
        <v>2.645</v>
      </c>
    </row>
    <row r="47" spans="1:5">
      <c r="A47" s="30" t="s">
        <v>1287</v>
      </c>
      <c r="B47" s="30" t="s">
        <v>1286</v>
      </c>
      <c r="C47" s="30">
        <v>11</v>
      </c>
      <c r="D47" s="30">
        <f>VLOOKUP(RUTA476[[#This Row],[Columna1]],Tabla14[#All],6,0)</f>
        <v>0.57333333333333336</v>
      </c>
      <c r="E47" s="30">
        <f>RUTA476[[#This Row],[Columna3]]*RUTA476[[#This Row],[Columna4]]</f>
        <v>6.3066666666666666</v>
      </c>
    </row>
    <row r="48" spans="1:5">
      <c r="A48" s="30" t="s">
        <v>1285</v>
      </c>
      <c r="B48" s="30" t="s">
        <v>1284</v>
      </c>
      <c r="C48" s="30">
        <v>4</v>
      </c>
      <c r="D48" s="30">
        <f>VLOOKUP(RUTA476[[#This Row],[Columna1]],Tabla14[#All],6,0)</f>
        <v>0.57333333333333336</v>
      </c>
      <c r="E48" s="30">
        <f>RUTA476[[#This Row],[Columna3]]*RUTA476[[#This Row],[Columna4]]</f>
        <v>2.2933333333333334</v>
      </c>
    </row>
    <row r="49" spans="1:5">
      <c r="A49" s="30" t="s">
        <v>1283</v>
      </c>
      <c r="B49" s="30" t="s">
        <v>1282</v>
      </c>
      <c r="C49" s="30">
        <v>10</v>
      </c>
      <c r="D49" s="30">
        <f>VLOOKUP(RUTA476[[#This Row],[Columna1]],Tabla14[#All],6,0)</f>
        <v>0.57333333333333336</v>
      </c>
      <c r="E49" s="30">
        <f>RUTA476[[#This Row],[Columna3]]*RUTA476[[#This Row],[Columna4]]</f>
        <v>5.7333333333333334</v>
      </c>
    </row>
    <row r="50" spans="1:5">
      <c r="A50" s="30" t="s">
        <v>1269</v>
      </c>
      <c r="B50" s="30" t="s">
        <v>1647</v>
      </c>
      <c r="C50" s="30">
        <v>19</v>
      </c>
      <c r="D50" s="30">
        <f>VLOOKUP(RUTA476[[#This Row],[Columna1]],Tabla14[#All],6,0)</f>
        <v>0.22041666666666668</v>
      </c>
      <c r="E50" s="30">
        <f>RUTA476[[#This Row],[Columna3]]*RUTA476[[#This Row],[Columna4]]</f>
        <v>4.1879166666666672</v>
      </c>
    </row>
    <row r="51" spans="1:5">
      <c r="A51" s="30" t="s">
        <v>1291</v>
      </c>
      <c r="B51" s="30" t="s">
        <v>1290</v>
      </c>
      <c r="C51" s="30">
        <v>6</v>
      </c>
      <c r="D51" s="30">
        <f>VLOOKUP(RUTA476[[#This Row],[Columna1]],Tabla14[#All],6,0)</f>
        <v>0.22041666666666668</v>
      </c>
      <c r="E51" s="30">
        <f>RUTA476[[#This Row],[Columna3]]*RUTA476[[#This Row],[Columna4]]</f>
        <v>1.3225</v>
      </c>
    </row>
    <row r="52" spans="1:5">
      <c r="A52" s="30" t="s">
        <v>1265</v>
      </c>
      <c r="B52" s="30" t="s">
        <v>1264</v>
      </c>
      <c r="C52" s="30">
        <v>83</v>
      </c>
      <c r="D52" s="30">
        <f>VLOOKUP(RUTA476[[#This Row],[Columna1]],Tabla14[#All],6,0)</f>
        <v>0.22041666666666668</v>
      </c>
      <c r="E52" s="30">
        <f>RUTA476[[#This Row],[Columna3]]*RUTA476[[#This Row],[Columna4]]</f>
        <v>18.294583333333335</v>
      </c>
    </row>
    <row r="53" spans="1:5">
      <c r="A53" s="30" t="s">
        <v>1277</v>
      </c>
      <c r="B53" s="30" t="s">
        <v>1276</v>
      </c>
      <c r="C53" s="30">
        <v>3</v>
      </c>
      <c r="D53" s="30">
        <f>VLOOKUP(RUTA476[[#This Row],[Columna1]],Tabla14[#All],6,0)</f>
        <v>0.22041666666666668</v>
      </c>
      <c r="E53" s="30">
        <f>RUTA476[[#This Row],[Columna3]]*RUTA476[[#This Row],[Columna4]]</f>
        <v>0.66125</v>
      </c>
    </row>
    <row r="54" spans="1:5">
      <c r="A54" s="30" t="s">
        <v>1428</v>
      </c>
      <c r="B54" s="30" t="s">
        <v>1427</v>
      </c>
      <c r="C54" s="30">
        <v>12</v>
      </c>
      <c r="D54" s="30">
        <f>VLOOKUP(RUTA476[[#This Row],[Columna1]],Tabla14[#All],6,0)</f>
        <v>0.44083333333333335</v>
      </c>
      <c r="E54" s="30">
        <f>RUTA476[[#This Row],[Columna3]]*RUTA476[[#This Row],[Columna4]]</f>
        <v>5.29</v>
      </c>
    </row>
    <row r="55" spans="1:5">
      <c r="A55" s="30" t="s">
        <v>1273</v>
      </c>
      <c r="B55" s="30" t="s">
        <v>1272</v>
      </c>
      <c r="C55" s="30">
        <v>18</v>
      </c>
      <c r="D55" s="30">
        <f>VLOOKUP(RUTA476[[#This Row],[Columna1]],Tabla14[#All],6,0)</f>
        <v>0.79375000000000007</v>
      </c>
      <c r="E55" s="30">
        <f>RUTA476[[#This Row],[Columna3]]*RUTA476[[#This Row],[Columna4]]</f>
        <v>14.287500000000001</v>
      </c>
    </row>
    <row r="56" spans="1:5">
      <c r="A56" s="30" t="s">
        <v>1353</v>
      </c>
      <c r="B56" s="30" t="s">
        <v>1352</v>
      </c>
      <c r="C56" s="30">
        <v>24</v>
      </c>
      <c r="D56" s="30">
        <f>VLOOKUP(RUTA476[[#This Row],[Columna1]],Tabla14[#All],6,0)</f>
        <v>0.5</v>
      </c>
      <c r="E56" s="30">
        <f>RUTA476[[#This Row],[Columna3]]*RUTA476[[#This Row],[Columna4]]</f>
        <v>12</v>
      </c>
    </row>
    <row r="57" spans="1:5">
      <c r="A57" s="30" t="s">
        <v>1263</v>
      </c>
      <c r="B57" s="30" t="s">
        <v>1262</v>
      </c>
      <c r="C57" s="30">
        <v>12</v>
      </c>
      <c r="D57" s="30">
        <f>VLOOKUP(RUTA476[[#This Row],[Columna1]],Tabla14[#All],6,0)</f>
        <v>1.6600000000000001</v>
      </c>
      <c r="E57" s="30">
        <f>RUTA476[[#This Row],[Columna3]]*RUTA476[[#This Row],[Columna4]]</f>
        <v>19.920000000000002</v>
      </c>
    </row>
    <row r="58" spans="1:5">
      <c r="A58" s="30" t="s">
        <v>662</v>
      </c>
      <c r="B58" s="30" t="s">
        <v>2171</v>
      </c>
      <c r="C58" s="30">
        <v>12</v>
      </c>
      <c r="D58" s="30">
        <f>VLOOKUP(RUTA476[[#This Row],[Columna1]],Tabla14[#All],6,0)</f>
        <v>8.3333333333333329E-2</v>
      </c>
      <c r="E58" s="30">
        <f>RUTA476[[#This Row],[Columna3]]*RUTA476[[#This Row],[Columna4]]</f>
        <v>1</v>
      </c>
    </row>
    <row r="59" spans="1:5">
      <c r="A59" s="30" t="s">
        <v>671</v>
      </c>
      <c r="B59" s="30" t="s">
        <v>670</v>
      </c>
      <c r="C59" s="30">
        <v>42</v>
      </c>
      <c r="D59" s="30">
        <f>VLOOKUP(RUTA476[[#This Row],[Columna1]],Tabla14[#All],6,0)</f>
        <v>0.25</v>
      </c>
      <c r="E59" s="30">
        <f>RUTA476[[#This Row],[Columna3]]*RUTA476[[#This Row],[Columna4]]</f>
        <v>10.5</v>
      </c>
    </row>
    <row r="60" spans="1:5">
      <c r="A60" s="30" t="s">
        <v>21</v>
      </c>
      <c r="B60" s="30" t="s">
        <v>20</v>
      </c>
      <c r="C60" s="30">
        <v>23</v>
      </c>
      <c r="D60" s="30">
        <f>VLOOKUP(RUTA476[[#This Row],[Columna1]],Tabla14[#All],6,0)</f>
        <v>0.8833333333333333</v>
      </c>
      <c r="E60" s="30">
        <f>RUTA476[[#This Row],[Columna3]]*RUTA476[[#This Row],[Columna4]]</f>
        <v>20.316666666666666</v>
      </c>
    </row>
    <row r="61" spans="1:5">
      <c r="A61" s="30" t="s">
        <v>1819</v>
      </c>
      <c r="B61" s="30" t="s">
        <v>1818</v>
      </c>
      <c r="C61" s="30">
        <v>8</v>
      </c>
      <c r="D61" s="30">
        <f>VLOOKUP(RUTA476[[#This Row],[Columna1]],Tabla14[#All],6,0)</f>
        <v>0.87035714285714294</v>
      </c>
      <c r="E61" s="30">
        <f>RUTA476[[#This Row],[Columna3]]*RUTA476[[#This Row],[Columna4]]</f>
        <v>6.9628571428571435</v>
      </c>
    </row>
    <row r="62" spans="1:5">
      <c r="A62" s="30" t="s">
        <v>1766</v>
      </c>
      <c r="B62" s="30" t="s">
        <v>1765</v>
      </c>
      <c r="C62" s="30">
        <v>8</v>
      </c>
      <c r="D62" s="30">
        <f>VLOOKUP(RUTA476[[#This Row],[Columna1]],Tabla14[#All],6,0)</f>
        <v>0.87035714285714294</v>
      </c>
      <c r="E62" s="30">
        <f>RUTA476[[#This Row],[Columna3]]*RUTA476[[#This Row],[Columna4]]</f>
        <v>6.9628571428571435</v>
      </c>
    </row>
    <row r="63" spans="1:5">
      <c r="A63" s="30" t="s">
        <v>1764</v>
      </c>
      <c r="B63" s="30" t="s">
        <v>1763</v>
      </c>
      <c r="C63" s="30">
        <v>8</v>
      </c>
      <c r="D63" s="30">
        <f>VLOOKUP(RUTA476[[#This Row],[Columna1]],Tabla14[#All],6,0)</f>
        <v>0.87035714285714294</v>
      </c>
      <c r="E63" s="30">
        <f>RUTA476[[#This Row],[Columna3]]*RUTA476[[#This Row],[Columna4]]</f>
        <v>6.9628571428571435</v>
      </c>
    </row>
    <row r="64" spans="1:5">
      <c r="A64" s="30" t="s">
        <v>1841</v>
      </c>
      <c r="B64" s="30" t="s">
        <v>1840</v>
      </c>
      <c r="C64" s="30">
        <v>6</v>
      </c>
      <c r="D64" s="30">
        <f>VLOOKUP(RUTA476[[#This Row],[Columna1]],Tabla14[#All],6,0)</f>
        <v>0.88178571428571428</v>
      </c>
      <c r="E64" s="30">
        <f>RUTA476[[#This Row],[Columna3]]*RUTA476[[#This Row],[Columna4]]</f>
        <v>5.2907142857142855</v>
      </c>
    </row>
    <row r="65" spans="1:5">
      <c r="A65" s="30" t="s">
        <v>1839</v>
      </c>
      <c r="B65" s="30" t="s">
        <v>1838</v>
      </c>
      <c r="C65" s="30">
        <v>8</v>
      </c>
      <c r="D65" s="30">
        <f>VLOOKUP(RUTA476[[#This Row],[Columna1]],Tabla14[#All],6,0)</f>
        <v>0.88178571428571428</v>
      </c>
      <c r="E65" s="30">
        <f>RUTA476[[#This Row],[Columna3]]*RUTA476[[#This Row],[Columna4]]</f>
        <v>7.0542857142857143</v>
      </c>
    </row>
    <row r="66" spans="1:5">
      <c r="A66" s="30" t="s">
        <v>1823</v>
      </c>
      <c r="B66" s="30" t="s">
        <v>1822</v>
      </c>
      <c r="C66" s="30">
        <v>6</v>
      </c>
      <c r="D66" s="30">
        <f>VLOOKUP(RUTA476[[#This Row],[Columna1]],Tabla14[#All],6,0)</f>
        <v>0.88107142857142862</v>
      </c>
      <c r="E66" s="30">
        <f>RUTA476[[#This Row],[Columna3]]*RUTA476[[#This Row],[Columna4]]</f>
        <v>5.2864285714285719</v>
      </c>
    </row>
    <row r="67" spans="1:5">
      <c r="A67" s="30" t="s">
        <v>2136</v>
      </c>
      <c r="B67" s="30" t="s">
        <v>2135</v>
      </c>
      <c r="C67" s="30">
        <v>4</v>
      </c>
      <c r="D67" s="30">
        <f>VLOOKUP(RUTA476[[#This Row],[Columna1]],Tabla14[#All],6,0)</f>
        <v>0.82750000000000001</v>
      </c>
      <c r="E67" s="30">
        <f>RUTA476[[#This Row],[Columna3]]*RUTA476[[#This Row],[Columna4]]</f>
        <v>3.31</v>
      </c>
    </row>
    <row r="68" spans="1:5">
      <c r="A68" s="30" t="s">
        <v>2144</v>
      </c>
      <c r="B68" s="30" t="s">
        <v>2143</v>
      </c>
      <c r="C68" s="30">
        <v>4</v>
      </c>
      <c r="D68" s="30">
        <f>VLOOKUP(RUTA476[[#This Row],[Columna1]],Tabla14[#All],6,0)</f>
        <v>0.82750000000000001</v>
      </c>
      <c r="E68" s="30">
        <f>RUTA476[[#This Row],[Columna3]]*RUTA476[[#This Row],[Columna4]]</f>
        <v>3.31</v>
      </c>
    </row>
    <row r="69" spans="1:5">
      <c r="A69" s="30" t="s">
        <v>2087</v>
      </c>
      <c r="B69" s="30" t="s">
        <v>2086</v>
      </c>
      <c r="C69" s="30">
        <v>4</v>
      </c>
      <c r="D69" s="30">
        <f>VLOOKUP(RUTA476[[#This Row],[Columna1]],Tabla14[#All],6,0)</f>
        <v>0.82750000000000001</v>
      </c>
      <c r="E69" s="30">
        <f>RUTA476[[#This Row],[Columna3]]*RUTA476[[#This Row],[Columna4]]</f>
        <v>3.31</v>
      </c>
    </row>
    <row r="70" spans="1:5">
      <c r="A70" s="30" t="s">
        <v>2198</v>
      </c>
      <c r="B70" s="30" t="s">
        <v>2197</v>
      </c>
      <c r="C70" s="30">
        <v>3</v>
      </c>
      <c r="D70" s="30">
        <f>VLOOKUP(RUTA476[[#This Row],[Columna1]],Tabla14[#All],6,0)</f>
        <v>0.15</v>
      </c>
      <c r="E70" s="30">
        <f>RUTA476[[#This Row],[Columna3]]*RUTA476[[#This Row],[Columna4]]</f>
        <v>0.44999999999999996</v>
      </c>
    </row>
    <row r="71" spans="1:5">
      <c r="A71" s="30" t="s">
        <v>1821</v>
      </c>
      <c r="B71" s="30" t="s">
        <v>1820</v>
      </c>
      <c r="C71" s="30">
        <v>12</v>
      </c>
      <c r="D71" s="30">
        <f>VLOOKUP(RUTA476[[#This Row],[Columna1]],Tabla14[#All],6,0)</f>
        <v>1.3216666666666665</v>
      </c>
      <c r="E71" s="30">
        <f>RUTA476[[#This Row],[Columna3]]*RUTA476[[#This Row],[Columna4]]</f>
        <v>15.86</v>
      </c>
    </row>
    <row r="72" spans="1:5">
      <c r="A72" s="30" t="s">
        <v>708</v>
      </c>
      <c r="B72" s="30" t="s">
        <v>2252</v>
      </c>
      <c r="C72" s="30">
        <v>3</v>
      </c>
      <c r="D72" s="30">
        <f>VLOOKUP(RUTA476[[#This Row],[Columna1]],Tabla14[#All],6,0)</f>
        <v>4.1666666666666664E-2</v>
      </c>
      <c r="E72" s="30">
        <f>RUTA476[[#This Row],[Columna3]]*RUTA476[[#This Row],[Columna4]]</f>
        <v>0.125</v>
      </c>
    </row>
    <row r="73" spans="1:5">
      <c r="A73" s="30" t="s">
        <v>2150</v>
      </c>
      <c r="B73" s="30" t="s">
        <v>2149</v>
      </c>
      <c r="C73" s="30">
        <v>1</v>
      </c>
      <c r="D73" s="30">
        <f>VLOOKUP(RUTA476[[#This Row],[Columna1]],Tabla14[#All],6,0)</f>
        <v>3</v>
      </c>
      <c r="E73" s="30">
        <f>RUTA476[[#This Row],[Columna3]]*RUTA476[[#This Row],[Columna4]]</f>
        <v>3</v>
      </c>
    </row>
    <row r="74" spans="1:5">
      <c r="A74" s="30" t="s">
        <v>2244</v>
      </c>
      <c r="B74" s="30" t="s">
        <v>2243</v>
      </c>
      <c r="C74" s="30">
        <v>1</v>
      </c>
      <c r="D74" s="30">
        <f>VLOOKUP(RUTA476[[#This Row],[Columna1]],Tabla14[#All],6,0)</f>
        <v>0.22</v>
      </c>
      <c r="E74" s="30">
        <f>RUTA476[[#This Row],[Columna3]]*RUTA476[[#This Row],[Columna4]]</f>
        <v>0.22</v>
      </c>
    </row>
    <row r="75" spans="1:5">
      <c r="A75" s="30" t="s">
        <v>2246</v>
      </c>
      <c r="B75" s="30" t="s">
        <v>2245</v>
      </c>
      <c r="C75" s="30">
        <v>3</v>
      </c>
      <c r="D75" s="30">
        <f>VLOOKUP(RUTA476[[#This Row],[Columna1]],Tabla14[#All],6,0)</f>
        <v>0.1</v>
      </c>
      <c r="E75" s="30">
        <f>RUTA476[[#This Row],[Columna3]]*RUTA476[[#This Row],[Columna4]]</f>
        <v>0.30000000000000004</v>
      </c>
    </row>
    <row r="76" spans="1:5">
      <c r="A76" s="30" t="s">
        <v>706</v>
      </c>
      <c r="B76" s="30" t="s">
        <v>705</v>
      </c>
      <c r="C76" s="30">
        <v>9</v>
      </c>
      <c r="D76" s="30">
        <f>VLOOKUP(RUTA476[[#This Row],[Columna1]],Tabla14[#All],6,0)</f>
        <v>0.70833333333333337</v>
      </c>
      <c r="E76" s="30">
        <f>RUTA476[[#This Row],[Columna3]]*RUTA476[[#This Row],[Columna4]]</f>
        <v>6.375</v>
      </c>
    </row>
    <row r="77" spans="1:5">
      <c r="A77" s="30" t="s">
        <v>55</v>
      </c>
      <c r="B77" s="30" t="s">
        <v>54</v>
      </c>
      <c r="C77" s="30">
        <v>1</v>
      </c>
      <c r="D77" s="30">
        <f>VLOOKUP(RUTA476[[#This Row],[Columna1]],Tabla14[#All],6,0)</f>
        <v>0.34375</v>
      </c>
      <c r="E77" s="30">
        <f>RUTA476[[#This Row],[Columna3]]*RUTA476[[#This Row],[Columna4]]</f>
        <v>0.34375</v>
      </c>
    </row>
    <row r="78" spans="1:5">
      <c r="A78" s="30" t="s">
        <v>2068</v>
      </c>
      <c r="B78" s="30" t="s">
        <v>2067</v>
      </c>
      <c r="C78" s="30">
        <v>8</v>
      </c>
      <c r="D78" s="30">
        <f>VLOOKUP(RUTA476[[#This Row],[Columna1]],Tabla14[#All],6,0)</f>
        <v>1.1008333333333333</v>
      </c>
      <c r="E78" s="30">
        <f>RUTA476[[#This Row],[Columna3]]*RUTA476[[#This Row],[Columna4]]</f>
        <v>8.8066666666666666</v>
      </c>
    </row>
    <row r="79" spans="1:5">
      <c r="A79" s="30" t="s">
        <v>1659</v>
      </c>
      <c r="B79" s="30" t="s">
        <v>2184</v>
      </c>
      <c r="C79" s="30">
        <v>12</v>
      </c>
      <c r="D79" s="30">
        <f>VLOOKUP(RUTA476[[#This Row],[Columna1]],Tabla14[#All],6,0)</f>
        <v>1.1016666666666668</v>
      </c>
      <c r="E79" s="30">
        <f>RUTA476[[#This Row],[Columna3]]*RUTA476[[#This Row],[Columna4]]</f>
        <v>13.220000000000002</v>
      </c>
    </row>
    <row r="80" spans="1:5">
      <c r="A80" s="30" t="s">
        <v>1657</v>
      </c>
      <c r="B80" s="30" t="s">
        <v>2167</v>
      </c>
      <c r="C80" s="30">
        <v>24</v>
      </c>
      <c r="D80" s="30">
        <f>VLOOKUP(RUTA476[[#This Row],[Columna1]],Tabla14[#All],6,0)</f>
        <v>1.1016666666666668</v>
      </c>
      <c r="E80" s="30">
        <f>RUTA476[[#This Row],[Columna3]]*RUTA476[[#This Row],[Columna4]]</f>
        <v>26.440000000000005</v>
      </c>
    </row>
    <row r="81" spans="1:5">
      <c r="A81" s="30" t="s">
        <v>13</v>
      </c>
      <c r="B81" s="30" t="s">
        <v>12</v>
      </c>
      <c r="C81" s="30">
        <v>22</v>
      </c>
      <c r="D81" s="30">
        <f>VLOOKUP(RUTA476[[#This Row],[Columna1]],Tabla14[#All],6,0)</f>
        <v>3.1091666666666669</v>
      </c>
      <c r="E81" s="30">
        <f>RUTA476[[#This Row],[Columna3]]*RUTA476[[#This Row],[Columna4]]</f>
        <v>68.401666666666671</v>
      </c>
    </row>
    <row r="82" spans="1:5">
      <c r="A82" s="30" t="s">
        <v>109</v>
      </c>
      <c r="B82" s="30" t="s">
        <v>108</v>
      </c>
      <c r="C82" s="30">
        <v>537</v>
      </c>
      <c r="D82" s="30">
        <f>VLOOKUP(RUTA476[[#This Row],[Columna1]],Tabla14[#All],6,0)</f>
        <v>0.44166666666666665</v>
      </c>
      <c r="E82" s="30">
        <f>RUTA476[[#This Row],[Columna3]]*RUTA476[[#This Row],[Columna4]]</f>
        <v>237.17499999999998</v>
      </c>
    </row>
    <row r="83" spans="1:5">
      <c r="A83" s="30" t="s">
        <v>107</v>
      </c>
      <c r="B83" s="30" t="s">
        <v>106</v>
      </c>
      <c r="C83" s="30">
        <v>846</v>
      </c>
      <c r="D83" s="30">
        <f>VLOOKUP(RUTA476[[#This Row],[Columna1]],Tabla14[#All],6,0)</f>
        <v>0.44166666666666665</v>
      </c>
      <c r="E83" s="30">
        <f>RUTA476[[#This Row],[Columna3]]*RUTA476[[#This Row],[Columna4]]</f>
        <v>373.65</v>
      </c>
    </row>
    <row r="84" spans="1:5">
      <c r="A84" s="30" t="s">
        <v>480</v>
      </c>
      <c r="B84" s="30" t="s">
        <v>479</v>
      </c>
      <c r="C84" s="30">
        <v>12</v>
      </c>
      <c r="D84" s="30">
        <f>VLOOKUP(RUTA476[[#This Row],[Columna1]],Tabla14[#All],6,0)</f>
        <v>0.55208333333333337</v>
      </c>
      <c r="E84" s="30">
        <f>RUTA476[[#This Row],[Columna3]]*RUTA476[[#This Row],[Columna4]]</f>
        <v>6.625</v>
      </c>
    </row>
    <row r="85" spans="1:5">
      <c r="A85" s="30" t="s">
        <v>100</v>
      </c>
      <c r="B85" s="30" t="s">
        <v>99</v>
      </c>
      <c r="C85" s="30">
        <v>12</v>
      </c>
      <c r="D85" s="30">
        <f>VLOOKUP(RUTA476[[#This Row],[Columna1]],Tabla14[#All],6,0)</f>
        <v>0.55208333333333337</v>
      </c>
      <c r="E85" s="30">
        <f>RUTA476[[#This Row],[Columna3]]*RUTA476[[#This Row],[Columna4]]</f>
        <v>6.625</v>
      </c>
    </row>
    <row r="86" spans="1:5">
      <c r="A86" s="30" t="s">
        <v>533</v>
      </c>
      <c r="B86" s="30" t="s">
        <v>532</v>
      </c>
      <c r="C86" s="30">
        <v>66</v>
      </c>
      <c r="D86" s="30">
        <f>VLOOKUP(RUTA476[[#This Row],[Columna1]],Tabla14[#All],6,0)</f>
        <v>0.5</v>
      </c>
      <c r="E86" s="30">
        <f>RUTA476[[#This Row],[Columna3]]*RUTA476[[#This Row],[Columna4]]</f>
        <v>33</v>
      </c>
    </row>
    <row r="87" spans="1:5">
      <c r="A87" s="30" t="s">
        <v>119</v>
      </c>
      <c r="B87" s="30" t="s">
        <v>118</v>
      </c>
      <c r="C87" s="30">
        <v>30</v>
      </c>
      <c r="D87" s="30">
        <f>VLOOKUP(RUTA476[[#This Row],[Columna1]],Tabla14[#All],6,0)</f>
        <v>0.875</v>
      </c>
      <c r="E87" s="30">
        <f>RUTA476[[#This Row],[Columna3]]*RUTA476[[#This Row],[Columna4]]</f>
        <v>26.25</v>
      </c>
    </row>
    <row r="88" spans="1:5">
      <c r="A88" s="30" t="s">
        <v>492</v>
      </c>
      <c r="B88" s="30" t="s">
        <v>491</v>
      </c>
      <c r="C88" s="30">
        <v>6</v>
      </c>
      <c r="D88" s="30">
        <f>VLOOKUP(RUTA476[[#This Row],[Columna1]],Tabla14[#All],6,0)</f>
        <v>0.82708333333333339</v>
      </c>
      <c r="E88" s="30">
        <f>RUTA476[[#This Row],[Columna3]]*RUTA476[[#This Row],[Columna4]]</f>
        <v>4.9625000000000004</v>
      </c>
    </row>
    <row r="89" spans="1:5">
      <c r="A89" s="30" t="s">
        <v>490</v>
      </c>
      <c r="B89" s="30" t="s">
        <v>2277</v>
      </c>
      <c r="C89" s="30">
        <v>1</v>
      </c>
      <c r="D89" s="30">
        <f>VLOOKUP(RUTA476[[#This Row],[Columna1]],Tabla14[#All],6,0)</f>
        <v>1.7125000000000001</v>
      </c>
      <c r="E89" s="30">
        <f>RUTA476[[#This Row],[Columna3]]*RUTA476[[#This Row],[Columna4]]</f>
        <v>1.7125000000000001</v>
      </c>
    </row>
    <row r="90" spans="1:5">
      <c r="A90" s="30" t="s">
        <v>504</v>
      </c>
      <c r="B90" s="30" t="s">
        <v>503</v>
      </c>
      <c r="C90" s="30">
        <v>24</v>
      </c>
      <c r="D90" s="30">
        <f>VLOOKUP(RUTA476[[#This Row],[Columna1]],Tabla14[#All],6,0)</f>
        <v>2.2083333333333335</v>
      </c>
      <c r="E90" s="30">
        <f>RUTA476[[#This Row],[Columna3]]*RUTA476[[#This Row],[Columna4]]</f>
        <v>53</v>
      </c>
    </row>
    <row r="91" spans="1:5">
      <c r="A91" s="30" t="s">
        <v>103</v>
      </c>
      <c r="B91" s="30" t="s">
        <v>1147</v>
      </c>
      <c r="C91" s="30">
        <v>720</v>
      </c>
      <c r="D91" s="30">
        <f>VLOOKUP(RUTA476[[#This Row],[Columna1]],Tabla14[#All],6,0)</f>
        <v>0.72916666666666663</v>
      </c>
      <c r="E91" s="30">
        <f>RUTA476[[#This Row],[Columna3]]*RUTA476[[#This Row],[Columna4]]</f>
        <v>525</v>
      </c>
    </row>
    <row r="92" spans="1:5">
      <c r="A92" s="30" t="s">
        <v>535</v>
      </c>
      <c r="B92" s="30" t="s">
        <v>534</v>
      </c>
      <c r="C92" s="30">
        <v>42</v>
      </c>
      <c r="D92" s="30">
        <f>VLOOKUP(RUTA476[[#This Row],[Columna1]],Tabla14[#All],6,0)</f>
        <v>1.75</v>
      </c>
      <c r="E92" s="30">
        <f>RUTA476[[#This Row],[Columna3]]*RUTA476[[#This Row],[Columna4]]</f>
        <v>73.5</v>
      </c>
    </row>
    <row r="93" spans="1:5">
      <c r="A93" s="30" t="s">
        <v>512</v>
      </c>
      <c r="B93" s="30" t="s">
        <v>2236</v>
      </c>
      <c r="C93" s="30">
        <v>36</v>
      </c>
      <c r="D93" s="30">
        <f>VLOOKUP(RUTA476[[#This Row],[Columna1]],Tabla14[#All],6,0)</f>
        <v>0.72916666666666663</v>
      </c>
      <c r="E93" s="30">
        <f>RUTA476[[#This Row],[Columna3]]*RUTA476[[#This Row],[Columna4]]</f>
        <v>26.25</v>
      </c>
    </row>
    <row r="94" spans="1:5">
      <c r="A94" s="30" t="s">
        <v>519</v>
      </c>
      <c r="B94" s="30" t="s">
        <v>518</v>
      </c>
      <c r="C94" s="30">
        <v>6</v>
      </c>
      <c r="D94" s="30">
        <f>VLOOKUP(RUTA476[[#This Row],[Columna1]],Tabla14[#All],6,0)</f>
        <v>0.5</v>
      </c>
      <c r="E94" s="30">
        <f>RUTA476[[#This Row],[Columna3]]*RUTA476[[#This Row],[Columna4]]</f>
        <v>3</v>
      </c>
    </row>
    <row r="95" spans="1:5">
      <c r="A95" s="30" t="s">
        <v>92</v>
      </c>
      <c r="B95" s="30" t="s">
        <v>91</v>
      </c>
      <c r="C95" s="30">
        <v>6</v>
      </c>
      <c r="D95" s="30">
        <f>VLOOKUP(RUTA476[[#This Row],[Columna1]],Tabla14[#All],6,0)</f>
        <v>5.5</v>
      </c>
      <c r="E95" s="30">
        <f>RUTA476[[#This Row],[Columna3]]*RUTA476[[#This Row],[Columna4]]</f>
        <v>33</v>
      </c>
    </row>
    <row r="96" spans="1:5">
      <c r="A96" s="30" t="s">
        <v>468</v>
      </c>
      <c r="B96" s="30" t="s">
        <v>467</v>
      </c>
      <c r="C96" s="30">
        <v>6</v>
      </c>
      <c r="D96" s="30">
        <f>VLOOKUP(RUTA476[[#This Row],[Columna1]],Tabla14[#All],6,0)</f>
        <v>5.5</v>
      </c>
      <c r="E96" s="30">
        <f>RUTA476[[#This Row],[Columna3]]*RUTA476[[#This Row],[Columna4]]</f>
        <v>33</v>
      </c>
    </row>
    <row r="97" spans="1:5">
      <c r="A97" s="30" t="s">
        <v>2228</v>
      </c>
      <c r="B97" s="30" t="s">
        <v>2227</v>
      </c>
      <c r="C97" s="30">
        <v>547</v>
      </c>
      <c r="D97" s="30">
        <f>VLOOKUP(RUTA476[[#This Row],[Columna1]],Tabla14[#All],6,0)</f>
        <v>0.33958333333333335</v>
      </c>
      <c r="E97" s="30">
        <f>RUTA476[[#This Row],[Columna3]]*RUTA476[[#This Row],[Columna4]]</f>
        <v>185.75208333333333</v>
      </c>
    </row>
    <row r="98" spans="1:5">
      <c r="A98" s="30" t="s">
        <v>1716</v>
      </c>
      <c r="B98" s="30" t="s">
        <v>1715</v>
      </c>
      <c r="C98" s="30">
        <v>41</v>
      </c>
      <c r="D98" s="30">
        <f>VLOOKUP(RUTA476[[#This Row],[Columna1]],Tabla14[#All],6,0)</f>
        <v>0.25</v>
      </c>
      <c r="E98" s="30">
        <f>RUTA476[[#This Row],[Columna3]]*RUTA476[[#This Row],[Columna4]]</f>
        <v>10.25</v>
      </c>
    </row>
    <row r="99" spans="1:5">
      <c r="A99" s="30" t="s">
        <v>531</v>
      </c>
      <c r="B99" s="30" t="s">
        <v>530</v>
      </c>
      <c r="C99" s="30">
        <v>30</v>
      </c>
      <c r="D99" s="30">
        <f>VLOOKUP(RUTA476[[#This Row],[Columna1]],Tabla14[#All],6,0)</f>
        <v>1.8125</v>
      </c>
      <c r="E99" s="30">
        <f>RUTA476[[#This Row],[Columna3]]*RUTA476[[#This Row],[Columna4]]</f>
        <v>54.375</v>
      </c>
    </row>
    <row r="100" spans="1:5">
      <c r="A100" s="30" t="s">
        <v>115</v>
      </c>
      <c r="B100" s="30" t="s">
        <v>114</v>
      </c>
      <c r="C100" s="30">
        <v>42</v>
      </c>
      <c r="D100" s="30">
        <f>VLOOKUP(RUTA476[[#This Row],[Columna1]],Tabla14[#All],6,0)</f>
        <v>0.65625</v>
      </c>
      <c r="E100" s="30">
        <f>RUTA476[[#This Row],[Columna3]]*RUTA476[[#This Row],[Columna4]]</f>
        <v>27.5625</v>
      </c>
    </row>
    <row r="101" spans="1:5">
      <c r="A101" s="30" t="s">
        <v>529</v>
      </c>
      <c r="B101" s="30" t="s">
        <v>528</v>
      </c>
      <c r="C101" s="30">
        <v>254</v>
      </c>
      <c r="D101" s="30">
        <f>VLOOKUP(RUTA476[[#This Row],[Columna1]],Tabla14[#All],6,0)</f>
        <v>0.34375</v>
      </c>
      <c r="E101" s="30">
        <f>RUTA476[[#This Row],[Columna3]]*RUTA476[[#This Row],[Columna4]]</f>
        <v>87.3125</v>
      </c>
    </row>
    <row r="102" spans="1:5">
      <c r="A102" s="30" t="s">
        <v>94</v>
      </c>
      <c r="B102" s="30" t="s">
        <v>93</v>
      </c>
      <c r="C102" s="30">
        <v>6</v>
      </c>
      <c r="D102" s="30">
        <f>VLOOKUP(RUTA476[[#This Row],[Columna1]],Tabla14[#All],6,0)</f>
        <v>0.375</v>
      </c>
      <c r="E102" s="30">
        <f>RUTA476[[#This Row],[Columna3]]*RUTA476[[#This Row],[Columna4]]</f>
        <v>2.25</v>
      </c>
    </row>
    <row r="103" spans="1:5">
      <c r="A103" s="30" t="s">
        <v>96</v>
      </c>
      <c r="B103" s="30" t="s">
        <v>95</v>
      </c>
      <c r="C103" s="30">
        <v>24</v>
      </c>
      <c r="D103" s="30">
        <f>VLOOKUP(RUTA476[[#This Row],[Columna1]],Tabla14[#All],6,0)</f>
        <v>0.25</v>
      </c>
      <c r="E103" s="30">
        <f>RUTA476[[#This Row],[Columna3]]*RUTA476[[#This Row],[Columna4]]</f>
        <v>6</v>
      </c>
    </row>
    <row r="104" spans="1:5">
      <c r="A104" s="30" t="s">
        <v>113</v>
      </c>
      <c r="B104" s="30" t="s">
        <v>112</v>
      </c>
      <c r="C104" s="30">
        <v>40</v>
      </c>
      <c r="D104" s="30">
        <f>VLOOKUP(RUTA476[[#This Row],[Columna1]],Tabla14[#All],6,0)</f>
        <v>0.9375</v>
      </c>
      <c r="E104" s="30">
        <f>RUTA476[[#This Row],[Columna3]]*RUTA476[[#This Row],[Columna4]]</f>
        <v>37.5</v>
      </c>
    </row>
    <row r="105" spans="1:5">
      <c r="A105" s="30" t="s">
        <v>425</v>
      </c>
      <c r="B105" s="30" t="s">
        <v>424</v>
      </c>
      <c r="C105" s="30">
        <v>2</v>
      </c>
      <c r="D105" s="30">
        <f>VLOOKUP(RUTA476[[#This Row],[Columna1]],Tabla14[#All],6,0)</f>
        <v>8.8888888888888892E-2</v>
      </c>
      <c r="E105" s="30">
        <f>RUTA476[[#This Row],[Columna3]]*RUTA476[[#This Row],[Columna4]]</f>
        <v>0.17777777777777778</v>
      </c>
    </row>
    <row r="106" spans="1:5">
      <c r="A106" s="30" t="s">
        <v>347</v>
      </c>
      <c r="B106" s="30" t="s">
        <v>346</v>
      </c>
      <c r="C106" s="30">
        <v>2</v>
      </c>
      <c r="D106" s="30">
        <f>VLOOKUP(RUTA476[[#This Row],[Columna1]],Tabla14[#All],6,0)</f>
        <v>2.65</v>
      </c>
      <c r="E106" s="30">
        <f>RUTA476[[#This Row],[Columna3]]*RUTA476[[#This Row],[Columna4]]</f>
        <v>5.3</v>
      </c>
    </row>
    <row r="107" spans="1:5">
      <c r="A107" s="30" t="s">
        <v>345</v>
      </c>
      <c r="B107" s="30" t="s">
        <v>344</v>
      </c>
      <c r="C107" s="30">
        <v>1</v>
      </c>
      <c r="D107" s="30">
        <f>VLOOKUP(RUTA476[[#This Row],[Columna1]],Tabla14[#All],6,0)</f>
        <v>2.65</v>
      </c>
      <c r="E107" s="30">
        <f>RUTA476[[#This Row],[Columna3]]*RUTA476[[#This Row],[Columna4]]</f>
        <v>2.65</v>
      </c>
    </row>
    <row r="108" spans="1:5">
      <c r="A108" s="30" t="s">
        <v>403</v>
      </c>
      <c r="B108" s="30" t="s">
        <v>402</v>
      </c>
      <c r="C108" s="30">
        <v>1</v>
      </c>
      <c r="D108" s="30">
        <f>VLOOKUP(RUTA476[[#This Row],[Columna1]],Tabla14[#All],6,0)</f>
        <v>2.1166666666666667</v>
      </c>
      <c r="E108" s="30">
        <f>RUTA476[[#This Row],[Columna3]]*RUTA476[[#This Row],[Columna4]]</f>
        <v>2.1166666666666667</v>
      </c>
    </row>
    <row r="109" spans="1:5">
      <c r="A109" s="30" t="s">
        <v>401</v>
      </c>
      <c r="B109" s="30" t="s">
        <v>400</v>
      </c>
      <c r="C109" s="30">
        <v>1</v>
      </c>
      <c r="D109" s="30">
        <f>VLOOKUP(RUTA476[[#This Row],[Columna1]],Tabla14[#All],6,0)</f>
        <v>2.1166666666666667</v>
      </c>
      <c r="E109" s="30">
        <f>RUTA476[[#This Row],[Columna3]]*RUTA476[[#This Row],[Columna4]]</f>
        <v>2.1166666666666667</v>
      </c>
    </row>
    <row r="110" spans="1:5">
      <c r="A110" s="30" t="s">
        <v>431</v>
      </c>
      <c r="B110" s="30" t="s">
        <v>430</v>
      </c>
      <c r="C110" s="30">
        <v>4</v>
      </c>
      <c r="D110" s="30">
        <f>VLOOKUP(RUTA476[[#This Row],[Columna1]],Tabla14[#All],6,0)</f>
        <v>2.1166666666666667</v>
      </c>
      <c r="E110" s="30">
        <f>RUTA476[[#This Row],[Columna3]]*RUTA476[[#This Row],[Columna4]]</f>
        <v>8.4666666666666668</v>
      </c>
    </row>
    <row r="111" spans="1:5">
      <c r="A111" s="30" t="s">
        <v>1081</v>
      </c>
      <c r="B111" s="30" t="s">
        <v>1080</v>
      </c>
      <c r="C111" s="30">
        <v>1</v>
      </c>
      <c r="D111" s="30">
        <f>VLOOKUP(RUTA476[[#This Row],[Columna1]],Tabla14[#All],6,0)</f>
        <v>2.1166666666666667</v>
      </c>
      <c r="E111" s="30">
        <f>RUTA476[[#This Row],[Columna3]]*RUTA476[[#This Row],[Columna4]]</f>
        <v>2.1166666666666667</v>
      </c>
    </row>
    <row r="112" spans="1:5">
      <c r="A112" s="30" t="s">
        <v>387</v>
      </c>
      <c r="B112" s="30" t="s">
        <v>2271</v>
      </c>
      <c r="C112" s="30">
        <v>20</v>
      </c>
      <c r="D112" s="30">
        <f>VLOOKUP(RUTA476[[#This Row],[Columna1]],Tabla14[#All],6,0)</f>
        <v>0.88249999999999995</v>
      </c>
      <c r="E112" s="30">
        <f>RUTA476[[#This Row],[Columna3]]*RUTA476[[#This Row],[Columna4]]</f>
        <v>17.649999999999999</v>
      </c>
    </row>
    <row r="113" spans="1:5">
      <c r="A113" s="30" t="s">
        <v>429</v>
      </c>
      <c r="B113" s="30" t="s">
        <v>428</v>
      </c>
      <c r="C113" s="30">
        <v>1</v>
      </c>
      <c r="D113" s="30">
        <f>VLOOKUP(RUTA476[[#This Row],[Columna1]],Tabla14[#All],6,0)</f>
        <v>2.1166666666666667</v>
      </c>
      <c r="E113" s="30">
        <f>RUTA476[[#This Row],[Columna3]]*RUTA476[[#This Row],[Columna4]]</f>
        <v>2.1166666666666667</v>
      </c>
    </row>
    <row r="114" spans="1:5">
      <c r="A114" s="30" t="s">
        <v>45</v>
      </c>
      <c r="B114" s="30" t="s">
        <v>2170</v>
      </c>
      <c r="C114" s="30">
        <v>2</v>
      </c>
      <c r="D114" s="30">
        <f>VLOOKUP(RUTA476[[#This Row],[Columna1]],Tabla14[#All],6,0)</f>
        <v>0.5</v>
      </c>
      <c r="E114" s="30">
        <f>RUTA476[[#This Row],[Columna3]]*RUTA476[[#This Row],[Columna4]]</f>
        <v>1</v>
      </c>
    </row>
    <row r="115" spans="1:5">
      <c r="A115" s="30" t="s">
        <v>47</v>
      </c>
      <c r="B115" s="30" t="s">
        <v>46</v>
      </c>
      <c r="C115" s="30">
        <v>1</v>
      </c>
      <c r="D115" s="30">
        <f>VLOOKUP(RUTA476[[#This Row],[Columna1]],Tabla14[#All],6,0)</f>
        <v>2.1166666666666667</v>
      </c>
      <c r="E115" s="30">
        <f>RUTA476[[#This Row],[Columna3]]*RUTA476[[#This Row],[Columna4]]</f>
        <v>2.1166666666666667</v>
      </c>
    </row>
    <row r="116" spans="1:5">
      <c r="A116" s="30" t="s">
        <v>31</v>
      </c>
      <c r="B116" s="30" t="s">
        <v>30</v>
      </c>
      <c r="C116" s="30">
        <v>24</v>
      </c>
      <c r="D116" s="30">
        <f>VLOOKUP(RUTA476[[#This Row],[Columna1]],Tabla14[#All],6,0)</f>
        <v>0.11</v>
      </c>
      <c r="E116" s="30">
        <f>RUTA476[[#This Row],[Columna3]]*RUTA476[[#This Row],[Columna4]]</f>
        <v>2.64</v>
      </c>
    </row>
    <row r="117" spans="1:5">
      <c r="A117" s="30" t="s">
        <v>395</v>
      </c>
      <c r="B117" s="30" t="s">
        <v>2237</v>
      </c>
      <c r="C117" s="30">
        <v>21</v>
      </c>
      <c r="D117" s="30">
        <f>VLOOKUP(RUTA476[[#This Row],[Columna1]],Tabla14[#All],6,0)</f>
        <v>0.47499999999999998</v>
      </c>
      <c r="E117" s="30">
        <f>RUTA476[[#This Row],[Columna3]]*RUTA476[[#This Row],[Columna4]]</f>
        <v>9.9749999999999996</v>
      </c>
    </row>
    <row r="118" spans="1:5">
      <c r="A118" s="30" t="s">
        <v>1933</v>
      </c>
      <c r="B118" s="30" t="s">
        <v>1934</v>
      </c>
      <c r="C118" s="30">
        <v>1</v>
      </c>
      <c r="D118" s="30">
        <f>VLOOKUP(RUTA476[[#This Row],[Columna1]],Tabla14[#All],6,0)</f>
        <v>0.35625000000000001</v>
      </c>
      <c r="E118" s="30">
        <f>RUTA476[[#This Row],[Columna3]]*RUTA476[[#This Row],[Columna4]]</f>
        <v>0.35625000000000001</v>
      </c>
    </row>
    <row r="119" spans="1:5">
      <c r="A119" s="30" t="s">
        <v>5</v>
      </c>
      <c r="B119" s="30" t="s">
        <v>4</v>
      </c>
      <c r="C119" s="30">
        <v>4</v>
      </c>
      <c r="D119" s="30">
        <f>VLOOKUP(RUTA476[[#This Row],[Columna1]],Tabla14[#All],6,0)</f>
        <v>1.1041666666666667</v>
      </c>
      <c r="E119" s="30">
        <f>RUTA476[[#This Row],[Columna3]]*RUTA476[[#This Row],[Columna4]]</f>
        <v>4.416666666666667</v>
      </c>
    </row>
    <row r="120" spans="1:5">
      <c r="A120" s="30" t="s">
        <v>339</v>
      </c>
      <c r="B120" s="30" t="s">
        <v>338</v>
      </c>
      <c r="C120" s="30">
        <v>18</v>
      </c>
      <c r="D120" s="30">
        <f>VLOOKUP(RUTA476[[#This Row],[Columna1]],Tabla14[#All],6,0)</f>
        <v>1.1041666666666667</v>
      </c>
      <c r="E120" s="30">
        <f>RUTA476[[#This Row],[Columna3]]*RUTA476[[#This Row],[Columna4]]</f>
        <v>19.875</v>
      </c>
    </row>
    <row r="121" spans="1:5">
      <c r="A121" s="30" t="s">
        <v>343</v>
      </c>
      <c r="B121" s="30" t="s">
        <v>342</v>
      </c>
      <c r="C121" s="30">
        <v>12</v>
      </c>
      <c r="D121" s="30">
        <f>VLOOKUP(RUTA476[[#This Row],[Columna1]],Tabla14[#All],6,0)</f>
        <v>1.1041666666666667</v>
      </c>
      <c r="E121" s="30">
        <f>RUTA476[[#This Row],[Columna3]]*RUTA476[[#This Row],[Columna4]]</f>
        <v>13.25</v>
      </c>
    </row>
    <row r="122" spans="1:5">
      <c r="A122" s="30" t="s">
        <v>3</v>
      </c>
      <c r="B122" s="30" t="s">
        <v>2</v>
      </c>
      <c r="C122" s="30">
        <v>18</v>
      </c>
      <c r="D122" s="30">
        <f>VLOOKUP(RUTA476[[#This Row],[Columna1]],Tabla14[#All],6,0)</f>
        <v>1.1041666666666667</v>
      </c>
      <c r="E122" s="30">
        <f>RUTA476[[#This Row],[Columna3]]*RUTA476[[#This Row],[Columna4]]</f>
        <v>19.875</v>
      </c>
    </row>
    <row r="123" spans="1:5">
      <c r="A123" s="30" t="s">
        <v>1694</v>
      </c>
      <c r="B123" s="30" t="s">
        <v>1693</v>
      </c>
      <c r="C123" s="30">
        <v>9</v>
      </c>
      <c r="D123" s="30">
        <f>VLOOKUP(RUTA476[[#This Row],[Columna1]],Tabla14[#All],6,0)</f>
        <v>0.6</v>
      </c>
      <c r="E123" s="30">
        <f>RUTA476[[#This Row],[Columna3]]*RUTA476[[#This Row],[Columna4]]</f>
        <v>5.3999999999999995</v>
      </c>
    </row>
    <row r="124" spans="1:5">
      <c r="A124" s="30" t="s">
        <v>1738</v>
      </c>
      <c r="B124" s="30" t="s">
        <v>1737</v>
      </c>
      <c r="C124" s="30">
        <v>4</v>
      </c>
      <c r="D124" s="30">
        <f>VLOOKUP(RUTA476[[#This Row],[Columna1]],Tabla14[#All],6,0)</f>
        <v>0.6</v>
      </c>
      <c r="E124" s="30">
        <f>RUTA476[[#This Row],[Columna3]]*RUTA476[[#This Row],[Columna4]]</f>
        <v>2.4</v>
      </c>
    </row>
    <row r="125" spans="1:5">
      <c r="A125" s="30" t="s">
        <v>1718</v>
      </c>
      <c r="B125" s="30" t="s">
        <v>1717</v>
      </c>
      <c r="C125" s="30">
        <v>2</v>
      </c>
      <c r="D125" s="30">
        <f>VLOOKUP(RUTA476[[#This Row],[Columna1]],Tabla14[#All],6,0)</f>
        <v>0.6</v>
      </c>
      <c r="E125" s="30">
        <f>RUTA476[[#This Row],[Columna3]]*RUTA476[[#This Row],[Columna4]]</f>
        <v>1.2</v>
      </c>
    </row>
    <row r="126" spans="1:5">
      <c r="A126" s="30" t="s">
        <v>1696</v>
      </c>
      <c r="B126" s="30" t="s">
        <v>1695</v>
      </c>
      <c r="C126" s="30">
        <v>2</v>
      </c>
      <c r="D126" s="30">
        <f>VLOOKUP(RUTA476[[#This Row],[Columna1]],Tabla14[#All],6,0)</f>
        <v>0.6</v>
      </c>
      <c r="E126" s="30">
        <f>RUTA476[[#This Row],[Columna3]]*RUTA476[[#This Row],[Columna4]]</f>
        <v>1.2</v>
      </c>
    </row>
    <row r="127" spans="1:5">
      <c r="A127" s="30" t="s">
        <v>1712</v>
      </c>
      <c r="B127" s="30" t="s">
        <v>1711</v>
      </c>
      <c r="C127" s="30">
        <v>7</v>
      </c>
      <c r="D127" s="30">
        <f>VLOOKUP(RUTA476[[#This Row],[Columna1]],Tabla14[#All],6,0)</f>
        <v>0.6</v>
      </c>
      <c r="E127" s="30">
        <f>RUTA476[[#This Row],[Columna3]]*RUTA476[[#This Row],[Columna4]]</f>
        <v>4.2</v>
      </c>
    </row>
    <row r="128" spans="1:5">
      <c r="A128" s="30" t="s">
        <v>1710</v>
      </c>
      <c r="B128" s="30" t="s">
        <v>1709</v>
      </c>
      <c r="C128" s="30">
        <v>2</v>
      </c>
      <c r="D128" s="30">
        <f>VLOOKUP(RUTA476[[#This Row],[Columna1]],Tabla14[#All],6,0)</f>
        <v>0.6</v>
      </c>
      <c r="E128" s="30">
        <f>RUTA476[[#This Row],[Columna3]]*RUTA476[[#This Row],[Columna4]]</f>
        <v>1.2</v>
      </c>
    </row>
    <row r="129" spans="1:5">
      <c r="A129" s="30" t="s">
        <v>1722</v>
      </c>
      <c r="B129" s="30" t="s">
        <v>1721</v>
      </c>
      <c r="C129" s="30">
        <v>5</v>
      </c>
      <c r="D129" s="30">
        <f>VLOOKUP(RUTA476[[#This Row],[Columna1]],Tabla14[#All],6,0)</f>
        <v>0.6</v>
      </c>
      <c r="E129" s="30">
        <f>RUTA476[[#This Row],[Columna3]]*RUTA476[[#This Row],[Columna4]]</f>
        <v>3</v>
      </c>
    </row>
    <row r="130" spans="1:5">
      <c r="A130" s="30" t="s">
        <v>1740</v>
      </c>
      <c r="B130" s="30" t="s">
        <v>1739</v>
      </c>
      <c r="C130" s="30">
        <v>2</v>
      </c>
      <c r="D130" s="30">
        <f>VLOOKUP(RUTA476[[#This Row],[Columna1]],Tabla14[#All],6,0)</f>
        <v>0.6</v>
      </c>
      <c r="E130" s="30">
        <f>RUTA476[[#This Row],[Columna3]]*RUTA476[[#This Row],[Columna4]]</f>
        <v>1.2</v>
      </c>
    </row>
    <row r="131" spans="1:5">
      <c r="A131" s="30" t="s">
        <v>1708</v>
      </c>
      <c r="B131" s="30" t="s">
        <v>1707</v>
      </c>
      <c r="C131" s="30">
        <v>7</v>
      </c>
      <c r="D131" s="30">
        <f>VLOOKUP(RUTA476[[#This Row],[Columna1]],Tabla14[#All],6,0)</f>
        <v>0.6</v>
      </c>
      <c r="E131" s="30">
        <f>RUTA476[[#This Row],[Columna3]]*RUTA476[[#This Row],[Columna4]]</f>
        <v>4.2</v>
      </c>
    </row>
    <row r="132" spans="1:5">
      <c r="A132" s="30" t="s">
        <v>1706</v>
      </c>
      <c r="B132" s="30" t="s">
        <v>1705</v>
      </c>
      <c r="C132" s="30">
        <v>5</v>
      </c>
      <c r="D132" s="30">
        <f>VLOOKUP(RUTA476[[#This Row],[Columna1]],Tabla14[#All],6,0)</f>
        <v>0.6</v>
      </c>
      <c r="E132" s="30">
        <f>RUTA476[[#This Row],[Columna3]]*RUTA476[[#This Row],[Columna4]]</f>
        <v>3</v>
      </c>
    </row>
    <row r="133" spans="1:5">
      <c r="A133" s="30" t="s">
        <v>1199</v>
      </c>
      <c r="B133" s="30" t="s">
        <v>301</v>
      </c>
      <c r="C133" s="30">
        <v>2</v>
      </c>
      <c r="D133" s="30">
        <f>VLOOKUP(RUTA476[[#This Row],[Columna1]],Tabla14[#All],6,0)</f>
        <v>0.9277777777777777</v>
      </c>
      <c r="E133" s="30">
        <f>RUTA476[[#This Row],[Columna3]]*RUTA476[[#This Row],[Columna4]]</f>
        <v>1.8555555555555554</v>
      </c>
    </row>
    <row r="134" spans="1:5">
      <c r="A134" s="30" t="s">
        <v>1210</v>
      </c>
      <c r="B134" s="30" t="s">
        <v>1166</v>
      </c>
      <c r="C134" s="30">
        <v>1</v>
      </c>
      <c r="D134" s="30">
        <f>VLOOKUP(RUTA476[[#This Row],[Columna1]],Tabla14[#All],6,0)</f>
        <v>0.9277777777777777</v>
      </c>
      <c r="E134" s="30">
        <f>RUTA476[[#This Row],[Columna3]]*RUTA476[[#This Row],[Columna4]]</f>
        <v>0.9277777777777777</v>
      </c>
    </row>
    <row r="135" spans="1:5">
      <c r="A135" s="30" t="s">
        <v>1180</v>
      </c>
      <c r="B135" s="30" t="s">
        <v>297</v>
      </c>
      <c r="C135" s="30">
        <v>1</v>
      </c>
      <c r="D135" s="30">
        <f>VLOOKUP(RUTA476[[#This Row],[Columna1]],Tabla14[#All],6,0)</f>
        <v>0.9277777777777777</v>
      </c>
      <c r="E135" s="30">
        <f>RUTA476[[#This Row],[Columna3]]*RUTA476[[#This Row],[Columna4]]</f>
        <v>0.9277777777777777</v>
      </c>
    </row>
    <row r="136" spans="1:5">
      <c r="A136" s="30" t="s">
        <v>1187</v>
      </c>
      <c r="B136" s="30" t="s">
        <v>296</v>
      </c>
      <c r="C136" s="30">
        <v>1</v>
      </c>
      <c r="D136" s="30">
        <f>VLOOKUP(RUTA476[[#This Row],[Columna1]],Tabla14[#All],6,0)</f>
        <v>0.9277777777777777</v>
      </c>
      <c r="E136" s="30">
        <f>RUTA476[[#This Row],[Columna3]]*RUTA476[[#This Row],[Columna4]]</f>
        <v>0.9277777777777777</v>
      </c>
    </row>
    <row r="137" spans="1:5">
      <c r="A137" s="30" t="s">
        <v>2216</v>
      </c>
      <c r="B137" s="30" t="s">
        <v>2215</v>
      </c>
      <c r="C137" s="30">
        <v>4</v>
      </c>
      <c r="D137" s="30">
        <f>VLOOKUP(RUTA476[[#This Row],[Columna1]],Tabla14[#All],6,0)</f>
        <v>0.356875</v>
      </c>
      <c r="E137" s="30">
        <f>RUTA476[[#This Row],[Columna3]]*RUTA476[[#This Row],[Columna4]]</f>
        <v>1.4275</v>
      </c>
    </row>
    <row r="138" spans="1:5">
      <c r="A138" s="30" t="s">
        <v>1935</v>
      </c>
      <c r="B138" s="30" t="s">
        <v>1936</v>
      </c>
      <c r="C138" s="30">
        <v>48</v>
      </c>
      <c r="D138" s="30">
        <f>VLOOKUP(RUTA476[[#This Row],[Columna1]],Tabla14[#All],6,0)</f>
        <v>1.1008333333333333</v>
      </c>
      <c r="E138" s="30">
        <f>RUTA476[[#This Row],[Columna3]]*RUTA476[[#This Row],[Columna4]]</f>
        <v>52.84</v>
      </c>
    </row>
    <row r="139" spans="1:5">
      <c r="A139" s="30" t="s">
        <v>1749</v>
      </c>
      <c r="B139" s="30" t="s">
        <v>2008</v>
      </c>
      <c r="C139" s="30">
        <v>3</v>
      </c>
      <c r="D139" s="30">
        <f>VLOOKUP(RUTA476[[#This Row],[Columna1]],Tabla14[#All],6,0)</f>
        <v>0.71375</v>
      </c>
      <c r="E139" s="30">
        <f>RUTA476[[#This Row],[Columna3]]*RUTA476[[#This Row],[Columna4]]</f>
        <v>2.1412499999999999</v>
      </c>
    </row>
    <row r="140" spans="1:5">
      <c r="A140" s="30" t="s">
        <v>1330</v>
      </c>
      <c r="B140" s="30" t="s">
        <v>2221</v>
      </c>
      <c r="C140" s="30">
        <v>1</v>
      </c>
      <c r="D140" s="30">
        <f>VLOOKUP(RUTA476[[#This Row],[Columna1]],Tabla14[#All],6,0)</f>
        <v>0.62</v>
      </c>
      <c r="E140" s="30">
        <f>RUTA476[[#This Row],[Columna3]]*RUTA476[[#This Row],[Columna4]]</f>
        <v>0.62</v>
      </c>
    </row>
    <row r="141" spans="1:5">
      <c r="A141" s="30" t="s">
        <v>2061</v>
      </c>
      <c r="B141" s="30" t="s">
        <v>2060</v>
      </c>
      <c r="C141" s="30">
        <v>6</v>
      </c>
      <c r="D141" s="30">
        <f>VLOOKUP(RUTA476[[#This Row],[Columna1]],Tabla14[#All],6,0)</f>
        <v>1.1025</v>
      </c>
      <c r="E141" s="30">
        <f>RUTA476[[#This Row],[Columna3]]*RUTA476[[#This Row],[Columna4]]</f>
        <v>6.6150000000000002</v>
      </c>
    </row>
    <row r="142" spans="1:5">
      <c r="A142" s="30" t="s">
        <v>1148</v>
      </c>
      <c r="B142" s="30" t="s">
        <v>1512</v>
      </c>
      <c r="C142" s="30">
        <v>25</v>
      </c>
      <c r="D142" s="30">
        <f>VLOOKUP(RUTA476[[#This Row],[Columna1]],Tabla14[#All],6,0)</f>
        <v>0.88</v>
      </c>
      <c r="E142" s="30">
        <f>RUTA476[[#This Row],[Columna3]]*RUTA476[[#This Row],[Columna4]]</f>
        <v>22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0E0D-7A9F-4612-A358-0E0D0D63B94F}">
  <dimension ref="A1:E95"/>
  <sheetViews>
    <sheetView workbookViewId="0"/>
  </sheetViews>
  <sheetFormatPr baseColWidth="10" defaultRowHeight="14.4"/>
  <cols>
    <col min="1" max="1" width="11.5546875" style="30"/>
    <col min="2" max="2" width="4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28</v>
      </c>
      <c r="D2" s="30">
        <f>VLOOKUP(RUTA477[[#This Row],[Columna1]],Tabla14[#All],6,0)</f>
        <v>0.88200000000000001</v>
      </c>
      <c r="E2" s="30">
        <f>RUTA477[[#This Row],[Columna3]]*RUTA477[[#This Row],[Columna4]]</f>
        <v>24.696000000000002</v>
      </c>
    </row>
    <row r="3" spans="1:5">
      <c r="A3" s="30">
        <v>10020040002</v>
      </c>
      <c r="B3" s="30" t="s">
        <v>145</v>
      </c>
      <c r="C3" s="30">
        <v>25</v>
      </c>
      <c r="D3" s="30">
        <f>VLOOKUP(RUTA477[[#This Row],[Columna1]],Tabla14[#All],6,0)</f>
        <v>0.88200000000000001</v>
      </c>
      <c r="E3" s="30">
        <f>RUTA477[[#This Row],[Columna3]]*RUTA477[[#This Row],[Columna4]]</f>
        <v>22.05</v>
      </c>
    </row>
    <row r="4" spans="1:5">
      <c r="A4" s="30">
        <v>400000048</v>
      </c>
      <c r="B4" s="30" t="s">
        <v>580</v>
      </c>
      <c r="C4" s="30">
        <v>1</v>
      </c>
      <c r="D4" s="30">
        <f>VLOOKUP(RUTA477[[#This Row],[Columna1]],Tabla14[#All],6,0)</f>
        <v>0.25</v>
      </c>
      <c r="E4" s="30">
        <f>RUTA477[[#This Row],[Columna3]]*RUTA477[[#This Row],[Columna4]]</f>
        <v>0.25</v>
      </c>
    </row>
    <row r="5" spans="1:5">
      <c r="A5" s="30">
        <v>400000127</v>
      </c>
      <c r="B5" s="30" t="s">
        <v>585</v>
      </c>
      <c r="C5" s="30">
        <v>1</v>
      </c>
      <c r="D5" s="30">
        <f>VLOOKUP(RUTA477[[#This Row],[Columna1]],Tabla14[#All],6,0)</f>
        <v>1.5449999999999999</v>
      </c>
      <c r="E5" s="30">
        <f>RUTA477[[#This Row],[Columna3]]*RUTA477[[#This Row],[Columna4]]</f>
        <v>1.5449999999999999</v>
      </c>
    </row>
    <row r="6" spans="1:5">
      <c r="A6" s="30">
        <v>400000161</v>
      </c>
      <c r="B6" s="30" t="s">
        <v>594</v>
      </c>
      <c r="C6" s="30">
        <v>170</v>
      </c>
      <c r="D6" s="30">
        <f>VLOOKUP(RUTA477[[#This Row],[Columna1]],Tabla14[#All],6,0)</f>
        <v>0.03</v>
      </c>
      <c r="E6" s="30">
        <f>RUTA477[[#This Row],[Columna3]]*RUTA477[[#This Row],[Columna4]]</f>
        <v>5.0999999999999996</v>
      </c>
    </row>
    <row r="7" spans="1:5">
      <c r="A7" s="30">
        <v>400000221</v>
      </c>
      <c r="B7" s="30" t="s">
        <v>587</v>
      </c>
      <c r="C7" s="30">
        <v>4</v>
      </c>
      <c r="D7" s="30">
        <f>VLOOKUP(RUTA477[[#This Row],[Columna1]],Tabla14[#All],6,0)</f>
        <v>0.8</v>
      </c>
      <c r="E7" s="30">
        <f>RUTA477[[#This Row],[Columna3]]*RUTA477[[#This Row],[Columna4]]</f>
        <v>3.2</v>
      </c>
    </row>
    <row r="8" spans="1:5">
      <c r="A8" s="30">
        <v>50470111</v>
      </c>
      <c r="B8" s="30" t="s">
        <v>2055</v>
      </c>
      <c r="C8" s="30">
        <v>9</v>
      </c>
      <c r="D8" s="30">
        <f>VLOOKUP(RUTA477[[#This Row],[Columna1]],Tabla14[#All],6,0)</f>
        <v>2.48</v>
      </c>
      <c r="E8" s="30">
        <f>RUTA477[[#This Row],[Columna3]]*RUTA477[[#This Row],[Columna4]]</f>
        <v>22.32</v>
      </c>
    </row>
    <row r="9" spans="1:5">
      <c r="A9" s="30">
        <v>50470112</v>
      </c>
      <c r="B9" s="30" t="s">
        <v>2054</v>
      </c>
      <c r="C9" s="30">
        <v>10</v>
      </c>
      <c r="D9" s="30">
        <f>VLOOKUP(RUTA477[[#This Row],[Columna1]],Tabla14[#All],6,0)</f>
        <v>2.48</v>
      </c>
      <c r="E9" s="30">
        <f>RUTA477[[#This Row],[Columna3]]*RUTA477[[#This Row],[Columna4]]</f>
        <v>24.8</v>
      </c>
    </row>
    <row r="10" spans="1:5">
      <c r="A10" s="30">
        <v>50470114</v>
      </c>
      <c r="B10" s="30" t="s">
        <v>2053</v>
      </c>
      <c r="C10" s="30">
        <v>4</v>
      </c>
      <c r="D10" s="30">
        <f>VLOOKUP(RUTA477[[#This Row],[Columna1]],Tabla14[#All],6,0)</f>
        <v>2.48</v>
      </c>
      <c r="E10" s="30">
        <f>RUTA477[[#This Row],[Columna3]]*RUTA477[[#This Row],[Columna4]]</f>
        <v>9.92</v>
      </c>
    </row>
    <row r="11" spans="1:5">
      <c r="A11" s="30">
        <v>50470115</v>
      </c>
      <c r="B11" s="30" t="s">
        <v>2052</v>
      </c>
      <c r="C11" s="30">
        <v>4</v>
      </c>
      <c r="D11" s="30">
        <f>VLOOKUP(RUTA477[[#This Row],[Columna1]],Tabla14[#All],6,0)</f>
        <v>2.48</v>
      </c>
      <c r="E11" s="30">
        <f>RUTA477[[#This Row],[Columna3]]*RUTA477[[#This Row],[Columna4]]</f>
        <v>9.92</v>
      </c>
    </row>
    <row r="12" spans="1:5">
      <c r="A12" s="30">
        <v>50470118</v>
      </c>
      <c r="B12" s="30" t="s">
        <v>2278</v>
      </c>
      <c r="C12" s="30">
        <v>14</v>
      </c>
      <c r="D12" s="30">
        <f>VLOOKUP(RUTA477[[#This Row],[Columna1]],Tabla14[#All],6,0)</f>
        <v>0.82750000000000001</v>
      </c>
      <c r="E12" s="30">
        <f>RUTA477[[#This Row],[Columna3]]*RUTA477[[#This Row],[Columna4]]</f>
        <v>11.585000000000001</v>
      </c>
    </row>
    <row r="13" spans="1:5">
      <c r="A13" s="30">
        <v>50491100</v>
      </c>
      <c r="B13" s="30" t="s">
        <v>1899</v>
      </c>
      <c r="C13" s="30">
        <v>6</v>
      </c>
      <c r="D13" s="30">
        <f>VLOOKUP(RUTA477[[#This Row],[Columna1]],Tabla14[#All],6,0)</f>
        <v>2.65</v>
      </c>
      <c r="E13" s="30">
        <f>RUTA477[[#This Row],[Columna3]]*RUTA477[[#This Row],[Columna4]]</f>
        <v>15.899999999999999</v>
      </c>
    </row>
    <row r="14" spans="1:5">
      <c r="A14" s="30">
        <v>50491101</v>
      </c>
      <c r="B14" s="30" t="s">
        <v>1950</v>
      </c>
      <c r="C14" s="30">
        <v>6</v>
      </c>
      <c r="D14" s="30">
        <f>VLOOKUP(RUTA477[[#This Row],[Columna1]],Tabla14[#All],6,0)</f>
        <v>2.65</v>
      </c>
      <c r="E14" s="30">
        <f>RUTA477[[#This Row],[Columna3]]*RUTA477[[#This Row],[Columna4]]</f>
        <v>15.899999999999999</v>
      </c>
    </row>
    <row r="15" spans="1:5">
      <c r="A15" s="30">
        <v>50491102</v>
      </c>
      <c r="B15" s="30" t="s">
        <v>1898</v>
      </c>
      <c r="C15" s="30">
        <v>12</v>
      </c>
      <c r="D15" s="30">
        <f>VLOOKUP(RUTA477[[#This Row],[Columna1]],Tabla14[#All],6,0)</f>
        <v>2.65</v>
      </c>
      <c r="E15" s="30">
        <f>RUTA477[[#This Row],[Columna3]]*RUTA477[[#This Row],[Columna4]]</f>
        <v>31.799999999999997</v>
      </c>
    </row>
    <row r="16" spans="1:5">
      <c r="A16" s="30">
        <v>50491103</v>
      </c>
      <c r="B16" s="30" t="s">
        <v>2269</v>
      </c>
      <c r="C16" s="30">
        <v>3</v>
      </c>
      <c r="D16" s="30">
        <f>VLOOKUP(RUTA477[[#This Row],[Columna1]],Tabla14[#All],6,0)</f>
        <v>2.65</v>
      </c>
      <c r="E16" s="30">
        <f>RUTA477[[#This Row],[Columna3]]*RUTA477[[#This Row],[Columna4]]</f>
        <v>7.9499999999999993</v>
      </c>
    </row>
    <row r="17" spans="1:5">
      <c r="A17" s="30">
        <v>50491106</v>
      </c>
      <c r="B17" s="30" t="s">
        <v>2256</v>
      </c>
      <c r="C17" s="30">
        <v>3</v>
      </c>
      <c r="D17" s="30">
        <f>VLOOKUP(RUTA477[[#This Row],[Columna1]],Tabla14[#All],6,0)</f>
        <v>2.65</v>
      </c>
      <c r="E17" s="30">
        <f>RUTA477[[#This Row],[Columna3]]*RUTA477[[#This Row],[Columna4]]</f>
        <v>7.9499999999999993</v>
      </c>
    </row>
    <row r="18" spans="1:5">
      <c r="A18" s="30">
        <v>50491107</v>
      </c>
      <c r="B18" s="30" t="s">
        <v>1897</v>
      </c>
      <c r="C18" s="30">
        <v>8</v>
      </c>
      <c r="D18" s="30">
        <f>VLOOKUP(RUTA477[[#This Row],[Columna1]],Tabla14[#All],6,0)</f>
        <v>2.65</v>
      </c>
      <c r="E18" s="30">
        <f>RUTA477[[#This Row],[Columna3]]*RUTA477[[#This Row],[Columna4]]</f>
        <v>21.2</v>
      </c>
    </row>
    <row r="19" spans="1:5">
      <c r="A19" s="30">
        <v>50491108</v>
      </c>
      <c r="B19" s="30" t="s">
        <v>2010</v>
      </c>
      <c r="C19" s="30">
        <v>8</v>
      </c>
      <c r="D19" s="30">
        <f>VLOOKUP(RUTA477[[#This Row],[Columna1]],Tabla14[#All],6,0)</f>
        <v>2.65</v>
      </c>
      <c r="E19" s="30">
        <f>RUTA477[[#This Row],[Columna3]]*RUTA477[[#This Row],[Columna4]]</f>
        <v>21.2</v>
      </c>
    </row>
    <row r="20" spans="1:5">
      <c r="A20" s="30">
        <v>50491109</v>
      </c>
      <c r="B20" s="30" t="s">
        <v>1584</v>
      </c>
      <c r="C20" s="30">
        <v>12</v>
      </c>
      <c r="D20" s="30">
        <f>VLOOKUP(RUTA477[[#This Row],[Columna1]],Tabla14[#All],6,0)</f>
        <v>2.65</v>
      </c>
      <c r="E20" s="30">
        <f>RUTA477[[#This Row],[Columna3]]*RUTA477[[#This Row],[Columna4]]</f>
        <v>31.799999999999997</v>
      </c>
    </row>
    <row r="21" spans="1:5">
      <c r="A21" s="30">
        <v>50491133</v>
      </c>
      <c r="B21" s="30" t="s">
        <v>1761</v>
      </c>
      <c r="C21" s="30">
        <v>12</v>
      </c>
      <c r="D21" s="30">
        <f>VLOOKUP(RUTA477[[#This Row],[Columna1]],Tabla14[#All],6,0)</f>
        <v>3.3049999999999997</v>
      </c>
      <c r="E21" s="30">
        <f>RUTA477[[#This Row],[Columna3]]*RUTA477[[#This Row],[Columna4]]</f>
        <v>39.659999999999997</v>
      </c>
    </row>
    <row r="22" spans="1:5">
      <c r="A22" s="30">
        <v>50491134</v>
      </c>
      <c r="B22" s="30" t="s">
        <v>1758</v>
      </c>
      <c r="C22" s="30">
        <v>12</v>
      </c>
      <c r="D22" s="30">
        <f>VLOOKUP(RUTA477[[#This Row],[Columna1]],Tabla14[#All],6,0)</f>
        <v>3.2916666666666665</v>
      </c>
      <c r="E22" s="30">
        <f>RUTA477[[#This Row],[Columna3]]*RUTA477[[#This Row],[Columna4]]</f>
        <v>39.5</v>
      </c>
    </row>
    <row r="23" spans="1:5">
      <c r="A23" s="30">
        <v>52480086</v>
      </c>
      <c r="B23" s="30" t="s">
        <v>1939</v>
      </c>
      <c r="C23" s="30">
        <v>13</v>
      </c>
      <c r="D23" s="30">
        <f>VLOOKUP(RUTA477[[#This Row],[Columna1]],Tabla14[#All],6,0)</f>
        <v>0.23805555555555558</v>
      </c>
      <c r="E23" s="30">
        <f>RUTA477[[#This Row],[Columna3]]*RUTA477[[#This Row],[Columna4]]</f>
        <v>3.0947222222222224</v>
      </c>
    </row>
    <row r="24" spans="1:5">
      <c r="A24" s="30">
        <v>52480094</v>
      </c>
      <c r="B24" s="30" t="s">
        <v>2268</v>
      </c>
      <c r="C24" s="30">
        <v>6</v>
      </c>
      <c r="D24" s="30">
        <f>VLOOKUP(RUTA477[[#This Row],[Columna1]],Tabla14[#All],6,0)</f>
        <v>0.32</v>
      </c>
      <c r="E24" s="30">
        <f>RUTA477[[#This Row],[Columna3]]*RUTA477[[#This Row],[Columna4]]</f>
        <v>1.92</v>
      </c>
    </row>
    <row r="25" spans="1:5">
      <c r="A25" s="30">
        <v>5460400</v>
      </c>
      <c r="B25" s="30" t="s">
        <v>2133</v>
      </c>
      <c r="C25" s="30">
        <v>24</v>
      </c>
      <c r="D25" s="30">
        <f>VLOOKUP(RUTA477[[#This Row],[Columna1]],Tabla14[#All],6,0)</f>
        <v>0.75</v>
      </c>
      <c r="E25" s="30">
        <f>RUTA477[[#This Row],[Columna3]]*RUTA477[[#This Row],[Columna4]]</f>
        <v>18</v>
      </c>
    </row>
    <row r="26" spans="1:5">
      <c r="A26" s="30">
        <v>60000094</v>
      </c>
      <c r="B26" s="30" t="s">
        <v>1387</v>
      </c>
      <c r="C26" s="30">
        <v>16</v>
      </c>
      <c r="D26" s="30">
        <f>VLOOKUP(RUTA477[[#This Row],[Columna1]],Tabla14[#All],6,0)</f>
        <v>1.76</v>
      </c>
      <c r="E26" s="30">
        <f>RUTA477[[#This Row],[Columna3]]*RUTA477[[#This Row],[Columna4]]</f>
        <v>28.16</v>
      </c>
    </row>
    <row r="27" spans="1:5">
      <c r="A27" s="30">
        <v>60000209</v>
      </c>
      <c r="B27" s="30" t="s">
        <v>147</v>
      </c>
      <c r="C27" s="30">
        <v>37</v>
      </c>
      <c r="D27" s="30">
        <f>VLOOKUP(RUTA477[[#This Row],[Columna1]],Tabla14[#All],6,0)</f>
        <v>0.77200000000000002</v>
      </c>
      <c r="E27" s="30">
        <f>RUTA477[[#This Row],[Columna3]]*RUTA477[[#This Row],[Columna4]]</f>
        <v>28.564</v>
      </c>
    </row>
    <row r="28" spans="1:5">
      <c r="A28" s="30">
        <v>60000210</v>
      </c>
      <c r="B28" s="30" t="s">
        <v>148</v>
      </c>
      <c r="C28" s="30">
        <v>37</v>
      </c>
      <c r="D28" s="30">
        <f>VLOOKUP(RUTA477[[#This Row],[Columna1]],Tabla14[#All],6,0)</f>
        <v>0.77200000000000002</v>
      </c>
      <c r="E28" s="30">
        <f>RUTA477[[#This Row],[Columna3]]*RUTA477[[#This Row],[Columna4]]</f>
        <v>28.564</v>
      </c>
    </row>
    <row r="29" spans="1:5">
      <c r="A29" s="30">
        <v>60000212</v>
      </c>
      <c r="B29" s="30" t="s">
        <v>1055</v>
      </c>
      <c r="C29" s="30">
        <v>4</v>
      </c>
      <c r="D29" s="30">
        <f>VLOOKUP(RUTA477[[#This Row],[Columna1]],Tabla14[#All],6,0)</f>
        <v>0.66249999999999998</v>
      </c>
      <c r="E29" s="30">
        <f>RUTA477[[#This Row],[Columna3]]*RUTA477[[#This Row],[Columna4]]</f>
        <v>2.65</v>
      </c>
    </row>
    <row r="30" spans="1:5">
      <c r="A30" s="30">
        <v>69761868</v>
      </c>
      <c r="B30" s="30" t="s">
        <v>2024</v>
      </c>
      <c r="C30" s="30">
        <v>22</v>
      </c>
      <c r="D30" s="30">
        <f>VLOOKUP(RUTA477[[#This Row],[Columna1]],Tabla14[#All],6,0)</f>
        <v>0.19843750000000002</v>
      </c>
      <c r="E30" s="30">
        <f>RUTA477[[#This Row],[Columna3]]*RUTA477[[#This Row],[Columna4]]</f>
        <v>4.3656250000000005</v>
      </c>
    </row>
    <row r="31" spans="1:5">
      <c r="A31" s="30" t="s">
        <v>1026</v>
      </c>
      <c r="B31" s="30" t="s">
        <v>1025</v>
      </c>
      <c r="C31" s="30">
        <v>4</v>
      </c>
      <c r="D31" s="30">
        <f>VLOOKUP(RUTA477[[#This Row],[Columna1]],Tabla14[#All],6,0)</f>
        <v>0.9</v>
      </c>
      <c r="E31" s="30">
        <f>RUTA477[[#This Row],[Columna3]]*RUTA477[[#This Row],[Columna4]]</f>
        <v>3.6</v>
      </c>
    </row>
    <row r="32" spans="1:5">
      <c r="A32" s="30" t="s">
        <v>1040</v>
      </c>
      <c r="B32" s="30" t="s">
        <v>1039</v>
      </c>
      <c r="C32" s="30">
        <v>1</v>
      </c>
      <c r="D32" s="30">
        <f>VLOOKUP(RUTA477[[#This Row],[Columna1]],Tabla14[#All],6,0)</f>
        <v>0.88437500000000002</v>
      </c>
      <c r="E32" s="30">
        <f>RUTA477[[#This Row],[Columna3]]*RUTA477[[#This Row],[Columna4]]</f>
        <v>0.88437500000000002</v>
      </c>
    </row>
    <row r="33" spans="1:5">
      <c r="A33" s="30" t="s">
        <v>1355</v>
      </c>
      <c r="B33" s="30" t="s">
        <v>1354</v>
      </c>
      <c r="C33" s="30">
        <v>22</v>
      </c>
      <c r="D33" s="30">
        <f>VLOOKUP(RUTA477[[#This Row],[Columna1]],Tabla14[#All],6,0)</f>
        <v>0.9</v>
      </c>
      <c r="E33" s="30">
        <f>RUTA477[[#This Row],[Columna3]]*RUTA477[[#This Row],[Columna4]]</f>
        <v>19.8</v>
      </c>
    </row>
    <row r="34" spans="1:5">
      <c r="A34" s="30" t="s">
        <v>1525</v>
      </c>
      <c r="B34" s="30" t="s">
        <v>1524</v>
      </c>
      <c r="C34" s="30">
        <v>16</v>
      </c>
      <c r="D34" s="30">
        <f>VLOOKUP(RUTA477[[#This Row],[Columna1]],Tabla14[#All],6,0)</f>
        <v>0.9</v>
      </c>
      <c r="E34" s="30">
        <f>RUTA477[[#This Row],[Columna3]]*RUTA477[[#This Row],[Columna4]]</f>
        <v>14.4</v>
      </c>
    </row>
    <row r="35" spans="1:5">
      <c r="A35" s="30" t="s">
        <v>1347</v>
      </c>
      <c r="B35" s="30" t="s">
        <v>1346</v>
      </c>
      <c r="C35" s="30">
        <v>7</v>
      </c>
      <c r="D35" s="30">
        <f>VLOOKUP(RUTA477[[#This Row],[Columna1]],Tabla14[#All],6,0)</f>
        <v>0.9</v>
      </c>
      <c r="E35" s="30">
        <f>RUTA477[[#This Row],[Columna3]]*RUTA477[[#This Row],[Columna4]]</f>
        <v>6.3</v>
      </c>
    </row>
    <row r="36" spans="1:5">
      <c r="A36" s="30" t="s">
        <v>1473</v>
      </c>
      <c r="B36" s="30" t="s">
        <v>1472</v>
      </c>
      <c r="C36" s="30">
        <v>15</v>
      </c>
      <c r="D36" s="30">
        <f>VLOOKUP(RUTA477[[#This Row],[Columna1]],Tabla14[#All],6,0)</f>
        <v>0.9</v>
      </c>
      <c r="E36" s="30">
        <f>RUTA477[[#This Row],[Columna3]]*RUTA477[[#This Row],[Columna4]]</f>
        <v>13.5</v>
      </c>
    </row>
    <row r="37" spans="1:5">
      <c r="A37" s="30" t="s">
        <v>1359</v>
      </c>
      <c r="B37" s="30" t="s">
        <v>1358</v>
      </c>
      <c r="C37" s="30">
        <v>15</v>
      </c>
      <c r="D37" s="30">
        <f>VLOOKUP(RUTA477[[#This Row],[Columna1]],Tabla14[#All],6,0)</f>
        <v>0.9</v>
      </c>
      <c r="E37" s="30">
        <f>RUTA477[[#This Row],[Columna3]]*RUTA477[[#This Row],[Columna4]]</f>
        <v>13.5</v>
      </c>
    </row>
    <row r="38" spans="1:5">
      <c r="A38" s="30" t="s">
        <v>1477</v>
      </c>
      <c r="B38" s="30" t="s">
        <v>1476</v>
      </c>
      <c r="C38" s="30">
        <v>4</v>
      </c>
      <c r="D38" s="30">
        <f>VLOOKUP(RUTA477[[#This Row],[Columna1]],Tabla14[#All],6,0)</f>
        <v>0.9</v>
      </c>
      <c r="E38" s="30">
        <f>RUTA477[[#This Row],[Columna3]]*RUTA477[[#This Row],[Columna4]]</f>
        <v>3.6</v>
      </c>
    </row>
    <row r="39" spans="1:5">
      <c r="A39" s="30" t="s">
        <v>1475</v>
      </c>
      <c r="B39" s="30" t="s">
        <v>1474</v>
      </c>
      <c r="C39" s="30">
        <v>16</v>
      </c>
      <c r="D39" s="30">
        <f>VLOOKUP(RUTA477[[#This Row],[Columna1]],Tabla14[#All],6,0)</f>
        <v>0.9</v>
      </c>
      <c r="E39" s="30">
        <f>RUTA477[[#This Row],[Columna3]]*RUTA477[[#This Row],[Columna4]]</f>
        <v>14.4</v>
      </c>
    </row>
    <row r="40" spans="1:5">
      <c r="A40" s="30" t="s">
        <v>1674</v>
      </c>
      <c r="B40" s="30" t="s">
        <v>1673</v>
      </c>
      <c r="C40" s="30">
        <v>2</v>
      </c>
      <c r="D40" s="30">
        <f>VLOOKUP(RUTA477[[#This Row],[Columna1]],Tabla14[#All],6,0)</f>
        <v>0.9</v>
      </c>
      <c r="E40" s="30">
        <f>RUTA477[[#This Row],[Columna3]]*RUTA477[[#This Row],[Columna4]]</f>
        <v>1.8</v>
      </c>
    </row>
    <row r="41" spans="1:5">
      <c r="A41" s="30" t="s">
        <v>1471</v>
      </c>
      <c r="B41" s="30" t="s">
        <v>1470</v>
      </c>
      <c r="C41" s="30">
        <v>14</v>
      </c>
      <c r="D41" s="30">
        <f>VLOOKUP(RUTA477[[#This Row],[Columna1]],Tabla14[#All],6,0)</f>
        <v>0.9</v>
      </c>
      <c r="E41" s="30">
        <f>RUTA477[[#This Row],[Columna3]]*RUTA477[[#This Row],[Columna4]]</f>
        <v>12.6</v>
      </c>
    </row>
    <row r="42" spans="1:5">
      <c r="A42" s="30" t="s">
        <v>1349</v>
      </c>
      <c r="B42" s="30" t="s">
        <v>1348</v>
      </c>
      <c r="C42" s="30">
        <v>2</v>
      </c>
      <c r="D42" s="30">
        <f>VLOOKUP(RUTA477[[#This Row],[Columna1]],Tabla14[#All],6,0)</f>
        <v>0.9</v>
      </c>
      <c r="E42" s="30">
        <f>RUTA477[[#This Row],[Columna3]]*RUTA477[[#This Row],[Columna4]]</f>
        <v>1.8</v>
      </c>
    </row>
    <row r="43" spans="1:5">
      <c r="A43" s="30" t="s">
        <v>2050</v>
      </c>
      <c r="B43" s="30" t="s">
        <v>2049</v>
      </c>
      <c r="C43" s="30">
        <v>10</v>
      </c>
      <c r="D43" s="30">
        <f>VLOOKUP(RUTA477[[#This Row],[Columna1]],Tabla14[#All],6,0)</f>
        <v>0.12125000000000001</v>
      </c>
      <c r="E43" s="30">
        <f>RUTA477[[#This Row],[Columna3]]*RUTA477[[#This Row],[Columna4]]</f>
        <v>1.2125000000000001</v>
      </c>
    </row>
    <row r="44" spans="1:5">
      <c r="A44" s="30" t="s">
        <v>2046</v>
      </c>
      <c r="B44" s="30" t="s">
        <v>2045</v>
      </c>
      <c r="C44" s="30">
        <v>10</v>
      </c>
      <c r="D44" s="30">
        <f>VLOOKUP(RUTA477[[#This Row],[Columna1]],Tabla14[#All],6,0)</f>
        <v>0.12125000000000001</v>
      </c>
      <c r="E44" s="30">
        <f>RUTA477[[#This Row],[Columna3]]*RUTA477[[#This Row],[Columna4]]</f>
        <v>1.2125000000000001</v>
      </c>
    </row>
    <row r="45" spans="1:5">
      <c r="A45" s="30" t="s">
        <v>2090</v>
      </c>
      <c r="B45" s="30" t="s">
        <v>2089</v>
      </c>
      <c r="C45" s="30">
        <v>1</v>
      </c>
      <c r="D45" s="30">
        <f>VLOOKUP(RUTA477[[#This Row],[Columna1]],Tabla14[#All],6,0)</f>
        <v>100</v>
      </c>
      <c r="E45" s="30">
        <f>RUTA477[[#This Row],[Columna3]]*RUTA477[[#This Row],[Columna4]]</f>
        <v>100</v>
      </c>
    </row>
    <row r="46" spans="1:5">
      <c r="A46" s="30" t="s">
        <v>1692</v>
      </c>
      <c r="B46" s="30" t="s">
        <v>1691</v>
      </c>
      <c r="C46" s="30">
        <v>20</v>
      </c>
      <c r="D46" s="30">
        <f>VLOOKUP(RUTA477[[#This Row],[Columna1]],Tabla14[#All],6,0)</f>
        <v>0.92524999999999991</v>
      </c>
      <c r="E46" s="30">
        <f>RUTA477[[#This Row],[Columna3]]*RUTA477[[#This Row],[Columna4]]</f>
        <v>18.504999999999999</v>
      </c>
    </row>
    <row r="47" spans="1:5">
      <c r="A47" s="30" t="s">
        <v>1690</v>
      </c>
      <c r="B47" s="30" t="s">
        <v>1689</v>
      </c>
      <c r="C47" s="30">
        <v>20</v>
      </c>
      <c r="D47" s="30">
        <f>VLOOKUP(RUTA477[[#This Row],[Columna1]],Tabla14[#All],6,0)</f>
        <v>0.92524999999999991</v>
      </c>
      <c r="E47" s="30">
        <f>RUTA477[[#This Row],[Columna3]]*RUTA477[[#This Row],[Columna4]]</f>
        <v>18.504999999999999</v>
      </c>
    </row>
    <row r="48" spans="1:5">
      <c r="A48" s="30" t="s">
        <v>2188</v>
      </c>
      <c r="B48" s="30" t="s">
        <v>2187</v>
      </c>
      <c r="C48" s="30">
        <v>40</v>
      </c>
      <c r="D48" s="30">
        <f>VLOOKUP(RUTA477[[#This Row],[Columna1]],Tabla14[#All],6,0)</f>
        <v>0.52916666666666667</v>
      </c>
      <c r="E48" s="30">
        <f>RUTA477[[#This Row],[Columna3]]*RUTA477[[#This Row],[Columna4]]</f>
        <v>21.166666666666668</v>
      </c>
    </row>
    <row r="49" spans="1:5">
      <c r="A49" s="30" t="s">
        <v>2191</v>
      </c>
      <c r="B49" s="30" t="s">
        <v>2190</v>
      </c>
      <c r="C49" s="30">
        <v>10</v>
      </c>
      <c r="D49" s="30">
        <f>VLOOKUP(RUTA477[[#This Row],[Columna1]],Tabla14[#All],6,0)</f>
        <v>0.52916666666666667</v>
      </c>
      <c r="E49" s="30">
        <f>RUTA477[[#This Row],[Columna3]]*RUTA477[[#This Row],[Columna4]]</f>
        <v>5.291666666666667</v>
      </c>
    </row>
    <row r="50" spans="1:5">
      <c r="A50" s="30" t="s">
        <v>2186</v>
      </c>
      <c r="B50" s="30" t="s">
        <v>2185</v>
      </c>
      <c r="C50" s="30">
        <v>29</v>
      </c>
      <c r="D50" s="30">
        <f>VLOOKUP(RUTA477[[#This Row],[Columna1]],Tabla14[#All],6,0)</f>
        <v>0.52916666666666667</v>
      </c>
      <c r="E50" s="30">
        <f>RUTA477[[#This Row],[Columna3]]*RUTA477[[#This Row],[Columna4]]</f>
        <v>15.345833333333333</v>
      </c>
    </row>
    <row r="51" spans="1:5">
      <c r="A51" s="30" t="s">
        <v>1976</v>
      </c>
      <c r="B51" s="30" t="s">
        <v>1975</v>
      </c>
      <c r="C51" s="30">
        <v>3</v>
      </c>
      <c r="D51" s="30">
        <f>VLOOKUP(RUTA477[[#This Row],[Columna1]],Tabla14[#All],6,0)</f>
        <v>0.47599999999999998</v>
      </c>
      <c r="E51" s="30">
        <f>RUTA477[[#This Row],[Columna3]]*RUTA477[[#This Row],[Columna4]]</f>
        <v>1.4279999999999999</v>
      </c>
    </row>
    <row r="52" spans="1:5">
      <c r="A52" s="30" t="s">
        <v>1974</v>
      </c>
      <c r="B52" s="30" t="s">
        <v>1973</v>
      </c>
      <c r="C52" s="30">
        <v>3</v>
      </c>
      <c r="D52" s="30">
        <f>VLOOKUP(RUTA477[[#This Row],[Columna1]],Tabla14[#All],6,0)</f>
        <v>0.47599999999999998</v>
      </c>
      <c r="E52" s="30">
        <f>RUTA477[[#This Row],[Columna3]]*RUTA477[[#This Row],[Columna4]]</f>
        <v>1.4279999999999999</v>
      </c>
    </row>
    <row r="53" spans="1:5">
      <c r="A53" s="30" t="s">
        <v>2213</v>
      </c>
      <c r="B53" s="30" t="s">
        <v>2212</v>
      </c>
      <c r="C53" s="30">
        <v>7</v>
      </c>
      <c r="D53" s="30">
        <f>VLOOKUP(RUTA477[[#This Row],[Columna1]],Tabla14[#All],6,0)</f>
        <v>0.77159999999999995</v>
      </c>
      <c r="E53" s="30">
        <f>RUTA477[[#This Row],[Columna3]]*RUTA477[[#This Row],[Columna4]]</f>
        <v>5.4011999999999993</v>
      </c>
    </row>
    <row r="54" spans="1:5">
      <c r="A54" s="30" t="s">
        <v>662</v>
      </c>
      <c r="B54" s="30" t="s">
        <v>2171</v>
      </c>
      <c r="C54" s="30">
        <v>12</v>
      </c>
      <c r="D54" s="30">
        <f>VLOOKUP(RUTA477[[#This Row],[Columna1]],Tabla14[#All],6,0)</f>
        <v>8.3333333333333329E-2</v>
      </c>
      <c r="E54" s="30">
        <f>RUTA477[[#This Row],[Columna3]]*RUTA477[[#This Row],[Columna4]]</f>
        <v>1</v>
      </c>
    </row>
    <row r="55" spans="1:5">
      <c r="A55" s="30" t="s">
        <v>671</v>
      </c>
      <c r="B55" s="30" t="s">
        <v>670</v>
      </c>
      <c r="C55" s="30">
        <v>59</v>
      </c>
      <c r="D55" s="30">
        <f>VLOOKUP(RUTA477[[#This Row],[Columna1]],Tabla14[#All],6,0)</f>
        <v>0.25</v>
      </c>
      <c r="E55" s="30">
        <f>RUTA477[[#This Row],[Columna3]]*RUTA477[[#This Row],[Columna4]]</f>
        <v>14.75</v>
      </c>
    </row>
    <row r="56" spans="1:5">
      <c r="A56" s="30" t="s">
        <v>21</v>
      </c>
      <c r="B56" s="30" t="s">
        <v>20</v>
      </c>
      <c r="C56" s="30">
        <v>2</v>
      </c>
      <c r="D56" s="30">
        <f>VLOOKUP(RUTA477[[#This Row],[Columna1]],Tabla14[#All],6,0)</f>
        <v>0.8833333333333333</v>
      </c>
      <c r="E56" s="30">
        <f>RUTA477[[#This Row],[Columna3]]*RUTA477[[#This Row],[Columna4]]</f>
        <v>1.7666666666666666</v>
      </c>
    </row>
    <row r="57" spans="1:5">
      <c r="A57" s="30" t="s">
        <v>1819</v>
      </c>
      <c r="B57" s="30" t="s">
        <v>1818</v>
      </c>
      <c r="C57" s="30">
        <v>15</v>
      </c>
      <c r="D57" s="30">
        <f>VLOOKUP(RUTA477[[#This Row],[Columna1]],Tabla14[#All],6,0)</f>
        <v>0.87035714285714294</v>
      </c>
      <c r="E57" s="30">
        <f>RUTA477[[#This Row],[Columna3]]*RUTA477[[#This Row],[Columna4]]</f>
        <v>13.055357142857144</v>
      </c>
    </row>
    <row r="58" spans="1:5">
      <c r="A58" s="30" t="s">
        <v>1766</v>
      </c>
      <c r="B58" s="30" t="s">
        <v>1765</v>
      </c>
      <c r="C58" s="30">
        <v>21</v>
      </c>
      <c r="D58" s="30">
        <f>VLOOKUP(RUTA477[[#This Row],[Columna1]],Tabla14[#All],6,0)</f>
        <v>0.87035714285714294</v>
      </c>
      <c r="E58" s="30">
        <f>RUTA477[[#This Row],[Columna3]]*RUTA477[[#This Row],[Columna4]]</f>
        <v>18.277500000000003</v>
      </c>
    </row>
    <row r="59" spans="1:5">
      <c r="A59" s="30" t="s">
        <v>1764</v>
      </c>
      <c r="B59" s="30" t="s">
        <v>1763</v>
      </c>
      <c r="C59" s="30">
        <v>9</v>
      </c>
      <c r="D59" s="30">
        <f>VLOOKUP(RUTA477[[#This Row],[Columna1]],Tabla14[#All],6,0)</f>
        <v>0.87035714285714294</v>
      </c>
      <c r="E59" s="30">
        <f>RUTA477[[#This Row],[Columna3]]*RUTA477[[#This Row],[Columna4]]</f>
        <v>7.8332142857142868</v>
      </c>
    </row>
    <row r="60" spans="1:5">
      <c r="A60" s="30" t="s">
        <v>1839</v>
      </c>
      <c r="B60" s="30" t="s">
        <v>1838</v>
      </c>
      <c r="C60" s="30">
        <v>1</v>
      </c>
      <c r="D60" s="30">
        <f>VLOOKUP(RUTA477[[#This Row],[Columna1]],Tabla14[#All],6,0)</f>
        <v>0.88178571428571428</v>
      </c>
      <c r="E60" s="30">
        <f>RUTA477[[#This Row],[Columna3]]*RUTA477[[#This Row],[Columna4]]</f>
        <v>0.88178571428571428</v>
      </c>
    </row>
    <row r="61" spans="1:5">
      <c r="A61" s="30" t="s">
        <v>1823</v>
      </c>
      <c r="B61" s="30" t="s">
        <v>1822</v>
      </c>
      <c r="C61" s="30">
        <v>19</v>
      </c>
      <c r="D61" s="30">
        <f>VLOOKUP(RUTA477[[#This Row],[Columna1]],Tabla14[#All],6,0)</f>
        <v>0.88107142857142862</v>
      </c>
      <c r="E61" s="30">
        <f>RUTA477[[#This Row],[Columna3]]*RUTA477[[#This Row],[Columna4]]</f>
        <v>16.740357142857142</v>
      </c>
    </row>
    <row r="62" spans="1:5">
      <c r="A62" s="30" t="s">
        <v>2023</v>
      </c>
      <c r="B62" s="30" t="s">
        <v>2022</v>
      </c>
      <c r="C62" s="30">
        <v>5</v>
      </c>
      <c r="D62" s="30">
        <f>VLOOKUP(RUTA477[[#This Row],[Columna1]],Tabla14[#All],6,0)</f>
        <v>0.95321428571428579</v>
      </c>
      <c r="E62" s="30">
        <f>RUTA477[[#This Row],[Columna3]]*RUTA477[[#This Row],[Columna4]]</f>
        <v>4.7660714285714292</v>
      </c>
    </row>
    <row r="63" spans="1:5">
      <c r="A63" s="30" t="s">
        <v>706</v>
      </c>
      <c r="B63" s="30" t="s">
        <v>705</v>
      </c>
      <c r="C63" s="30">
        <v>2</v>
      </c>
      <c r="D63" s="30">
        <f>VLOOKUP(RUTA477[[#This Row],[Columna1]],Tabla14[#All],6,0)</f>
        <v>0.70833333333333337</v>
      </c>
      <c r="E63" s="30">
        <f>RUTA477[[#This Row],[Columna3]]*RUTA477[[#This Row],[Columna4]]</f>
        <v>1.4166666666666667</v>
      </c>
    </row>
    <row r="64" spans="1:5">
      <c r="A64" s="30" t="s">
        <v>109</v>
      </c>
      <c r="B64" s="30" t="s">
        <v>108</v>
      </c>
      <c r="C64" s="30">
        <v>2123</v>
      </c>
      <c r="D64" s="30">
        <f>VLOOKUP(RUTA477[[#This Row],[Columna1]],Tabla14[#All],6,0)</f>
        <v>0.44166666666666665</v>
      </c>
      <c r="E64" s="30">
        <f>RUTA477[[#This Row],[Columna3]]*RUTA477[[#This Row],[Columna4]]</f>
        <v>937.6583333333333</v>
      </c>
    </row>
    <row r="65" spans="1:5">
      <c r="A65" s="30" t="s">
        <v>107</v>
      </c>
      <c r="B65" s="30" t="s">
        <v>106</v>
      </c>
      <c r="C65" s="30">
        <v>2424</v>
      </c>
      <c r="D65" s="30">
        <f>VLOOKUP(RUTA477[[#This Row],[Columna1]],Tabla14[#All],6,0)</f>
        <v>0.44166666666666665</v>
      </c>
      <c r="E65" s="30">
        <f>RUTA477[[#This Row],[Columna3]]*RUTA477[[#This Row],[Columna4]]</f>
        <v>1070.5999999999999</v>
      </c>
    </row>
    <row r="66" spans="1:5">
      <c r="A66" s="30" t="s">
        <v>482</v>
      </c>
      <c r="B66" s="30" t="s">
        <v>481</v>
      </c>
      <c r="C66" s="30">
        <v>39</v>
      </c>
      <c r="D66" s="30">
        <f>VLOOKUP(RUTA477[[#This Row],[Columna1]],Tabla14[#All],6,0)</f>
        <v>0.11493055555555556</v>
      </c>
      <c r="E66" s="30">
        <f>RUTA477[[#This Row],[Columna3]]*RUTA477[[#This Row],[Columna4]]</f>
        <v>4.4822916666666668</v>
      </c>
    </row>
    <row r="67" spans="1:5">
      <c r="A67" s="30" t="s">
        <v>498</v>
      </c>
      <c r="B67" s="30" t="s">
        <v>497</v>
      </c>
      <c r="C67" s="30">
        <v>25</v>
      </c>
      <c r="D67" s="30">
        <f>VLOOKUP(RUTA477[[#This Row],[Columna1]],Tabla14[#All],6,0)</f>
        <v>0.44166666666666665</v>
      </c>
      <c r="E67" s="30">
        <f>RUTA477[[#This Row],[Columna3]]*RUTA477[[#This Row],[Columna4]]</f>
        <v>11.041666666666666</v>
      </c>
    </row>
    <row r="68" spans="1:5">
      <c r="A68" s="30" t="s">
        <v>539</v>
      </c>
      <c r="B68" s="30" t="s">
        <v>538</v>
      </c>
      <c r="C68" s="30">
        <v>6</v>
      </c>
      <c r="D68" s="30">
        <f>VLOOKUP(RUTA477[[#This Row],[Columna1]],Tabla14[#All],6,0)</f>
        <v>4</v>
      </c>
      <c r="E68" s="30">
        <f>RUTA477[[#This Row],[Columna3]]*RUTA477[[#This Row],[Columna4]]</f>
        <v>24</v>
      </c>
    </row>
    <row r="69" spans="1:5">
      <c r="A69" s="30" t="s">
        <v>533</v>
      </c>
      <c r="B69" s="30" t="s">
        <v>532</v>
      </c>
      <c r="C69" s="30">
        <v>48</v>
      </c>
      <c r="D69" s="30">
        <f>VLOOKUP(RUTA477[[#This Row],[Columna1]],Tabla14[#All],6,0)</f>
        <v>0.5</v>
      </c>
      <c r="E69" s="30">
        <f>RUTA477[[#This Row],[Columna3]]*RUTA477[[#This Row],[Columna4]]</f>
        <v>24</v>
      </c>
    </row>
    <row r="70" spans="1:5">
      <c r="A70" s="30" t="s">
        <v>490</v>
      </c>
      <c r="B70" s="30" t="s">
        <v>2277</v>
      </c>
      <c r="C70" s="30">
        <v>2</v>
      </c>
      <c r="D70" s="30">
        <f>VLOOKUP(RUTA477[[#This Row],[Columna1]],Tabla14[#All],6,0)</f>
        <v>1.7125000000000001</v>
      </c>
      <c r="E70" s="30">
        <f>RUTA477[[#This Row],[Columna3]]*RUTA477[[#This Row],[Columna4]]</f>
        <v>3.4250000000000003</v>
      </c>
    </row>
    <row r="71" spans="1:5">
      <c r="A71" s="30" t="s">
        <v>504</v>
      </c>
      <c r="B71" s="30" t="s">
        <v>503</v>
      </c>
      <c r="C71" s="30">
        <v>18</v>
      </c>
      <c r="D71" s="30">
        <f>VLOOKUP(RUTA477[[#This Row],[Columna1]],Tabla14[#All],6,0)</f>
        <v>2.2083333333333335</v>
      </c>
      <c r="E71" s="30">
        <f>RUTA477[[#This Row],[Columna3]]*RUTA477[[#This Row],[Columna4]]</f>
        <v>39.75</v>
      </c>
    </row>
    <row r="72" spans="1:5">
      <c r="A72" s="30" t="s">
        <v>103</v>
      </c>
      <c r="B72" s="30" t="s">
        <v>1147</v>
      </c>
      <c r="C72" s="30">
        <v>1938</v>
      </c>
      <c r="D72" s="30">
        <f>VLOOKUP(RUTA477[[#This Row],[Columna1]],Tabla14[#All],6,0)</f>
        <v>0.72916666666666663</v>
      </c>
      <c r="E72" s="30">
        <f>RUTA477[[#This Row],[Columna3]]*RUTA477[[#This Row],[Columna4]]</f>
        <v>1413.125</v>
      </c>
    </row>
    <row r="73" spans="1:5">
      <c r="A73" s="30" t="s">
        <v>535</v>
      </c>
      <c r="B73" s="30" t="s">
        <v>534</v>
      </c>
      <c r="C73" s="30">
        <v>21</v>
      </c>
      <c r="D73" s="30">
        <f>VLOOKUP(RUTA477[[#This Row],[Columna1]],Tabla14[#All],6,0)</f>
        <v>1.75</v>
      </c>
      <c r="E73" s="30">
        <f>RUTA477[[#This Row],[Columna3]]*RUTA477[[#This Row],[Columna4]]</f>
        <v>36.75</v>
      </c>
    </row>
    <row r="74" spans="1:5">
      <c r="A74" s="30" t="s">
        <v>502</v>
      </c>
      <c r="B74" s="30" t="s">
        <v>501</v>
      </c>
      <c r="C74" s="30">
        <v>12</v>
      </c>
      <c r="D74" s="30">
        <f>VLOOKUP(RUTA477[[#This Row],[Columna1]],Tabla14[#All],6,0)</f>
        <v>2.2083333333333335</v>
      </c>
      <c r="E74" s="30">
        <f>RUTA477[[#This Row],[Columna3]]*RUTA477[[#This Row],[Columna4]]</f>
        <v>26.5</v>
      </c>
    </row>
    <row r="75" spans="1:5">
      <c r="A75" s="30" t="s">
        <v>549</v>
      </c>
      <c r="B75" s="30" t="s">
        <v>548</v>
      </c>
      <c r="C75" s="30">
        <v>54</v>
      </c>
      <c r="D75" s="30">
        <f>VLOOKUP(RUTA477[[#This Row],[Columna1]],Tabla14[#All],6,0)</f>
        <v>0.72916666666666663</v>
      </c>
      <c r="E75" s="30">
        <f>RUTA477[[#This Row],[Columna3]]*RUTA477[[#This Row],[Columna4]]</f>
        <v>39.375</v>
      </c>
    </row>
    <row r="76" spans="1:5">
      <c r="A76" s="30" t="s">
        <v>547</v>
      </c>
      <c r="B76" s="30" t="s">
        <v>546</v>
      </c>
      <c r="C76" s="30">
        <v>6</v>
      </c>
      <c r="D76" s="30">
        <f>VLOOKUP(RUTA477[[#This Row],[Columna1]],Tabla14[#All],6,0)</f>
        <v>0.72916666666666663</v>
      </c>
      <c r="E76" s="30">
        <f>RUTA477[[#This Row],[Columna3]]*RUTA477[[#This Row],[Columna4]]</f>
        <v>4.375</v>
      </c>
    </row>
    <row r="77" spans="1:5">
      <c r="A77" s="30" t="s">
        <v>129</v>
      </c>
      <c r="B77" s="30" t="s">
        <v>128</v>
      </c>
      <c r="C77" s="30">
        <v>60</v>
      </c>
      <c r="D77" s="30">
        <f>VLOOKUP(RUTA477[[#This Row],[Columna1]],Tabla14[#All],6,0)</f>
        <v>0.72916666666666663</v>
      </c>
      <c r="E77" s="30">
        <f>RUTA477[[#This Row],[Columna3]]*RUTA477[[#This Row],[Columna4]]</f>
        <v>43.75</v>
      </c>
    </row>
    <row r="78" spans="1:5">
      <c r="A78" s="30" t="s">
        <v>512</v>
      </c>
      <c r="B78" s="30" t="s">
        <v>2236</v>
      </c>
      <c r="C78" s="30">
        <v>72</v>
      </c>
      <c r="D78" s="30">
        <f>VLOOKUP(RUTA477[[#This Row],[Columna1]],Tabla14[#All],6,0)</f>
        <v>0.72916666666666663</v>
      </c>
      <c r="E78" s="30">
        <f>RUTA477[[#This Row],[Columna3]]*RUTA477[[#This Row],[Columna4]]</f>
        <v>52.5</v>
      </c>
    </row>
    <row r="79" spans="1:5">
      <c r="A79" s="30" t="s">
        <v>102</v>
      </c>
      <c r="B79" s="30" t="s">
        <v>101</v>
      </c>
      <c r="C79" s="30">
        <v>42</v>
      </c>
      <c r="D79" s="30">
        <f>VLOOKUP(RUTA477[[#This Row],[Columna1]],Tabla14[#All],6,0)</f>
        <v>0.72916666666666663</v>
      </c>
      <c r="E79" s="30">
        <f>RUTA477[[#This Row],[Columna3]]*RUTA477[[#This Row],[Columna4]]</f>
        <v>30.625</v>
      </c>
    </row>
    <row r="80" spans="1:5">
      <c r="A80" s="30" t="s">
        <v>510</v>
      </c>
      <c r="B80" s="30" t="s">
        <v>1237</v>
      </c>
      <c r="C80" s="30">
        <v>6</v>
      </c>
      <c r="D80" s="30">
        <f>VLOOKUP(RUTA477[[#This Row],[Columna1]],Tabla14[#All],6,0)</f>
        <v>0.72916666666666663</v>
      </c>
      <c r="E80" s="30">
        <f>RUTA477[[#This Row],[Columna3]]*RUTA477[[#This Row],[Columna4]]</f>
        <v>4.375</v>
      </c>
    </row>
    <row r="81" spans="1:5">
      <c r="A81" s="30" t="s">
        <v>1535</v>
      </c>
      <c r="B81" s="30" t="s">
        <v>1534</v>
      </c>
      <c r="C81" s="30">
        <v>24</v>
      </c>
      <c r="D81" s="30">
        <f>VLOOKUP(RUTA477[[#This Row],[Columna1]],Tabla14[#All],6,0)</f>
        <v>0.72916666666666663</v>
      </c>
      <c r="E81" s="30">
        <f>RUTA477[[#This Row],[Columna3]]*RUTA477[[#This Row],[Columna4]]</f>
        <v>17.5</v>
      </c>
    </row>
    <row r="82" spans="1:5">
      <c r="A82" s="30" t="s">
        <v>2228</v>
      </c>
      <c r="B82" s="30" t="s">
        <v>2227</v>
      </c>
      <c r="C82" s="30">
        <v>1339</v>
      </c>
      <c r="D82" s="30">
        <f>VLOOKUP(RUTA477[[#This Row],[Columna1]],Tabla14[#All],6,0)</f>
        <v>0.33958333333333335</v>
      </c>
      <c r="E82" s="30">
        <f>RUTA477[[#This Row],[Columna3]]*RUTA477[[#This Row],[Columna4]]</f>
        <v>454.70208333333335</v>
      </c>
    </row>
    <row r="83" spans="1:5">
      <c r="A83" s="30" t="s">
        <v>1716</v>
      </c>
      <c r="B83" s="30" t="s">
        <v>1715</v>
      </c>
      <c r="C83" s="30">
        <v>24</v>
      </c>
      <c r="D83" s="30">
        <f>VLOOKUP(RUTA477[[#This Row],[Columna1]],Tabla14[#All],6,0)</f>
        <v>0.25</v>
      </c>
      <c r="E83" s="30">
        <f>RUTA477[[#This Row],[Columna3]]*RUTA477[[#This Row],[Columna4]]</f>
        <v>6</v>
      </c>
    </row>
    <row r="84" spans="1:5">
      <c r="A84" s="30" t="s">
        <v>115</v>
      </c>
      <c r="B84" s="30" t="s">
        <v>114</v>
      </c>
      <c r="C84" s="30">
        <v>18</v>
      </c>
      <c r="D84" s="30">
        <f>VLOOKUP(RUTA477[[#This Row],[Columna1]],Tabla14[#All],6,0)</f>
        <v>0.65625</v>
      </c>
      <c r="E84" s="30">
        <f>RUTA477[[#This Row],[Columna3]]*RUTA477[[#This Row],[Columna4]]</f>
        <v>11.8125</v>
      </c>
    </row>
    <row r="85" spans="1:5">
      <c r="A85" s="30" t="s">
        <v>529</v>
      </c>
      <c r="B85" s="30" t="s">
        <v>528</v>
      </c>
      <c r="C85" s="30">
        <v>97</v>
      </c>
      <c r="D85" s="30">
        <f>VLOOKUP(RUTA477[[#This Row],[Columna1]],Tabla14[#All],6,0)</f>
        <v>0.34375</v>
      </c>
      <c r="E85" s="30">
        <f>RUTA477[[#This Row],[Columna3]]*RUTA477[[#This Row],[Columna4]]</f>
        <v>33.34375</v>
      </c>
    </row>
    <row r="86" spans="1:5">
      <c r="A86" s="30" t="s">
        <v>508</v>
      </c>
      <c r="B86" s="30" t="s">
        <v>507</v>
      </c>
      <c r="C86" s="30">
        <v>6</v>
      </c>
      <c r="D86" s="30">
        <f>VLOOKUP(RUTA477[[#This Row],[Columna1]],Tabla14[#All],6,0)</f>
        <v>0.72916666666666663</v>
      </c>
      <c r="E86" s="30">
        <f>RUTA477[[#This Row],[Columna3]]*RUTA477[[#This Row],[Columna4]]</f>
        <v>4.375</v>
      </c>
    </row>
    <row r="87" spans="1:5">
      <c r="A87" s="30" t="s">
        <v>506</v>
      </c>
      <c r="B87" s="30" t="s">
        <v>505</v>
      </c>
      <c r="C87" s="30">
        <v>18</v>
      </c>
      <c r="D87" s="30">
        <f>VLOOKUP(RUTA477[[#This Row],[Columna1]],Tabla14[#All],6,0)</f>
        <v>0.72916666666666663</v>
      </c>
      <c r="E87" s="30">
        <f>RUTA477[[#This Row],[Columna3]]*RUTA477[[#This Row],[Columna4]]</f>
        <v>13.125</v>
      </c>
    </row>
    <row r="88" spans="1:5">
      <c r="A88" s="30" t="s">
        <v>113</v>
      </c>
      <c r="B88" s="30" t="s">
        <v>112</v>
      </c>
      <c r="C88" s="30">
        <v>54</v>
      </c>
      <c r="D88" s="30">
        <f>VLOOKUP(RUTA477[[#This Row],[Columna1]],Tabla14[#All],6,0)</f>
        <v>0.9375</v>
      </c>
      <c r="E88" s="30">
        <f>RUTA477[[#This Row],[Columna3]]*RUTA477[[#This Row],[Columna4]]</f>
        <v>50.625</v>
      </c>
    </row>
    <row r="89" spans="1:5">
      <c r="A89" s="30" t="s">
        <v>1933</v>
      </c>
      <c r="B89" s="30" t="s">
        <v>1934</v>
      </c>
      <c r="C89" s="30">
        <v>4</v>
      </c>
      <c r="D89" s="30">
        <f>VLOOKUP(RUTA477[[#This Row],[Columna1]],Tabla14[#All],6,0)</f>
        <v>0.35625000000000001</v>
      </c>
      <c r="E89" s="30">
        <f>RUTA477[[#This Row],[Columna3]]*RUTA477[[#This Row],[Columna4]]</f>
        <v>1.425</v>
      </c>
    </row>
    <row r="90" spans="1:5">
      <c r="A90" s="30" t="s">
        <v>857</v>
      </c>
      <c r="B90" s="30" t="s">
        <v>856</v>
      </c>
      <c r="C90" s="30">
        <v>1</v>
      </c>
      <c r="D90" s="30">
        <f>VLOOKUP(RUTA477[[#This Row],[Columna1]],Tabla14[#All],6,0)</f>
        <v>1.3125</v>
      </c>
      <c r="E90" s="30">
        <f>RUTA477[[#This Row],[Columna3]]*RUTA477[[#This Row],[Columna4]]</f>
        <v>1.3125</v>
      </c>
    </row>
    <row r="91" spans="1:5">
      <c r="A91" s="30" t="s">
        <v>825</v>
      </c>
      <c r="B91" s="30" t="s">
        <v>824</v>
      </c>
      <c r="C91" s="30">
        <v>2</v>
      </c>
      <c r="D91" s="30">
        <f>VLOOKUP(RUTA477[[#This Row],[Columna1]],Tabla14[#All],6,0)</f>
        <v>0.37040000000000001</v>
      </c>
      <c r="E91" s="30">
        <f>RUTA477[[#This Row],[Columna3]]*RUTA477[[#This Row],[Columna4]]</f>
        <v>0.74080000000000001</v>
      </c>
    </row>
    <row r="92" spans="1:5">
      <c r="A92" s="30" t="s">
        <v>1708</v>
      </c>
      <c r="B92" s="30" t="s">
        <v>1707</v>
      </c>
      <c r="C92" s="30">
        <v>1</v>
      </c>
      <c r="D92" s="30">
        <f>VLOOKUP(RUTA477[[#This Row],[Columna1]],Tabla14[#All],6,0)</f>
        <v>0.6</v>
      </c>
      <c r="E92" s="30">
        <f>RUTA477[[#This Row],[Columna3]]*RUTA477[[#This Row],[Columna4]]</f>
        <v>0.6</v>
      </c>
    </row>
    <row r="93" spans="1:5">
      <c r="A93" s="30" t="s">
        <v>2216</v>
      </c>
      <c r="B93" s="30" t="s">
        <v>2215</v>
      </c>
      <c r="C93" s="30">
        <v>6</v>
      </c>
      <c r="D93" s="30">
        <f>VLOOKUP(RUTA477[[#This Row],[Columna1]],Tabla14[#All],6,0)</f>
        <v>0.356875</v>
      </c>
      <c r="E93" s="30">
        <f>RUTA477[[#This Row],[Columna3]]*RUTA477[[#This Row],[Columna4]]</f>
        <v>2.1412499999999999</v>
      </c>
    </row>
    <row r="94" spans="1:5">
      <c r="A94" s="30" t="s">
        <v>1749</v>
      </c>
      <c r="B94" s="30" t="s">
        <v>2008</v>
      </c>
      <c r="C94" s="30">
        <v>1</v>
      </c>
      <c r="D94" s="30">
        <f>VLOOKUP(RUTA477[[#This Row],[Columna1]],Tabla14[#All],6,0)</f>
        <v>0.71375</v>
      </c>
      <c r="E94" s="30">
        <f>RUTA477[[#This Row],[Columna3]]*RUTA477[[#This Row],[Columna4]]</f>
        <v>0.71375</v>
      </c>
    </row>
    <row r="95" spans="1:5">
      <c r="A95" s="30" t="s">
        <v>1330</v>
      </c>
      <c r="B95" s="30" t="s">
        <v>2221</v>
      </c>
      <c r="C95" s="30">
        <v>1</v>
      </c>
      <c r="D95" s="30">
        <f>VLOOKUP(RUTA477[[#This Row],[Columna1]],Tabla14[#All],6,0)</f>
        <v>0.62</v>
      </c>
      <c r="E95" s="30">
        <f>RUTA477[[#This Row],[Columna3]]*RUTA477[[#This Row],[Columna4]]</f>
        <v>0.62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0753-59E8-40C6-AD8E-306A9D6370DB}">
  <dimension ref="A1:E36"/>
  <sheetViews>
    <sheetView workbookViewId="0"/>
  </sheetViews>
  <sheetFormatPr baseColWidth="10" defaultRowHeight="14.4"/>
  <cols>
    <col min="1" max="1" width="11.5546875" style="30"/>
    <col min="2" max="2" width="43.8867187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79">
        <v>68524852</v>
      </c>
      <c r="B2" s="79" t="s">
        <v>255</v>
      </c>
      <c r="C2" s="78">
        <v>6</v>
      </c>
      <c r="D2" s="30">
        <f>VLOOKUP(RUTA481[[#This Row],[Columna1]],Tabla14[#All],6,0)</f>
        <v>0.61875000000000002</v>
      </c>
      <c r="E2" s="30">
        <f>RUTA481[[#This Row],[Columna3]]*RUTA481[[#This Row],[Columna4]]</f>
        <v>3.7125000000000004</v>
      </c>
    </row>
    <row r="3" spans="1:5">
      <c r="A3" s="79">
        <v>68923657</v>
      </c>
      <c r="B3" s="79" t="s">
        <v>1320</v>
      </c>
      <c r="C3" s="78">
        <v>24</v>
      </c>
      <c r="D3" s="30">
        <f>VLOOKUP(RUTA481[[#This Row],[Columna1]],Tabla14[#All],6,0)</f>
        <v>0.92</v>
      </c>
      <c r="E3" s="30">
        <f>RUTA481[[#This Row],[Columna3]]*RUTA481[[#This Row],[Columna4]]</f>
        <v>22.080000000000002</v>
      </c>
    </row>
    <row r="4" spans="1:5">
      <c r="A4" s="79">
        <v>69678222</v>
      </c>
      <c r="B4" s="79" t="s">
        <v>2088</v>
      </c>
      <c r="C4" s="78">
        <v>72</v>
      </c>
      <c r="D4" s="30">
        <f>VLOOKUP(RUTA481[[#This Row],[Columna1]],Tabla14[#All],6,0)</f>
        <v>0.5541666666666667</v>
      </c>
      <c r="E4" s="30">
        <f>RUTA481[[#This Row],[Columna3]]*RUTA481[[#This Row],[Columna4]]</f>
        <v>39.900000000000006</v>
      </c>
    </row>
    <row r="5" spans="1:5">
      <c r="A5" s="79">
        <v>69678220</v>
      </c>
      <c r="B5" s="79" t="s">
        <v>2220</v>
      </c>
      <c r="C5" s="78">
        <v>24</v>
      </c>
      <c r="D5" s="30">
        <f>VLOOKUP(RUTA481[[#This Row],[Columna1]],Tabla14[#All],6,0)</f>
        <v>0.61875000000000002</v>
      </c>
      <c r="E5" s="30">
        <f>RUTA481[[#This Row],[Columna3]]*RUTA481[[#This Row],[Columna4]]</f>
        <v>14.850000000000001</v>
      </c>
    </row>
    <row r="6" spans="1:5">
      <c r="A6" s="79">
        <v>68524859</v>
      </c>
      <c r="B6" s="79" t="s">
        <v>66</v>
      </c>
      <c r="C6" s="78">
        <v>12</v>
      </c>
      <c r="D6" s="30">
        <f>VLOOKUP(RUTA481[[#This Row],[Columna1]],Tabla14[#All],6,0)</f>
        <v>0.61875000000000002</v>
      </c>
      <c r="E6" s="30">
        <f>RUTA481[[#This Row],[Columna3]]*RUTA481[[#This Row],[Columna4]]</f>
        <v>7.4250000000000007</v>
      </c>
    </row>
    <row r="7" spans="1:5">
      <c r="A7" s="79">
        <v>68524861</v>
      </c>
      <c r="B7" s="79" t="s">
        <v>1144</v>
      </c>
      <c r="C7" s="78">
        <v>12</v>
      </c>
      <c r="D7" s="30">
        <f>VLOOKUP(RUTA481[[#This Row],[Columna1]],Tabla14[#All],6,0)</f>
        <v>0.61875000000000002</v>
      </c>
      <c r="E7" s="30">
        <f>RUTA481[[#This Row],[Columna3]]*RUTA481[[#This Row],[Columna4]]</f>
        <v>7.4250000000000007</v>
      </c>
    </row>
    <row r="8" spans="1:5">
      <c r="A8" s="79">
        <v>68775732</v>
      </c>
      <c r="B8" s="79" t="s">
        <v>65</v>
      </c>
      <c r="C8" s="78">
        <v>18</v>
      </c>
      <c r="D8" s="30">
        <f>VLOOKUP(RUTA481[[#This Row],[Columna1]],Tabla14[#All],6,0)</f>
        <v>0.3175</v>
      </c>
      <c r="E8" s="30">
        <f>RUTA481[[#This Row],[Columna3]]*RUTA481[[#This Row],[Columna4]]</f>
        <v>5.7149999999999999</v>
      </c>
    </row>
    <row r="9" spans="1:5">
      <c r="A9" s="79">
        <v>69627014</v>
      </c>
      <c r="B9" s="79" t="s">
        <v>2003</v>
      </c>
      <c r="C9" s="78">
        <v>6</v>
      </c>
      <c r="D9" s="30">
        <f>VLOOKUP(RUTA481[[#This Row],[Columna1]],Tabla14[#All],6,0)</f>
        <v>0.19166666666666665</v>
      </c>
      <c r="E9" s="30">
        <f>RUTA481[[#This Row],[Columna3]]*RUTA481[[#This Row],[Columna4]]</f>
        <v>1.1499999999999999</v>
      </c>
    </row>
    <row r="10" spans="1:5">
      <c r="A10" s="79">
        <v>68380364</v>
      </c>
      <c r="B10" s="79" t="s">
        <v>1241</v>
      </c>
      <c r="C10" s="78">
        <v>6</v>
      </c>
      <c r="D10" s="30">
        <f>VLOOKUP(RUTA481[[#This Row],[Columna1]],Tabla14[#All],6,0)</f>
        <v>0.19166666666666665</v>
      </c>
      <c r="E10" s="30">
        <f>RUTA481[[#This Row],[Columna3]]*RUTA481[[#This Row],[Columna4]]</f>
        <v>1.1499999999999999</v>
      </c>
    </row>
    <row r="11" spans="1:5">
      <c r="A11" s="79">
        <v>68380352</v>
      </c>
      <c r="B11" s="79" t="s">
        <v>1242</v>
      </c>
      <c r="C11" s="78">
        <v>6</v>
      </c>
      <c r="D11" s="30">
        <f>VLOOKUP(RUTA481[[#This Row],[Columna1]],Tabla14[#All],6,0)</f>
        <v>0.19166666666666665</v>
      </c>
      <c r="E11" s="30">
        <f>RUTA481[[#This Row],[Columna3]]*RUTA481[[#This Row],[Columna4]]</f>
        <v>1.1499999999999999</v>
      </c>
    </row>
    <row r="12" spans="1:5">
      <c r="A12" s="79">
        <v>579235</v>
      </c>
      <c r="B12" s="79" t="s">
        <v>69</v>
      </c>
      <c r="C12" s="78">
        <v>12</v>
      </c>
      <c r="D12" s="30">
        <f>VLOOKUP(RUTA481[[#This Row],[Columna1]],Tabla14[#All],6,0)</f>
        <v>0.19583333333333333</v>
      </c>
      <c r="E12" s="30">
        <f>RUTA481[[#This Row],[Columna3]]*RUTA481[[#This Row],[Columna4]]</f>
        <v>2.35</v>
      </c>
    </row>
    <row r="13" spans="1:5">
      <c r="A13" s="79">
        <v>68444067</v>
      </c>
      <c r="B13" s="79" t="s">
        <v>880</v>
      </c>
      <c r="C13" s="78">
        <v>3</v>
      </c>
      <c r="D13" s="30">
        <f>VLOOKUP(RUTA481[[#This Row],[Columna1]],Tabla14[#All],6,0)</f>
        <v>0.19833333333333333</v>
      </c>
      <c r="E13" s="30">
        <f>RUTA481[[#This Row],[Columna3]]*RUTA481[[#This Row],[Columna4]]</f>
        <v>0.59499999999999997</v>
      </c>
    </row>
    <row r="14" spans="1:5">
      <c r="A14" s="79">
        <v>579407</v>
      </c>
      <c r="B14" s="79" t="s">
        <v>2230</v>
      </c>
      <c r="C14" s="78">
        <v>3</v>
      </c>
      <c r="D14" s="30">
        <f>VLOOKUP(RUTA481[[#This Row],[Columna1]],Tabla14[#All],6,0)</f>
        <v>0.11041666666666666</v>
      </c>
      <c r="E14" s="30">
        <f>RUTA481[[#This Row],[Columna3]]*RUTA481[[#This Row],[Columna4]]</f>
        <v>0.33124999999999999</v>
      </c>
    </row>
    <row r="15" spans="1:5">
      <c r="A15" s="79">
        <v>579407</v>
      </c>
      <c r="B15" s="79" t="s">
        <v>2230</v>
      </c>
      <c r="C15" s="78">
        <v>1</v>
      </c>
      <c r="D15" s="30">
        <f>VLOOKUP(RUTA481[[#This Row],[Columna1]],Tabla14[#All],6,0)</f>
        <v>0.11041666666666666</v>
      </c>
      <c r="E15" s="30">
        <f>RUTA481[[#This Row],[Columna3]]*RUTA481[[#This Row],[Columna4]]</f>
        <v>0.11041666666666666</v>
      </c>
    </row>
    <row r="16" spans="1:5">
      <c r="A16" s="79">
        <v>579409</v>
      </c>
      <c r="B16" s="79" t="s">
        <v>2233</v>
      </c>
      <c r="C16" s="78">
        <v>6</v>
      </c>
      <c r="D16" s="30">
        <f>VLOOKUP(RUTA481[[#This Row],[Columna1]],Tabla14[#All],6,0)</f>
        <v>0.11041666666666666</v>
      </c>
      <c r="E16" s="30">
        <f>RUTA481[[#This Row],[Columna3]]*RUTA481[[#This Row],[Columna4]]</f>
        <v>0.66249999999999998</v>
      </c>
    </row>
    <row r="17" spans="1:5">
      <c r="A17" s="79">
        <v>68637162</v>
      </c>
      <c r="B17" s="79" t="s">
        <v>1202</v>
      </c>
      <c r="C17" s="78">
        <v>4</v>
      </c>
      <c r="D17" s="30">
        <f>VLOOKUP(RUTA481[[#This Row],[Columna1]],Tabla14[#All],6,0)</f>
        <v>1.4624999999999999</v>
      </c>
      <c r="E17" s="30">
        <f>RUTA481[[#This Row],[Columna3]]*RUTA481[[#This Row],[Columna4]]</f>
        <v>5.85</v>
      </c>
    </row>
    <row r="18" spans="1:5">
      <c r="A18" s="79">
        <v>67611013</v>
      </c>
      <c r="B18" s="79" t="s">
        <v>1157</v>
      </c>
      <c r="C18" s="78">
        <v>2</v>
      </c>
      <c r="D18" s="30">
        <f>VLOOKUP(RUTA481[[#This Row],[Columna1]],Tabla14[#All],6,0)</f>
        <v>2.65</v>
      </c>
      <c r="E18" s="30">
        <f>RUTA481[[#This Row],[Columna3]]*RUTA481[[#This Row],[Columna4]]</f>
        <v>5.3</v>
      </c>
    </row>
    <row r="19" spans="1:5">
      <c r="A19" s="79">
        <v>84171576</v>
      </c>
      <c r="B19" s="79" t="s">
        <v>266</v>
      </c>
      <c r="C19" s="78">
        <v>6</v>
      </c>
      <c r="D19" s="30">
        <f>VLOOKUP(RUTA481[[#This Row],[Columna1]],Tabla14[#All],6,0)</f>
        <v>0.1125</v>
      </c>
      <c r="E19" s="30">
        <f>RUTA481[[#This Row],[Columna3]]*RUTA481[[#This Row],[Columna4]]</f>
        <v>0.67500000000000004</v>
      </c>
    </row>
    <row r="20" spans="1:5">
      <c r="A20" s="79">
        <v>588831</v>
      </c>
      <c r="B20" s="79" t="s">
        <v>2214</v>
      </c>
      <c r="C20" s="78">
        <v>3</v>
      </c>
      <c r="D20" s="30">
        <f>VLOOKUP(RUTA481[[#This Row],[Columna1]],Tabla14[#All],6,0)</f>
        <v>0.21666666666666667</v>
      </c>
      <c r="E20" s="30">
        <f>RUTA481[[#This Row],[Columna3]]*RUTA481[[#This Row],[Columna4]]</f>
        <v>0.65</v>
      </c>
    </row>
    <row r="21" spans="1:5">
      <c r="A21" s="79">
        <v>84157033</v>
      </c>
      <c r="B21" s="79" t="s">
        <v>2083</v>
      </c>
      <c r="C21" s="78">
        <v>288</v>
      </c>
      <c r="D21" s="30">
        <f>VLOOKUP(RUTA481[[#This Row],[Columna1]],Tabla14[#All],6,0)</f>
        <v>0.11944444444444444</v>
      </c>
      <c r="E21" s="30">
        <f>RUTA481[[#This Row],[Columna3]]*RUTA481[[#This Row],[Columna4]]</f>
        <v>34.4</v>
      </c>
    </row>
    <row r="22" spans="1:5">
      <c r="A22" s="79">
        <v>84157033</v>
      </c>
      <c r="B22" s="79" t="s">
        <v>2083</v>
      </c>
      <c r="C22" s="78">
        <v>12</v>
      </c>
      <c r="D22" s="30">
        <f>VLOOKUP(RUTA481[[#This Row],[Columna1]],Tabla14[#All],6,0)</f>
        <v>0.11944444444444444</v>
      </c>
      <c r="E22" s="30">
        <f>RUTA481[[#This Row],[Columna3]]*RUTA481[[#This Row],[Columna4]]</f>
        <v>1.4333333333333331</v>
      </c>
    </row>
    <row r="23" spans="1:5">
      <c r="A23" s="79">
        <v>69584500</v>
      </c>
      <c r="B23" s="79" t="s">
        <v>2166</v>
      </c>
      <c r="C23" s="78">
        <v>800</v>
      </c>
      <c r="D23" s="30">
        <f>VLOOKUP(RUTA481[[#This Row],[Columna1]],Tabla14[#All],6,0)</f>
        <v>9.9124999999999991E-2</v>
      </c>
      <c r="E23" s="30">
        <f>RUTA481[[#This Row],[Columna3]]*RUTA481[[#This Row],[Columna4]]</f>
        <v>79.3</v>
      </c>
    </row>
    <row r="24" spans="1:5">
      <c r="A24" s="79">
        <v>69584500</v>
      </c>
      <c r="B24" s="79" t="s">
        <v>2166</v>
      </c>
      <c r="C24" s="78">
        <v>40</v>
      </c>
      <c r="D24" s="30">
        <f>VLOOKUP(RUTA481[[#This Row],[Columna1]],Tabla14[#All],6,0)</f>
        <v>9.9124999999999991E-2</v>
      </c>
      <c r="E24" s="30">
        <f>RUTA481[[#This Row],[Columna3]]*RUTA481[[#This Row],[Columna4]]</f>
        <v>3.9649999999999999</v>
      </c>
    </row>
    <row r="25" spans="1:5">
      <c r="A25" s="79">
        <v>69584487</v>
      </c>
      <c r="B25" s="79" t="s">
        <v>2202</v>
      </c>
      <c r="C25" s="78">
        <v>120</v>
      </c>
      <c r="D25" s="30">
        <f>VLOOKUP(RUTA481[[#This Row],[Columna1]],Tabla14[#All],6,0)</f>
        <v>9.9166666666666667E-2</v>
      </c>
      <c r="E25" s="30">
        <f>RUTA481[[#This Row],[Columna3]]*RUTA481[[#This Row],[Columna4]]</f>
        <v>11.9</v>
      </c>
    </row>
    <row r="26" spans="1:5">
      <c r="A26" s="79">
        <v>69584483</v>
      </c>
      <c r="B26" s="79" t="s">
        <v>1553</v>
      </c>
      <c r="C26" s="78">
        <v>160</v>
      </c>
      <c r="D26" s="30">
        <f>VLOOKUP(RUTA481[[#This Row],[Columna1]],Tabla14[#All],6,0)</f>
        <v>0.40750000000000003</v>
      </c>
      <c r="E26" s="30">
        <f>RUTA481[[#This Row],[Columna3]]*RUTA481[[#This Row],[Columna4]]</f>
        <v>65.2</v>
      </c>
    </row>
    <row r="27" spans="1:5">
      <c r="A27" s="79">
        <v>69761868</v>
      </c>
      <c r="B27" s="79" t="s">
        <v>2024</v>
      </c>
      <c r="C27" s="78">
        <v>3840</v>
      </c>
      <c r="D27" s="30">
        <f>VLOOKUP(RUTA481[[#This Row],[Columna1]],Tabla14[#All],6,0)</f>
        <v>0.19843750000000002</v>
      </c>
      <c r="E27" s="30">
        <f>RUTA481[[#This Row],[Columna3]]*RUTA481[[#This Row],[Columna4]]</f>
        <v>762.00000000000011</v>
      </c>
    </row>
    <row r="28" spans="1:5">
      <c r="A28" s="79">
        <v>69761861</v>
      </c>
      <c r="B28" s="79" t="s">
        <v>1987</v>
      </c>
      <c r="C28" s="78">
        <v>960</v>
      </c>
      <c r="D28" s="30">
        <f>VLOOKUP(RUTA481[[#This Row],[Columna1]],Tabla14[#All],6,0)</f>
        <v>0.19833333333333333</v>
      </c>
      <c r="E28" s="30">
        <f>RUTA481[[#This Row],[Columna3]]*RUTA481[[#This Row],[Columna4]]</f>
        <v>190.4</v>
      </c>
    </row>
    <row r="29" spans="1:5">
      <c r="A29" s="79">
        <v>69761865</v>
      </c>
      <c r="B29" s="79" t="s">
        <v>2134</v>
      </c>
      <c r="C29" s="78">
        <v>240</v>
      </c>
      <c r="D29" s="30">
        <f>VLOOKUP(RUTA481[[#This Row],[Columna1]],Tabla14[#All],6,0)</f>
        <v>0.19843750000000002</v>
      </c>
      <c r="E29" s="30">
        <f>RUTA481[[#This Row],[Columna3]]*RUTA481[[#This Row],[Columna4]]</f>
        <v>47.625000000000007</v>
      </c>
    </row>
    <row r="30" spans="1:5">
      <c r="A30" s="79">
        <v>69761870</v>
      </c>
      <c r="B30" s="79" t="s">
        <v>1972</v>
      </c>
      <c r="C30" s="78">
        <v>384</v>
      </c>
      <c r="D30" s="30">
        <f>VLOOKUP(RUTA481[[#This Row],[Columna1]],Tabla14[#All],6,0)</f>
        <v>0.19833333333333333</v>
      </c>
      <c r="E30" s="30">
        <f>RUTA481[[#This Row],[Columna3]]*RUTA481[[#This Row],[Columna4]]</f>
        <v>76.16</v>
      </c>
    </row>
    <row r="31" spans="1:5">
      <c r="A31" s="79">
        <v>68667235</v>
      </c>
      <c r="B31" s="79" t="s">
        <v>1378</v>
      </c>
      <c r="C31" s="78">
        <v>12</v>
      </c>
      <c r="D31" s="30">
        <f>VLOOKUP(RUTA481[[#This Row],[Columna1]],Tabla14[#All],6,0)</f>
        <v>0.42</v>
      </c>
      <c r="E31" s="30">
        <f>RUTA481[[#This Row],[Columna3]]*RUTA481[[#This Row],[Columna4]]</f>
        <v>5.04</v>
      </c>
    </row>
    <row r="32" spans="1:5">
      <c r="A32" s="79">
        <v>68667235</v>
      </c>
      <c r="B32" s="79" t="s">
        <v>1378</v>
      </c>
      <c r="C32" s="78">
        <v>2</v>
      </c>
      <c r="D32" s="30">
        <f>VLOOKUP(RUTA481[[#This Row],[Columna1]],Tabla14[#All],6,0)</f>
        <v>0.42</v>
      </c>
      <c r="E32" s="30">
        <f>RUTA481[[#This Row],[Columna3]]*RUTA481[[#This Row],[Columna4]]</f>
        <v>0.84</v>
      </c>
    </row>
    <row r="33" spans="1:5">
      <c r="A33" s="79">
        <v>68667239</v>
      </c>
      <c r="B33" s="79" t="s">
        <v>1398</v>
      </c>
      <c r="C33" s="78">
        <v>12</v>
      </c>
      <c r="D33" s="30">
        <f>VLOOKUP(RUTA481[[#This Row],[Columna1]],Tabla14[#All],6,0)</f>
        <v>0.83833333333333337</v>
      </c>
      <c r="E33" s="30">
        <f>RUTA481[[#This Row],[Columna3]]*RUTA481[[#This Row],[Columna4]]</f>
        <v>10.06</v>
      </c>
    </row>
    <row r="34" spans="1:5">
      <c r="A34" s="79">
        <v>69714154</v>
      </c>
      <c r="B34" s="79" t="s">
        <v>2174</v>
      </c>
      <c r="C34" s="78">
        <v>65</v>
      </c>
      <c r="D34" s="30">
        <f>VLOOKUP(RUTA481[[#This Row],[Columna1]],Tabla14[#All],6,0)</f>
        <v>1.7638461538461538</v>
      </c>
      <c r="E34" s="30">
        <f>RUTA481[[#This Row],[Columna3]]*RUTA481[[#This Row],[Columna4]]</f>
        <v>114.65</v>
      </c>
    </row>
    <row r="35" spans="1:5">
      <c r="A35" s="79">
        <v>69714162</v>
      </c>
      <c r="B35" s="79" t="s">
        <v>2175</v>
      </c>
      <c r="C35" s="78">
        <v>65</v>
      </c>
      <c r="D35" s="30">
        <f>VLOOKUP(RUTA481[[#This Row],[Columna1]],Tabla14[#All],6,0)</f>
        <v>1.7638461538461538</v>
      </c>
      <c r="E35" s="30">
        <f>RUTA481[[#This Row],[Columna3]]*RUTA481[[#This Row],[Columna4]]</f>
        <v>114.65</v>
      </c>
    </row>
    <row r="36" spans="1:5">
      <c r="A36" s="79">
        <v>69618163</v>
      </c>
      <c r="B36" s="79" t="s">
        <v>1760</v>
      </c>
      <c r="C36" s="78">
        <v>224</v>
      </c>
      <c r="D36" s="30">
        <f>VLOOKUP(RUTA481[[#This Row],[Columna1]],Tabla14[#All],6,0)</f>
        <v>0.22083333333333333</v>
      </c>
      <c r="E36" s="30">
        <f>RUTA481[[#This Row],[Columna3]]*RUTA481[[#This Row],[Columna4]]</f>
        <v>49.466666666666669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CDA32-A698-4C36-8F2F-B3458C30E915}">
  <dimension ref="A1:E8"/>
  <sheetViews>
    <sheetView workbookViewId="0"/>
  </sheetViews>
  <sheetFormatPr baseColWidth="10" defaultRowHeight="14.4"/>
  <cols>
    <col min="1" max="1" width="11.5546875" style="30"/>
    <col min="2" max="2" width="48.3320312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77" t="s">
        <v>529</v>
      </c>
      <c r="B2" s="77" t="s">
        <v>528</v>
      </c>
      <c r="C2" s="76">
        <v>1200</v>
      </c>
      <c r="D2" s="30">
        <f>VLOOKUP(RUTA480[[#This Row],[Columna1]],Tabla14[#All],6,0)</f>
        <v>0.34375</v>
      </c>
      <c r="E2" s="30">
        <f>RUTA480[[#This Row],[Columna3]]*RUTA480[[#This Row],[Columna4]]</f>
        <v>412.5</v>
      </c>
    </row>
    <row r="3" spans="1:5">
      <c r="A3" s="77" t="s">
        <v>115</v>
      </c>
      <c r="B3" s="77" t="s">
        <v>114</v>
      </c>
      <c r="C3" s="76">
        <v>240</v>
      </c>
      <c r="D3" s="30">
        <f>VLOOKUP(RUTA480[[#This Row],[Columna1]],Tabla14[#All],6,0)</f>
        <v>0.65625</v>
      </c>
      <c r="E3" s="30">
        <f>RUTA480[[#This Row],[Columna3]]*RUTA480[[#This Row],[Columna4]]</f>
        <v>157.5</v>
      </c>
    </row>
    <row r="4" spans="1:5">
      <c r="A4" s="77">
        <v>69761868</v>
      </c>
      <c r="B4" s="77" t="s">
        <v>2024</v>
      </c>
      <c r="C4" s="76">
        <v>1152</v>
      </c>
      <c r="D4" s="30">
        <f>VLOOKUP(RUTA480[[#This Row],[Columna1]],Tabla14[#All],6,0)</f>
        <v>0.19843750000000002</v>
      </c>
      <c r="E4" s="30">
        <f>RUTA480[[#This Row],[Columna3]]*RUTA480[[#This Row],[Columna4]]</f>
        <v>228.60000000000002</v>
      </c>
    </row>
    <row r="5" spans="1:5">
      <c r="A5" s="77">
        <v>69761866</v>
      </c>
      <c r="B5" s="77" t="s">
        <v>2189</v>
      </c>
      <c r="C5" s="76">
        <v>96</v>
      </c>
      <c r="D5" s="30">
        <f>VLOOKUP(RUTA480[[#This Row],[Columna1]],Tabla14[#All],6,0)</f>
        <v>0.21166666666666667</v>
      </c>
      <c r="E5" s="30">
        <f>RUTA480[[#This Row],[Columna3]]*RUTA480[[#This Row],[Columna4]]</f>
        <v>20.32</v>
      </c>
    </row>
    <row r="6" spans="1:5">
      <c r="A6" s="77">
        <v>84157012</v>
      </c>
      <c r="B6" s="77" t="s">
        <v>2211</v>
      </c>
      <c r="C6" s="76">
        <v>864</v>
      </c>
      <c r="D6" s="30">
        <f>VLOOKUP(RUTA480[[#This Row],[Columna1]],Tabla14[#All],6,0)</f>
        <v>0.11944444444444444</v>
      </c>
      <c r="E6" s="30">
        <f>RUTA480[[#This Row],[Columna3]]*RUTA480[[#This Row],[Columna4]]</f>
        <v>103.19999999999999</v>
      </c>
    </row>
    <row r="7" spans="1:5">
      <c r="A7" s="77">
        <v>576003</v>
      </c>
      <c r="B7" s="77" t="s">
        <v>2084</v>
      </c>
      <c r="C7" s="76">
        <v>36</v>
      </c>
      <c r="D7" s="30">
        <f>VLOOKUP(RUTA480[[#This Row],[Columna1]],Tabla14[#All],6,0)</f>
        <v>0.11944444444444444</v>
      </c>
      <c r="E7" s="30">
        <f>RUTA480[[#This Row],[Columna3]]*RUTA480[[#This Row],[Columna4]]</f>
        <v>4.3</v>
      </c>
    </row>
    <row r="8" spans="1:5">
      <c r="A8" s="75">
        <v>69618163</v>
      </c>
      <c r="B8" s="75" t="s">
        <v>1760</v>
      </c>
      <c r="C8" s="74">
        <v>52</v>
      </c>
      <c r="D8" s="30">
        <f>VLOOKUP(RUTA480[[#This Row],[Columna1]],Tabla14[#All],6,0)</f>
        <v>0.22083333333333333</v>
      </c>
      <c r="E8" s="30">
        <f>RUTA480[[#This Row],[Columna3]]*RUTA480[[#This Row],[Columna4]]</f>
        <v>11.483333333333333</v>
      </c>
    </row>
  </sheetData>
  <phoneticPr fontId="14" type="noConversion"/>
  <pageMargins left="0.7" right="0.7" top="0.75" bottom="0.75" header="0.3" footer="0.3"/>
  <pageSetup orientation="portrait" horizontalDpi="120" verticalDpi="72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F684-5CE6-46EA-9F87-D0540E198940}">
  <dimension ref="A1:E99"/>
  <sheetViews>
    <sheetView workbookViewId="0">
      <selection activeCell="A45" sqref="A45:B45"/>
    </sheetView>
  </sheetViews>
  <sheetFormatPr baseColWidth="10" defaultRowHeight="14.4"/>
  <cols>
    <col min="1" max="1" width="11.5546875" style="30"/>
    <col min="2" max="2" width="47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 hidden="1">
      <c r="A2" s="30">
        <v>10010010010</v>
      </c>
      <c r="B2" s="30" t="s">
        <v>146</v>
      </c>
      <c r="C2" s="30">
        <v>25</v>
      </c>
      <c r="D2" s="30">
        <f>VLOOKUP(RUTA479[[#This Row],[Columna1]],Tabla14[#All],6,0)</f>
        <v>0.88200000000000001</v>
      </c>
      <c r="E2" s="30">
        <f>RUTA479[[#This Row],[Columna3]]*RUTA479[[#This Row],[Columna4]]</f>
        <v>22.05</v>
      </c>
    </row>
    <row r="3" spans="1:5" hidden="1">
      <c r="A3" s="30">
        <v>400000158</v>
      </c>
      <c r="B3" s="30" t="s">
        <v>586</v>
      </c>
      <c r="C3" s="30">
        <v>24</v>
      </c>
      <c r="D3" s="30">
        <f>VLOOKUP(RUTA479[[#This Row],[Columna1]],Tabla14[#All],6,0)</f>
        <v>0.29166666666666669</v>
      </c>
      <c r="E3" s="30">
        <f>RUTA479[[#This Row],[Columna3]]*RUTA479[[#This Row],[Columna4]]</f>
        <v>7</v>
      </c>
    </row>
    <row r="4" spans="1:5" hidden="1">
      <c r="A4" s="30">
        <v>400000160</v>
      </c>
      <c r="B4" s="30" t="s">
        <v>584</v>
      </c>
      <c r="C4" s="30">
        <v>5</v>
      </c>
      <c r="D4" s="30">
        <f>VLOOKUP(RUTA479[[#This Row],[Columna1]],Tabla14[#All],6,0)</f>
        <v>1.4166666666666667</v>
      </c>
      <c r="E4" s="30">
        <f>RUTA479[[#This Row],[Columna3]]*RUTA479[[#This Row],[Columna4]]</f>
        <v>7.0833333333333339</v>
      </c>
    </row>
    <row r="5" spans="1:5" hidden="1">
      <c r="A5" s="30">
        <v>400000161</v>
      </c>
      <c r="B5" s="30" t="s">
        <v>594</v>
      </c>
      <c r="C5" s="30">
        <v>50</v>
      </c>
      <c r="D5" s="30">
        <f>VLOOKUP(RUTA479[[#This Row],[Columna1]],Tabla14[#All],6,0)</f>
        <v>0.03</v>
      </c>
      <c r="E5" s="30">
        <f>RUTA479[[#This Row],[Columna3]]*RUTA479[[#This Row],[Columna4]]</f>
        <v>1.5</v>
      </c>
    </row>
    <row r="6" spans="1:5" hidden="1">
      <c r="A6" s="30">
        <v>400000221</v>
      </c>
      <c r="B6" s="30" t="s">
        <v>587</v>
      </c>
      <c r="C6" s="30">
        <v>14</v>
      </c>
      <c r="D6" s="30">
        <f>VLOOKUP(RUTA479[[#This Row],[Columna1]],Tabla14[#All],6,0)</f>
        <v>0.8</v>
      </c>
      <c r="E6" s="30">
        <f>RUTA479[[#This Row],[Columna3]]*RUTA479[[#This Row],[Columna4]]</f>
        <v>11.200000000000001</v>
      </c>
    </row>
    <row r="7" spans="1:5" hidden="1">
      <c r="A7" s="30">
        <v>400000411</v>
      </c>
      <c r="B7" s="30" t="s">
        <v>582</v>
      </c>
      <c r="C7" s="30">
        <v>10</v>
      </c>
      <c r="D7" s="30">
        <f>VLOOKUP(RUTA479[[#This Row],[Columna1]],Tabla14[#All],6,0)</f>
        <v>0.5</v>
      </c>
      <c r="E7" s="30">
        <f>RUTA479[[#This Row],[Columna3]]*RUTA479[[#This Row],[Columna4]]</f>
        <v>5</v>
      </c>
    </row>
    <row r="8" spans="1:5" hidden="1">
      <c r="A8" s="30">
        <v>400000542</v>
      </c>
      <c r="B8" s="30" t="s">
        <v>2251</v>
      </c>
      <c r="C8" s="30">
        <v>12</v>
      </c>
      <c r="D8" s="30">
        <f>VLOOKUP(RUTA479[[#This Row],[Columna1]],Tabla14[#All],6,0)</f>
        <v>1.7</v>
      </c>
      <c r="E8" s="30">
        <f>RUTA479[[#This Row],[Columna3]]*RUTA479[[#This Row],[Columna4]]</f>
        <v>20.399999999999999</v>
      </c>
    </row>
    <row r="9" spans="1:5" hidden="1">
      <c r="A9" s="30">
        <v>50470111</v>
      </c>
      <c r="B9" s="30" t="s">
        <v>2055</v>
      </c>
      <c r="C9" s="30">
        <v>8</v>
      </c>
      <c r="D9" s="30">
        <f>VLOOKUP(RUTA479[[#This Row],[Columna1]],Tabla14[#All],6,0)</f>
        <v>2.48</v>
      </c>
      <c r="E9" s="30">
        <f>RUTA479[[#This Row],[Columna3]]*RUTA479[[#This Row],[Columna4]]</f>
        <v>19.84</v>
      </c>
    </row>
    <row r="10" spans="1:5" hidden="1">
      <c r="A10" s="30">
        <v>50470118</v>
      </c>
      <c r="B10" s="30" t="s">
        <v>2278</v>
      </c>
      <c r="C10" s="30">
        <v>4</v>
      </c>
      <c r="D10" s="30">
        <f>VLOOKUP(RUTA479[[#This Row],[Columna1]],Tabla14[#All],6,0)</f>
        <v>0.82750000000000001</v>
      </c>
      <c r="E10" s="30">
        <f>RUTA479[[#This Row],[Columna3]]*RUTA479[[#This Row],[Columna4]]</f>
        <v>3.31</v>
      </c>
    </row>
    <row r="11" spans="1:5" hidden="1">
      <c r="A11" s="30">
        <v>50491107</v>
      </c>
      <c r="B11" s="30" t="s">
        <v>1897</v>
      </c>
      <c r="C11" s="30">
        <v>2</v>
      </c>
      <c r="D11" s="30">
        <f>VLOOKUP(RUTA479[[#This Row],[Columna1]],Tabla14[#All],6,0)</f>
        <v>2.65</v>
      </c>
      <c r="E11" s="30">
        <f>RUTA479[[#This Row],[Columna3]]*RUTA479[[#This Row],[Columna4]]</f>
        <v>5.3</v>
      </c>
    </row>
    <row r="12" spans="1:5" hidden="1">
      <c r="A12" s="30">
        <v>50491108</v>
      </c>
      <c r="B12" s="30" t="s">
        <v>2010</v>
      </c>
      <c r="C12" s="30">
        <v>2</v>
      </c>
      <c r="D12" s="30">
        <f>VLOOKUP(RUTA479[[#This Row],[Columna1]],Tabla14[#All],6,0)</f>
        <v>2.65</v>
      </c>
      <c r="E12" s="30">
        <f>RUTA479[[#This Row],[Columna3]]*RUTA479[[#This Row],[Columna4]]</f>
        <v>5.3</v>
      </c>
    </row>
    <row r="13" spans="1:5" hidden="1">
      <c r="A13" s="30">
        <v>50491109</v>
      </c>
      <c r="B13" s="30" t="s">
        <v>1584</v>
      </c>
      <c r="C13" s="30">
        <v>2</v>
      </c>
      <c r="D13" s="30">
        <f>VLOOKUP(RUTA479[[#This Row],[Columna1]],Tabla14[#All],6,0)</f>
        <v>2.65</v>
      </c>
      <c r="E13" s="30">
        <f>RUTA479[[#This Row],[Columna3]]*RUTA479[[#This Row],[Columna4]]</f>
        <v>5.3</v>
      </c>
    </row>
    <row r="14" spans="1:5" hidden="1">
      <c r="A14" s="30">
        <v>50491133</v>
      </c>
      <c r="B14" s="30" t="s">
        <v>1761</v>
      </c>
      <c r="C14" s="30">
        <v>12</v>
      </c>
      <c r="D14" s="30">
        <f>VLOOKUP(RUTA479[[#This Row],[Columna1]],Tabla14[#All],6,0)</f>
        <v>3.3049999999999997</v>
      </c>
      <c r="E14" s="30">
        <f>RUTA479[[#This Row],[Columna3]]*RUTA479[[#This Row],[Columna4]]</f>
        <v>39.659999999999997</v>
      </c>
    </row>
    <row r="15" spans="1:5" hidden="1">
      <c r="A15" s="30">
        <v>52480086</v>
      </c>
      <c r="B15" s="30" t="s">
        <v>1939</v>
      </c>
      <c r="C15" s="30">
        <v>3</v>
      </c>
      <c r="D15" s="30">
        <f>VLOOKUP(RUTA479[[#This Row],[Columna1]],Tabla14[#All],6,0)</f>
        <v>0.23805555555555558</v>
      </c>
      <c r="E15" s="30">
        <f>RUTA479[[#This Row],[Columna3]]*RUTA479[[#This Row],[Columna4]]</f>
        <v>0.71416666666666673</v>
      </c>
    </row>
    <row r="16" spans="1:5" hidden="1">
      <c r="A16" s="30">
        <v>5460400</v>
      </c>
      <c r="B16" s="30" t="s">
        <v>2133</v>
      </c>
      <c r="C16" s="30">
        <v>36</v>
      </c>
      <c r="D16" s="30">
        <f>VLOOKUP(RUTA479[[#This Row],[Columna1]],Tabla14[#All],6,0)</f>
        <v>0.75</v>
      </c>
      <c r="E16" s="30">
        <f>RUTA479[[#This Row],[Columna3]]*RUTA479[[#This Row],[Columna4]]</f>
        <v>27</v>
      </c>
    </row>
    <row r="17" spans="1:5" hidden="1">
      <c r="A17" s="30">
        <v>576003</v>
      </c>
      <c r="B17" s="30" t="s">
        <v>2084</v>
      </c>
      <c r="C17" s="30">
        <v>62</v>
      </c>
      <c r="D17" s="30">
        <f>VLOOKUP(RUTA479[[#This Row],[Columna1]],Tabla14[#All],6,0)</f>
        <v>0.11944444444444444</v>
      </c>
      <c r="E17" s="30">
        <f>RUTA479[[#This Row],[Columna3]]*RUTA479[[#This Row],[Columna4]]</f>
        <v>7.405555555555555</v>
      </c>
    </row>
    <row r="18" spans="1:5" hidden="1">
      <c r="A18" s="30">
        <v>578086</v>
      </c>
      <c r="B18" s="30" t="s">
        <v>642</v>
      </c>
      <c r="C18" s="30">
        <v>6</v>
      </c>
      <c r="D18" s="30">
        <f>VLOOKUP(RUTA479[[#This Row],[Columna1]],Tabla14[#All],6,0)</f>
        <v>6.6666666666666666E-2</v>
      </c>
      <c r="E18" s="30">
        <f>RUTA479[[#This Row],[Columna3]]*RUTA479[[#This Row],[Columna4]]</f>
        <v>0.4</v>
      </c>
    </row>
    <row r="19" spans="1:5" hidden="1">
      <c r="A19" s="30">
        <v>579407</v>
      </c>
      <c r="B19" s="30" t="s">
        <v>2230</v>
      </c>
      <c r="C19" s="30">
        <v>5</v>
      </c>
      <c r="D19" s="30">
        <f>VLOOKUP(RUTA479[[#This Row],[Columna1]],Tabla14[#All],6,0)</f>
        <v>0.11041666666666666</v>
      </c>
      <c r="E19" s="30">
        <f>RUTA479[[#This Row],[Columna3]]*RUTA479[[#This Row],[Columna4]]</f>
        <v>0.55208333333333326</v>
      </c>
    </row>
    <row r="20" spans="1:5" hidden="1">
      <c r="A20" s="30">
        <v>579410</v>
      </c>
      <c r="B20" s="30" t="s">
        <v>2282</v>
      </c>
      <c r="C20" s="30">
        <v>15</v>
      </c>
      <c r="D20" s="30">
        <f>VLOOKUP(RUTA479[[#This Row],[Columna1]],Tabla14[#All],6,0)</f>
        <v>0.11041666666666666</v>
      </c>
      <c r="E20" s="30">
        <f>RUTA479[[#This Row],[Columna3]]*RUTA479[[#This Row],[Columna4]]</f>
        <v>1.65625</v>
      </c>
    </row>
    <row r="21" spans="1:5" hidden="1">
      <c r="A21" s="30">
        <v>579411</v>
      </c>
      <c r="B21" s="30" t="s">
        <v>2281</v>
      </c>
      <c r="C21" s="30">
        <v>18</v>
      </c>
      <c r="D21" s="30">
        <f>VLOOKUP(RUTA479[[#This Row],[Columna1]],Tabla14[#All],6,0)</f>
        <v>0.11041666666666666</v>
      </c>
      <c r="E21" s="30">
        <f>RUTA479[[#This Row],[Columna3]]*RUTA479[[#This Row],[Columna4]]</f>
        <v>1.9874999999999998</v>
      </c>
    </row>
    <row r="22" spans="1:5" hidden="1">
      <c r="A22" s="30">
        <v>583415</v>
      </c>
      <c r="B22" s="30" t="s">
        <v>644</v>
      </c>
      <c r="C22" s="30">
        <v>1</v>
      </c>
      <c r="D22" s="30">
        <f>VLOOKUP(RUTA479[[#This Row],[Columna1]],Tabla14[#All],6,0)</f>
        <v>0.19583333333333333</v>
      </c>
      <c r="E22" s="30">
        <f>RUTA479[[#This Row],[Columna3]]*RUTA479[[#This Row],[Columna4]]</f>
        <v>0.19583333333333333</v>
      </c>
    </row>
    <row r="23" spans="1:5" hidden="1">
      <c r="A23" s="30">
        <v>586703</v>
      </c>
      <c r="B23" s="30" t="s">
        <v>2257</v>
      </c>
      <c r="C23" s="30">
        <v>18</v>
      </c>
      <c r="D23" s="30">
        <f>VLOOKUP(RUTA479[[#This Row],[Columna1]],Tabla14[#All],6,0)</f>
        <v>0.12833333333333333</v>
      </c>
      <c r="E23" s="30">
        <f>RUTA479[[#This Row],[Columna3]]*RUTA479[[#This Row],[Columna4]]</f>
        <v>2.31</v>
      </c>
    </row>
    <row r="24" spans="1:5" hidden="1">
      <c r="A24" s="30">
        <v>588828</v>
      </c>
      <c r="B24" s="30" t="s">
        <v>2280</v>
      </c>
      <c r="C24" s="30">
        <v>3</v>
      </c>
      <c r="D24" s="30">
        <f>VLOOKUP(RUTA479[[#This Row],[Columna1]],Tabla14[#All],6,0)</f>
        <v>0.21666666666666667</v>
      </c>
      <c r="E24" s="30">
        <f>RUTA479[[#This Row],[Columna3]]*RUTA479[[#This Row],[Columna4]]</f>
        <v>0.65</v>
      </c>
    </row>
    <row r="25" spans="1:5" hidden="1">
      <c r="A25" s="30">
        <v>60000094</v>
      </c>
      <c r="B25" s="30" t="s">
        <v>1387</v>
      </c>
      <c r="C25" s="30">
        <v>9</v>
      </c>
      <c r="D25" s="30">
        <f>VLOOKUP(RUTA479[[#This Row],[Columna1]],Tabla14[#All],6,0)</f>
        <v>1.76</v>
      </c>
      <c r="E25" s="30">
        <f>RUTA479[[#This Row],[Columna3]]*RUTA479[[#This Row],[Columna4]]</f>
        <v>15.84</v>
      </c>
    </row>
    <row r="26" spans="1:5" hidden="1">
      <c r="A26" s="30">
        <v>60000210</v>
      </c>
      <c r="B26" s="30" t="s">
        <v>148</v>
      </c>
      <c r="C26" s="30">
        <v>38</v>
      </c>
      <c r="D26" s="30">
        <f>VLOOKUP(RUTA479[[#This Row],[Columna1]],Tabla14[#All],6,0)</f>
        <v>0.77200000000000002</v>
      </c>
      <c r="E26" s="30">
        <f>RUTA479[[#This Row],[Columna3]]*RUTA479[[#This Row],[Columna4]]</f>
        <v>29.336000000000002</v>
      </c>
    </row>
    <row r="27" spans="1:5" hidden="1">
      <c r="A27" s="30">
        <v>620500</v>
      </c>
      <c r="B27" s="30" t="s">
        <v>2261</v>
      </c>
      <c r="C27" s="30">
        <v>12</v>
      </c>
      <c r="D27" s="30">
        <f>VLOOKUP(RUTA479[[#This Row],[Columna1]],Tabla14[#All],6,0)</f>
        <v>2</v>
      </c>
      <c r="E27" s="30">
        <f>RUTA479[[#This Row],[Columna3]]*RUTA479[[#This Row],[Columna4]]</f>
        <v>24</v>
      </c>
    </row>
    <row r="28" spans="1:5" hidden="1">
      <c r="A28" s="30">
        <v>620678</v>
      </c>
      <c r="B28" s="30" t="s">
        <v>654</v>
      </c>
      <c r="C28" s="30">
        <v>12</v>
      </c>
      <c r="D28" s="30">
        <f>VLOOKUP(RUTA479[[#This Row],[Columna1]],Tabla14[#All],6,0)</f>
        <v>1</v>
      </c>
      <c r="E28" s="30">
        <f>RUTA479[[#This Row],[Columna3]]*RUTA479[[#This Row],[Columna4]]</f>
        <v>12</v>
      </c>
    </row>
    <row r="29" spans="1:5" hidden="1">
      <c r="A29" s="30">
        <v>620845</v>
      </c>
      <c r="B29" s="30" t="s">
        <v>1627</v>
      </c>
      <c r="C29" s="30">
        <v>4</v>
      </c>
      <c r="D29" s="30">
        <f>VLOOKUP(RUTA479[[#This Row],[Columna1]],Tabla14[#All],6,0)</f>
        <v>1.6555555555555557</v>
      </c>
      <c r="E29" s="30">
        <f>RUTA479[[#This Row],[Columna3]]*RUTA479[[#This Row],[Columna4]]</f>
        <v>6.6222222222222227</v>
      </c>
    </row>
    <row r="30" spans="1:5" hidden="1">
      <c r="A30" s="30">
        <v>621330</v>
      </c>
      <c r="B30" s="30" t="s">
        <v>652</v>
      </c>
      <c r="C30" s="30">
        <v>12</v>
      </c>
      <c r="D30" s="30">
        <f>VLOOKUP(RUTA479[[#This Row],[Columna1]],Tabla14[#All],6,0)</f>
        <v>0.8833333333333333</v>
      </c>
      <c r="E30" s="30">
        <f>RUTA479[[#This Row],[Columna3]]*RUTA479[[#This Row],[Columna4]]</f>
        <v>10.6</v>
      </c>
    </row>
    <row r="31" spans="1:5" hidden="1">
      <c r="A31" s="30">
        <v>67409831</v>
      </c>
      <c r="B31" s="30" t="s">
        <v>83</v>
      </c>
      <c r="C31" s="30">
        <v>161</v>
      </c>
      <c r="D31" s="30">
        <f>VLOOKUP(RUTA479[[#This Row],[Columna1]],Tabla14[#All],6,0)</f>
        <v>0.79999999999999993</v>
      </c>
      <c r="E31" s="30">
        <f>RUTA479[[#This Row],[Columna3]]*RUTA479[[#This Row],[Columna4]]</f>
        <v>128.79999999999998</v>
      </c>
    </row>
    <row r="32" spans="1:5" hidden="1">
      <c r="A32" s="30">
        <v>67611010</v>
      </c>
      <c r="B32" s="30" t="s">
        <v>1181</v>
      </c>
      <c r="C32" s="30">
        <v>39</v>
      </c>
      <c r="D32" s="30">
        <f>VLOOKUP(RUTA479[[#This Row],[Columna1]],Tabla14[#All],6,0)</f>
        <v>2.65</v>
      </c>
      <c r="E32" s="30">
        <f>RUTA479[[#This Row],[Columna3]]*RUTA479[[#This Row],[Columna4]]</f>
        <v>103.35</v>
      </c>
    </row>
    <row r="33" spans="1:5" hidden="1">
      <c r="A33" s="30">
        <v>67767705</v>
      </c>
      <c r="B33" s="30" t="s">
        <v>276</v>
      </c>
      <c r="C33" s="30">
        <v>6</v>
      </c>
      <c r="D33" s="30">
        <f>VLOOKUP(RUTA479[[#This Row],[Columna1]],Tabla14[#All],6,0)</f>
        <v>6.6666666666666666E-2</v>
      </c>
      <c r="E33" s="30">
        <f>RUTA479[[#This Row],[Columna3]]*RUTA479[[#This Row],[Columna4]]</f>
        <v>0.4</v>
      </c>
    </row>
    <row r="34" spans="1:5" hidden="1">
      <c r="A34" s="30">
        <v>68380352</v>
      </c>
      <c r="B34" s="30" t="s">
        <v>1242</v>
      </c>
      <c r="C34" s="30">
        <v>1</v>
      </c>
      <c r="D34" s="30">
        <f>VLOOKUP(RUTA479[[#This Row],[Columna1]],Tabla14[#All],6,0)</f>
        <v>0.19166666666666665</v>
      </c>
      <c r="E34" s="30">
        <f>RUTA479[[#This Row],[Columna3]]*RUTA479[[#This Row],[Columna4]]</f>
        <v>0.19166666666666665</v>
      </c>
    </row>
    <row r="35" spans="1:5" hidden="1">
      <c r="A35" s="30">
        <v>68441503</v>
      </c>
      <c r="B35" s="30" t="s">
        <v>1804</v>
      </c>
      <c r="C35" s="30">
        <v>1</v>
      </c>
      <c r="D35" s="30">
        <f>VLOOKUP(RUTA479[[#This Row],[Columna1]],Tabla14[#All],6,0)</f>
        <v>0.21416666666666664</v>
      </c>
      <c r="E35" s="30">
        <f>RUTA479[[#This Row],[Columna3]]*RUTA479[[#This Row],[Columna4]]</f>
        <v>0.21416666666666664</v>
      </c>
    </row>
    <row r="36" spans="1:5" hidden="1">
      <c r="A36" s="30">
        <v>68444066</v>
      </c>
      <c r="B36" s="30" t="s">
        <v>1859</v>
      </c>
      <c r="C36" s="30">
        <v>1</v>
      </c>
      <c r="D36" s="30">
        <f>VLOOKUP(RUTA479[[#This Row],[Columna1]],Tabla14[#All],6,0)</f>
        <v>0.19416666666666668</v>
      </c>
      <c r="E36" s="30">
        <f>RUTA479[[#This Row],[Columna3]]*RUTA479[[#This Row],[Columna4]]</f>
        <v>0.19416666666666668</v>
      </c>
    </row>
    <row r="37" spans="1:5" hidden="1">
      <c r="A37" s="30">
        <v>68524861</v>
      </c>
      <c r="B37" s="30" t="s">
        <v>1144</v>
      </c>
      <c r="C37" s="30">
        <v>6</v>
      </c>
      <c r="D37" s="30">
        <f>VLOOKUP(RUTA479[[#This Row],[Columna1]],Tabla14[#All],6,0)</f>
        <v>0.61875000000000002</v>
      </c>
      <c r="E37" s="30">
        <f>RUTA479[[#This Row],[Columna3]]*RUTA479[[#This Row],[Columna4]]</f>
        <v>3.7125000000000004</v>
      </c>
    </row>
    <row r="38" spans="1:5" hidden="1">
      <c r="A38" s="30">
        <v>68637162</v>
      </c>
      <c r="B38" s="30" t="s">
        <v>1202</v>
      </c>
      <c r="C38" s="30">
        <v>113</v>
      </c>
      <c r="D38" s="30">
        <f>VLOOKUP(RUTA479[[#This Row],[Columna1]],Tabla14[#All],6,0)</f>
        <v>1.4624999999999999</v>
      </c>
      <c r="E38" s="30">
        <f>RUTA479[[#This Row],[Columna3]]*RUTA479[[#This Row],[Columna4]]</f>
        <v>165.26249999999999</v>
      </c>
    </row>
    <row r="39" spans="1:5" hidden="1">
      <c r="A39" s="30">
        <v>68798139</v>
      </c>
      <c r="B39" s="30" t="s">
        <v>1993</v>
      </c>
      <c r="C39" s="30">
        <v>8</v>
      </c>
      <c r="D39" s="30">
        <f>VLOOKUP(RUTA479[[#This Row],[Columna1]],Tabla14[#All],6,0)</f>
        <v>0.1275</v>
      </c>
      <c r="E39" s="30">
        <f>RUTA479[[#This Row],[Columna3]]*RUTA479[[#This Row],[Columna4]]</f>
        <v>1.02</v>
      </c>
    </row>
    <row r="40" spans="1:5" hidden="1">
      <c r="A40" s="30">
        <v>69584500</v>
      </c>
      <c r="B40" s="30" t="s">
        <v>2166</v>
      </c>
      <c r="C40" s="30">
        <v>12</v>
      </c>
      <c r="D40" s="30">
        <f>VLOOKUP(RUTA479[[#This Row],[Columna1]],Tabla14[#All],6,0)</f>
        <v>9.9124999999999991E-2</v>
      </c>
      <c r="E40" s="30">
        <f>RUTA479[[#This Row],[Columna3]]*RUTA479[[#This Row],[Columna4]]</f>
        <v>1.1894999999999998</v>
      </c>
    </row>
    <row r="41" spans="1:5" hidden="1">
      <c r="A41" s="30">
        <v>69627014</v>
      </c>
      <c r="B41" s="30" t="s">
        <v>2003</v>
      </c>
      <c r="C41" s="30">
        <v>2</v>
      </c>
      <c r="D41" s="30">
        <f>VLOOKUP(RUTA479[[#This Row],[Columna1]],Tabla14[#All],6,0)</f>
        <v>0.19166666666666665</v>
      </c>
      <c r="E41" s="30">
        <f>RUTA479[[#This Row],[Columna3]]*RUTA479[[#This Row],[Columna4]]</f>
        <v>0.3833333333333333</v>
      </c>
    </row>
    <row r="42" spans="1:5" hidden="1">
      <c r="A42" s="30">
        <v>69678218</v>
      </c>
      <c r="B42" s="30" t="s">
        <v>2219</v>
      </c>
      <c r="C42" s="30">
        <v>6</v>
      </c>
      <c r="D42" s="30">
        <f>VLOOKUP(RUTA479[[#This Row],[Columna1]],Tabla14[#All],6,0)</f>
        <v>0.61875000000000002</v>
      </c>
      <c r="E42" s="30">
        <f>RUTA479[[#This Row],[Columna3]]*RUTA479[[#This Row],[Columna4]]</f>
        <v>3.7125000000000004</v>
      </c>
    </row>
    <row r="43" spans="1:5" hidden="1">
      <c r="A43" s="30">
        <v>69678219</v>
      </c>
      <c r="B43" s="30" t="s">
        <v>2240</v>
      </c>
      <c r="C43" s="30">
        <v>11</v>
      </c>
      <c r="D43" s="30">
        <f>VLOOKUP(RUTA479[[#This Row],[Columna1]],Tabla14[#All],6,0)</f>
        <v>0.55541666666666667</v>
      </c>
      <c r="E43" s="30">
        <f>RUTA479[[#This Row],[Columna3]]*RUTA479[[#This Row],[Columna4]]</f>
        <v>6.1095833333333331</v>
      </c>
    </row>
    <row r="44" spans="1:5" hidden="1">
      <c r="A44" s="30">
        <v>69678220</v>
      </c>
      <c r="B44" s="30" t="s">
        <v>2220</v>
      </c>
      <c r="C44" s="30">
        <v>3</v>
      </c>
      <c r="D44" s="30">
        <f>VLOOKUP(RUTA479[[#This Row],[Columna1]],Tabla14[#All],6,0)</f>
        <v>0.61875000000000002</v>
      </c>
      <c r="E44" s="30">
        <f>RUTA479[[#This Row],[Columna3]]*RUTA479[[#This Row],[Columna4]]</f>
        <v>1.8562500000000002</v>
      </c>
    </row>
    <row r="45" spans="1:5">
      <c r="A45" s="30">
        <v>69678225</v>
      </c>
      <c r="B45" s="30" t="s">
        <v>2279</v>
      </c>
      <c r="C45" s="30">
        <v>24</v>
      </c>
      <c r="D45" s="30">
        <f>VLOOKUP(RUTA479[[#This Row],[Columna1]],Tabla14[#All],6,0)</f>
        <v>0.61875000000000002</v>
      </c>
      <c r="E45" s="30">
        <f>RUTA479[[#This Row],[Columna3]]*RUTA479[[#This Row],[Columna4]]</f>
        <v>14.850000000000001</v>
      </c>
    </row>
    <row r="46" spans="1:5" hidden="1">
      <c r="A46" s="30">
        <v>69761861</v>
      </c>
      <c r="B46" s="30" t="s">
        <v>1987</v>
      </c>
      <c r="C46" s="30">
        <v>13</v>
      </c>
      <c r="D46" s="30">
        <f>VLOOKUP(RUTA479[[#This Row],[Columna1]],Tabla14[#All],6,0)</f>
        <v>0.19833333333333333</v>
      </c>
      <c r="E46" s="30">
        <f>RUTA479[[#This Row],[Columna3]]*RUTA479[[#This Row],[Columna4]]</f>
        <v>2.5783333333333331</v>
      </c>
    </row>
    <row r="47" spans="1:5" hidden="1">
      <c r="A47" s="30">
        <v>69761870</v>
      </c>
      <c r="B47" s="30" t="s">
        <v>1972</v>
      </c>
      <c r="C47" s="30">
        <v>36</v>
      </c>
      <c r="D47" s="30">
        <f>VLOOKUP(RUTA479[[#This Row],[Columna1]],Tabla14[#All],6,0)</f>
        <v>0.19833333333333333</v>
      </c>
      <c r="E47" s="30">
        <f>RUTA479[[#This Row],[Columna3]]*RUTA479[[#This Row],[Columna4]]</f>
        <v>7.14</v>
      </c>
    </row>
    <row r="48" spans="1:5" hidden="1">
      <c r="A48" s="30">
        <v>69780941</v>
      </c>
      <c r="B48" s="30" t="s">
        <v>1951</v>
      </c>
      <c r="C48" s="30">
        <v>288</v>
      </c>
      <c r="D48" s="30">
        <f>VLOOKUP(RUTA479[[#This Row],[Columna1]],Tabla14[#All],6,0)</f>
        <v>0.19833333333333333</v>
      </c>
      <c r="E48" s="30">
        <f>RUTA479[[#This Row],[Columna3]]*RUTA479[[#This Row],[Columna4]]</f>
        <v>57.12</v>
      </c>
    </row>
    <row r="49" spans="1:5" hidden="1">
      <c r="A49" s="30">
        <v>84157362</v>
      </c>
      <c r="B49" s="30" t="s">
        <v>275</v>
      </c>
      <c r="C49" s="30">
        <v>6</v>
      </c>
      <c r="D49" s="30">
        <f>VLOOKUP(RUTA479[[#This Row],[Columna1]],Tabla14[#All],6,0)</f>
        <v>6.6666666666666666E-2</v>
      </c>
      <c r="E49" s="30">
        <f>RUTA479[[#This Row],[Columna3]]*RUTA479[[#This Row],[Columna4]]</f>
        <v>0.4</v>
      </c>
    </row>
    <row r="50" spans="1:5" hidden="1">
      <c r="A50" s="30" t="s">
        <v>2090</v>
      </c>
      <c r="B50" s="30" t="s">
        <v>2089</v>
      </c>
      <c r="C50" s="30">
        <v>1</v>
      </c>
      <c r="D50" s="30">
        <f>VLOOKUP(RUTA479[[#This Row],[Columna1]],Tabla14[#All],6,0)</f>
        <v>100</v>
      </c>
      <c r="E50" s="30">
        <f>RUTA479[[#This Row],[Columna3]]*RUTA479[[#This Row],[Columna4]]</f>
        <v>100</v>
      </c>
    </row>
    <row r="51" spans="1:5" hidden="1">
      <c r="A51" s="30" t="s">
        <v>1289</v>
      </c>
      <c r="B51" s="30" t="s">
        <v>1431</v>
      </c>
      <c r="C51" s="30">
        <v>6</v>
      </c>
      <c r="D51" s="30">
        <f>VLOOKUP(RUTA479[[#This Row],[Columna1]],Tabla14[#All],6,0)</f>
        <v>0.36249999999999999</v>
      </c>
      <c r="E51" s="30">
        <f>RUTA479[[#This Row],[Columna3]]*RUTA479[[#This Row],[Columna4]]</f>
        <v>2.1749999999999998</v>
      </c>
    </row>
    <row r="52" spans="1:5" hidden="1">
      <c r="A52" s="30" t="s">
        <v>1269</v>
      </c>
      <c r="B52" s="30" t="s">
        <v>1647</v>
      </c>
      <c r="C52" s="30">
        <v>13</v>
      </c>
      <c r="D52" s="30">
        <f>VLOOKUP(RUTA479[[#This Row],[Columna1]],Tabla14[#All],6,0)</f>
        <v>0.22041666666666668</v>
      </c>
      <c r="E52" s="30">
        <f>RUTA479[[#This Row],[Columna3]]*RUTA479[[#This Row],[Columna4]]</f>
        <v>2.8654166666666669</v>
      </c>
    </row>
    <row r="53" spans="1:5" hidden="1">
      <c r="A53" s="30" t="s">
        <v>1267</v>
      </c>
      <c r="B53" s="30" t="s">
        <v>1662</v>
      </c>
      <c r="C53" s="30">
        <v>6</v>
      </c>
      <c r="D53" s="30">
        <f>VLOOKUP(RUTA479[[#This Row],[Columna1]],Tabla14[#All],6,0)</f>
        <v>0.44083333333333335</v>
      </c>
      <c r="E53" s="30">
        <f>RUTA479[[#This Row],[Columna3]]*RUTA479[[#This Row],[Columna4]]</f>
        <v>2.645</v>
      </c>
    </row>
    <row r="54" spans="1:5" hidden="1">
      <c r="A54" s="30" t="s">
        <v>1373</v>
      </c>
      <c r="B54" s="30" t="s">
        <v>1372</v>
      </c>
      <c r="C54" s="30">
        <v>12</v>
      </c>
      <c r="D54" s="30">
        <f>VLOOKUP(RUTA479[[#This Row],[Columna1]],Tabla14[#All],6,0)</f>
        <v>0.34</v>
      </c>
      <c r="E54" s="30">
        <f>RUTA479[[#This Row],[Columna3]]*RUTA479[[#This Row],[Columna4]]</f>
        <v>4.08</v>
      </c>
    </row>
    <row r="55" spans="1:5" hidden="1">
      <c r="A55" s="30" t="s">
        <v>1277</v>
      </c>
      <c r="B55" s="30" t="s">
        <v>1276</v>
      </c>
      <c r="C55" s="30">
        <v>1</v>
      </c>
      <c r="D55" s="30">
        <f>VLOOKUP(RUTA479[[#This Row],[Columna1]],Tabla14[#All],6,0)</f>
        <v>0.22041666666666668</v>
      </c>
      <c r="E55" s="30">
        <f>RUTA479[[#This Row],[Columna3]]*RUTA479[[#This Row],[Columna4]]</f>
        <v>0.22041666666666668</v>
      </c>
    </row>
    <row r="56" spans="1:5" hidden="1">
      <c r="A56" s="30" t="s">
        <v>2179</v>
      </c>
      <c r="B56" s="30" t="s">
        <v>2178</v>
      </c>
      <c r="C56" s="30">
        <v>2</v>
      </c>
      <c r="D56" s="30">
        <f>VLOOKUP(RUTA479[[#This Row],[Columna1]],Tabla14[#All],6,0)</f>
        <v>0.42333333333333334</v>
      </c>
      <c r="E56" s="30">
        <f>RUTA479[[#This Row],[Columna3]]*RUTA479[[#This Row],[Columna4]]</f>
        <v>0.84666666666666668</v>
      </c>
    </row>
    <row r="57" spans="1:5" hidden="1">
      <c r="A57" s="30" t="s">
        <v>662</v>
      </c>
      <c r="B57" s="30" t="s">
        <v>2171</v>
      </c>
      <c r="C57" s="30">
        <v>12</v>
      </c>
      <c r="D57" s="30">
        <f>VLOOKUP(RUTA479[[#This Row],[Columna1]],Tabla14[#All],6,0)</f>
        <v>8.3333333333333329E-2</v>
      </c>
      <c r="E57" s="30">
        <f>RUTA479[[#This Row],[Columna3]]*RUTA479[[#This Row],[Columna4]]</f>
        <v>1</v>
      </c>
    </row>
    <row r="58" spans="1:5" hidden="1">
      <c r="A58" s="30" t="s">
        <v>671</v>
      </c>
      <c r="B58" s="30" t="s">
        <v>670</v>
      </c>
      <c r="C58" s="30">
        <v>12</v>
      </c>
      <c r="D58" s="30">
        <f>VLOOKUP(RUTA479[[#This Row],[Columna1]],Tabla14[#All],6,0)</f>
        <v>0.25</v>
      </c>
      <c r="E58" s="30">
        <f>RUTA479[[#This Row],[Columna3]]*RUTA479[[#This Row],[Columna4]]</f>
        <v>3</v>
      </c>
    </row>
    <row r="59" spans="1:5" hidden="1">
      <c r="A59" s="30" t="s">
        <v>21</v>
      </c>
      <c r="B59" s="30" t="s">
        <v>20</v>
      </c>
      <c r="C59" s="30">
        <v>9</v>
      </c>
      <c r="D59" s="30">
        <f>VLOOKUP(RUTA479[[#This Row],[Columna1]],Tabla14[#All],6,0)</f>
        <v>0.8833333333333333</v>
      </c>
      <c r="E59" s="30">
        <f>RUTA479[[#This Row],[Columna3]]*RUTA479[[#This Row],[Columna4]]</f>
        <v>7.9499999999999993</v>
      </c>
    </row>
    <row r="60" spans="1:5" hidden="1">
      <c r="A60" s="30" t="s">
        <v>1821</v>
      </c>
      <c r="B60" s="30" t="s">
        <v>1820</v>
      </c>
      <c r="C60" s="30">
        <v>12</v>
      </c>
      <c r="D60" s="30">
        <f>VLOOKUP(RUTA479[[#This Row],[Columna1]],Tabla14[#All],6,0)</f>
        <v>1.3216666666666665</v>
      </c>
      <c r="E60" s="30">
        <f>RUTA479[[#This Row],[Columna3]]*RUTA479[[#This Row],[Columna4]]</f>
        <v>15.86</v>
      </c>
    </row>
    <row r="61" spans="1:5" hidden="1">
      <c r="A61" s="30" t="s">
        <v>706</v>
      </c>
      <c r="B61" s="30" t="s">
        <v>705</v>
      </c>
      <c r="C61" s="30">
        <v>3</v>
      </c>
      <c r="D61" s="30">
        <f>VLOOKUP(RUTA479[[#This Row],[Columna1]],Tabla14[#All],6,0)</f>
        <v>0.70833333333333337</v>
      </c>
      <c r="E61" s="30">
        <f>RUTA479[[#This Row],[Columna3]]*RUTA479[[#This Row],[Columna4]]</f>
        <v>2.125</v>
      </c>
    </row>
    <row r="62" spans="1:5" hidden="1">
      <c r="A62" s="30" t="s">
        <v>55</v>
      </c>
      <c r="B62" s="30" t="s">
        <v>54</v>
      </c>
      <c r="C62" s="30">
        <v>1</v>
      </c>
      <c r="D62" s="30">
        <f>VLOOKUP(RUTA479[[#This Row],[Columna1]],Tabla14[#All],6,0)</f>
        <v>0.34375</v>
      </c>
      <c r="E62" s="30">
        <f>RUTA479[[#This Row],[Columna3]]*RUTA479[[#This Row],[Columna4]]</f>
        <v>0.34375</v>
      </c>
    </row>
    <row r="63" spans="1:5" hidden="1">
      <c r="A63" s="30" t="s">
        <v>13</v>
      </c>
      <c r="B63" s="30" t="s">
        <v>12</v>
      </c>
      <c r="C63" s="30">
        <v>48</v>
      </c>
      <c r="D63" s="30">
        <f>VLOOKUP(RUTA479[[#This Row],[Columna1]],Tabla14[#All],6,0)</f>
        <v>3.1091666666666669</v>
      </c>
      <c r="E63" s="30">
        <f>RUTA479[[#This Row],[Columna3]]*RUTA479[[#This Row],[Columna4]]</f>
        <v>149.24</v>
      </c>
    </row>
    <row r="64" spans="1:5" hidden="1">
      <c r="A64" s="30" t="s">
        <v>109</v>
      </c>
      <c r="B64" s="30" t="s">
        <v>108</v>
      </c>
      <c r="C64" s="30">
        <v>265</v>
      </c>
      <c r="D64" s="30">
        <f>VLOOKUP(RUTA479[[#This Row],[Columna1]],Tabla14[#All],6,0)</f>
        <v>0.44166666666666665</v>
      </c>
      <c r="E64" s="30">
        <f>RUTA479[[#This Row],[Columna3]]*RUTA479[[#This Row],[Columna4]]</f>
        <v>117.04166666666666</v>
      </c>
    </row>
    <row r="65" spans="1:5" hidden="1">
      <c r="A65" s="30" t="s">
        <v>107</v>
      </c>
      <c r="B65" s="30" t="s">
        <v>106</v>
      </c>
      <c r="C65" s="30">
        <v>362</v>
      </c>
      <c r="D65" s="30">
        <f>VLOOKUP(RUTA479[[#This Row],[Columna1]],Tabla14[#All],6,0)</f>
        <v>0.44166666666666665</v>
      </c>
      <c r="E65" s="30">
        <f>RUTA479[[#This Row],[Columna3]]*RUTA479[[#This Row],[Columna4]]</f>
        <v>159.88333333333333</v>
      </c>
    </row>
    <row r="66" spans="1:5" hidden="1">
      <c r="A66" s="30" t="s">
        <v>492</v>
      </c>
      <c r="B66" s="30" t="s">
        <v>491</v>
      </c>
      <c r="C66" s="30">
        <v>6</v>
      </c>
      <c r="D66" s="30">
        <f>VLOOKUP(RUTA479[[#This Row],[Columna1]],Tabla14[#All],6,0)</f>
        <v>0.82708333333333339</v>
      </c>
      <c r="E66" s="30">
        <f>RUTA479[[#This Row],[Columna3]]*RUTA479[[#This Row],[Columna4]]</f>
        <v>4.9625000000000004</v>
      </c>
    </row>
    <row r="67" spans="1:5" hidden="1">
      <c r="A67" s="30" t="s">
        <v>504</v>
      </c>
      <c r="B67" s="30" t="s">
        <v>503</v>
      </c>
      <c r="C67" s="30">
        <v>6</v>
      </c>
      <c r="D67" s="30">
        <f>VLOOKUP(RUTA479[[#This Row],[Columna1]],Tabla14[#All],6,0)</f>
        <v>2.2083333333333335</v>
      </c>
      <c r="E67" s="30">
        <f>RUTA479[[#This Row],[Columna3]]*RUTA479[[#This Row],[Columna4]]</f>
        <v>13.25</v>
      </c>
    </row>
    <row r="68" spans="1:5" hidden="1">
      <c r="A68" s="30" t="s">
        <v>535</v>
      </c>
      <c r="B68" s="30" t="s">
        <v>534</v>
      </c>
      <c r="C68" s="30">
        <v>21</v>
      </c>
      <c r="D68" s="30">
        <f>VLOOKUP(RUTA479[[#This Row],[Columna1]],Tabla14[#All],6,0)</f>
        <v>1.75</v>
      </c>
      <c r="E68" s="30">
        <f>RUTA479[[#This Row],[Columna3]]*RUTA479[[#This Row],[Columna4]]</f>
        <v>36.75</v>
      </c>
    </row>
    <row r="69" spans="1:5" hidden="1">
      <c r="A69" s="30" t="s">
        <v>502</v>
      </c>
      <c r="B69" s="30" t="s">
        <v>501</v>
      </c>
      <c r="C69" s="30">
        <v>6</v>
      </c>
      <c r="D69" s="30">
        <f>VLOOKUP(RUTA479[[#This Row],[Columna1]],Tabla14[#All],6,0)</f>
        <v>2.2083333333333335</v>
      </c>
      <c r="E69" s="30">
        <f>RUTA479[[#This Row],[Columna3]]*RUTA479[[#This Row],[Columna4]]</f>
        <v>13.25</v>
      </c>
    </row>
    <row r="70" spans="1:5" hidden="1">
      <c r="A70" s="30" t="s">
        <v>1825</v>
      </c>
      <c r="B70" s="30" t="s">
        <v>1824</v>
      </c>
      <c r="C70" s="30">
        <v>10</v>
      </c>
      <c r="D70" s="30">
        <f>VLOOKUP(RUTA479[[#This Row],[Columna1]],Tabla14[#All],6,0)</f>
        <v>6</v>
      </c>
      <c r="E70" s="30">
        <f>RUTA479[[#This Row],[Columna3]]*RUTA479[[#This Row],[Columna4]]</f>
        <v>60</v>
      </c>
    </row>
    <row r="71" spans="1:5" hidden="1">
      <c r="A71" s="30" t="s">
        <v>2228</v>
      </c>
      <c r="B71" s="30" t="s">
        <v>2227</v>
      </c>
      <c r="C71" s="30">
        <v>110</v>
      </c>
      <c r="D71" s="30">
        <f>VLOOKUP(RUTA479[[#This Row],[Columna1]],Tabla14[#All],6,0)</f>
        <v>0.33958333333333335</v>
      </c>
      <c r="E71" s="30">
        <f>RUTA479[[#This Row],[Columna3]]*RUTA479[[#This Row],[Columna4]]</f>
        <v>37.354166666666671</v>
      </c>
    </row>
    <row r="72" spans="1:5" hidden="1">
      <c r="A72" s="30" t="s">
        <v>1716</v>
      </c>
      <c r="B72" s="30" t="s">
        <v>1715</v>
      </c>
      <c r="C72" s="30">
        <v>2</v>
      </c>
      <c r="D72" s="30">
        <f>VLOOKUP(RUTA479[[#This Row],[Columna1]],Tabla14[#All],6,0)</f>
        <v>0.25</v>
      </c>
      <c r="E72" s="30">
        <f>RUTA479[[#This Row],[Columna3]]*RUTA479[[#This Row],[Columna4]]</f>
        <v>0.5</v>
      </c>
    </row>
    <row r="73" spans="1:5" hidden="1">
      <c r="A73" s="30" t="s">
        <v>115</v>
      </c>
      <c r="B73" s="30" t="s">
        <v>114</v>
      </c>
      <c r="C73" s="30">
        <v>96</v>
      </c>
      <c r="D73" s="30">
        <f>VLOOKUP(RUTA479[[#This Row],[Columna1]],Tabla14[#All],6,0)</f>
        <v>0.65625</v>
      </c>
      <c r="E73" s="30">
        <f>RUTA479[[#This Row],[Columna3]]*RUTA479[[#This Row],[Columna4]]</f>
        <v>63</v>
      </c>
    </row>
    <row r="74" spans="1:5" hidden="1">
      <c r="A74" s="30" t="s">
        <v>529</v>
      </c>
      <c r="B74" s="30" t="s">
        <v>528</v>
      </c>
      <c r="C74" s="30">
        <v>48</v>
      </c>
      <c r="D74" s="30">
        <f>VLOOKUP(RUTA479[[#This Row],[Columna1]],Tabla14[#All],6,0)</f>
        <v>0.34375</v>
      </c>
      <c r="E74" s="30">
        <f>RUTA479[[#This Row],[Columna3]]*RUTA479[[#This Row],[Columna4]]</f>
        <v>16.5</v>
      </c>
    </row>
    <row r="75" spans="1:5" hidden="1">
      <c r="A75" s="30" t="s">
        <v>94</v>
      </c>
      <c r="B75" s="30" t="s">
        <v>93</v>
      </c>
      <c r="C75" s="30">
        <v>26</v>
      </c>
      <c r="D75" s="30">
        <f>VLOOKUP(RUTA479[[#This Row],[Columna1]],Tabla14[#All],6,0)</f>
        <v>0.375</v>
      </c>
      <c r="E75" s="30">
        <f>RUTA479[[#This Row],[Columna3]]*RUTA479[[#This Row],[Columna4]]</f>
        <v>9.75</v>
      </c>
    </row>
    <row r="76" spans="1:5" hidden="1">
      <c r="A76" s="30" t="s">
        <v>113</v>
      </c>
      <c r="B76" s="30" t="s">
        <v>112</v>
      </c>
      <c r="C76" s="30">
        <v>30</v>
      </c>
      <c r="D76" s="30">
        <f>VLOOKUP(RUTA479[[#This Row],[Columna1]],Tabla14[#All],6,0)</f>
        <v>0.9375</v>
      </c>
      <c r="E76" s="30">
        <f>RUTA479[[#This Row],[Columna3]]*RUTA479[[#This Row],[Columna4]]</f>
        <v>28.125</v>
      </c>
    </row>
    <row r="77" spans="1:5" hidden="1">
      <c r="A77" s="30" t="s">
        <v>1081</v>
      </c>
      <c r="B77" s="30" t="s">
        <v>1080</v>
      </c>
      <c r="C77" s="30">
        <v>1</v>
      </c>
      <c r="D77" s="30">
        <f>VLOOKUP(RUTA479[[#This Row],[Columna1]],Tabla14[#All],6,0)</f>
        <v>2.1166666666666667</v>
      </c>
      <c r="E77" s="30">
        <f>RUTA479[[#This Row],[Columna3]]*RUTA479[[#This Row],[Columna4]]</f>
        <v>2.1166666666666667</v>
      </c>
    </row>
    <row r="78" spans="1:5" hidden="1">
      <c r="A78" s="30" t="s">
        <v>41</v>
      </c>
      <c r="B78" s="30" t="s">
        <v>40</v>
      </c>
      <c r="C78" s="30">
        <v>6</v>
      </c>
      <c r="D78" s="30">
        <f>VLOOKUP(RUTA479[[#This Row],[Columna1]],Tabla14[#All],6,0)</f>
        <v>0.24270833333333333</v>
      </c>
      <c r="E78" s="30">
        <f>RUTA479[[#This Row],[Columna3]]*RUTA479[[#This Row],[Columna4]]</f>
        <v>1.45625</v>
      </c>
    </row>
    <row r="79" spans="1:5" hidden="1">
      <c r="A79" s="30" t="s">
        <v>429</v>
      </c>
      <c r="B79" s="30" t="s">
        <v>428</v>
      </c>
      <c r="C79" s="30">
        <v>1</v>
      </c>
      <c r="D79" s="30">
        <f>VLOOKUP(RUTA479[[#This Row],[Columna1]],Tabla14[#All],6,0)</f>
        <v>2.1166666666666667</v>
      </c>
      <c r="E79" s="30">
        <f>RUTA479[[#This Row],[Columna3]]*RUTA479[[#This Row],[Columna4]]</f>
        <v>2.1166666666666667</v>
      </c>
    </row>
    <row r="80" spans="1:5" hidden="1">
      <c r="A80" s="30" t="s">
        <v>45</v>
      </c>
      <c r="B80" s="30" t="s">
        <v>2170</v>
      </c>
      <c r="C80" s="30">
        <v>2</v>
      </c>
      <c r="D80" s="30">
        <f>VLOOKUP(RUTA479[[#This Row],[Columna1]],Tabla14[#All],6,0)</f>
        <v>0.5</v>
      </c>
      <c r="E80" s="30">
        <f>RUTA479[[#This Row],[Columna3]]*RUTA479[[#This Row],[Columna4]]</f>
        <v>1</v>
      </c>
    </row>
    <row r="81" spans="1:5" hidden="1">
      <c r="A81" s="30" t="s">
        <v>1679</v>
      </c>
      <c r="B81" s="30" t="s">
        <v>2201</v>
      </c>
      <c r="C81" s="30">
        <v>18</v>
      </c>
      <c r="D81" s="30">
        <f>VLOOKUP(RUTA479[[#This Row],[Columna1]],Tabla14[#All],6,0)</f>
        <v>0.33041666666666664</v>
      </c>
      <c r="E81" s="30">
        <f>RUTA479[[#This Row],[Columna3]]*RUTA479[[#This Row],[Columna4]]</f>
        <v>5.9474999999999998</v>
      </c>
    </row>
    <row r="82" spans="1:5" hidden="1">
      <c r="A82" s="30" t="s">
        <v>7</v>
      </c>
      <c r="B82" s="30" t="s">
        <v>6</v>
      </c>
      <c r="C82" s="30">
        <v>6</v>
      </c>
      <c r="D82" s="30">
        <f>VLOOKUP(RUTA479[[#This Row],[Columna1]],Tabla14[#All],6,0)</f>
        <v>1.1041666666666667</v>
      </c>
      <c r="E82" s="30">
        <f>RUTA479[[#This Row],[Columna3]]*RUTA479[[#This Row],[Columna4]]</f>
        <v>6.625</v>
      </c>
    </row>
    <row r="83" spans="1:5" hidden="1">
      <c r="A83" s="30" t="s">
        <v>1980</v>
      </c>
      <c r="B83" s="30" t="s">
        <v>1979</v>
      </c>
      <c r="C83" s="30">
        <v>12</v>
      </c>
      <c r="D83" s="30">
        <f>VLOOKUP(RUTA479[[#This Row],[Columna1]],Tabla14[#All],6,0)</f>
        <v>1.3340744858254587</v>
      </c>
      <c r="E83" s="30">
        <f>RUTA479[[#This Row],[Columna3]]*RUTA479[[#This Row],[Columna4]]</f>
        <v>16.008893829905503</v>
      </c>
    </row>
    <row r="84" spans="1:5" hidden="1">
      <c r="A84" s="30" t="s">
        <v>857</v>
      </c>
      <c r="B84" s="30" t="s">
        <v>856</v>
      </c>
      <c r="C84" s="30">
        <v>1</v>
      </c>
      <c r="D84" s="30">
        <f>VLOOKUP(RUTA479[[#This Row],[Columna1]],Tabla14[#All],6,0)</f>
        <v>1.3125</v>
      </c>
      <c r="E84" s="30">
        <f>RUTA479[[#This Row],[Columna3]]*RUTA479[[#This Row],[Columna4]]</f>
        <v>1.3125</v>
      </c>
    </row>
    <row r="85" spans="1:5" hidden="1">
      <c r="A85" s="30" t="s">
        <v>1694</v>
      </c>
      <c r="B85" s="30" t="s">
        <v>1693</v>
      </c>
      <c r="C85" s="30">
        <v>1</v>
      </c>
      <c r="D85" s="30">
        <f>VLOOKUP(RUTA479[[#This Row],[Columna1]],Tabla14[#All],6,0)</f>
        <v>0.6</v>
      </c>
      <c r="E85" s="30">
        <f>RUTA479[[#This Row],[Columna3]]*RUTA479[[#This Row],[Columna4]]</f>
        <v>0.6</v>
      </c>
    </row>
    <row r="86" spans="1:5" hidden="1">
      <c r="A86" s="30" t="s">
        <v>1738</v>
      </c>
      <c r="B86" s="30" t="s">
        <v>1737</v>
      </c>
      <c r="C86" s="30">
        <v>5</v>
      </c>
      <c r="D86" s="30">
        <f>VLOOKUP(RUTA479[[#This Row],[Columna1]],Tabla14[#All],6,0)</f>
        <v>0.6</v>
      </c>
      <c r="E86" s="30">
        <f>RUTA479[[#This Row],[Columna3]]*RUTA479[[#This Row],[Columna4]]</f>
        <v>3</v>
      </c>
    </row>
    <row r="87" spans="1:5" hidden="1">
      <c r="A87" s="30" t="s">
        <v>1718</v>
      </c>
      <c r="B87" s="30" t="s">
        <v>1717</v>
      </c>
      <c r="C87" s="30">
        <v>8</v>
      </c>
      <c r="D87" s="30">
        <f>VLOOKUP(RUTA479[[#This Row],[Columna1]],Tabla14[#All],6,0)</f>
        <v>0.6</v>
      </c>
      <c r="E87" s="30">
        <f>RUTA479[[#This Row],[Columna3]]*RUTA479[[#This Row],[Columna4]]</f>
        <v>4.8</v>
      </c>
    </row>
    <row r="88" spans="1:5" hidden="1">
      <c r="A88" s="30" t="s">
        <v>1696</v>
      </c>
      <c r="B88" s="30" t="s">
        <v>1695</v>
      </c>
      <c r="C88" s="30">
        <v>1</v>
      </c>
      <c r="D88" s="30">
        <f>VLOOKUP(RUTA479[[#This Row],[Columna1]],Tabla14[#All],6,0)</f>
        <v>0.6</v>
      </c>
      <c r="E88" s="30">
        <f>RUTA479[[#This Row],[Columna3]]*RUTA479[[#This Row],[Columna4]]</f>
        <v>0.6</v>
      </c>
    </row>
    <row r="89" spans="1:5" hidden="1">
      <c r="A89" s="30" t="s">
        <v>1712</v>
      </c>
      <c r="B89" s="30" t="s">
        <v>1711</v>
      </c>
      <c r="C89" s="30">
        <v>7</v>
      </c>
      <c r="D89" s="30">
        <f>VLOOKUP(RUTA479[[#This Row],[Columna1]],Tabla14[#All],6,0)</f>
        <v>0.6</v>
      </c>
      <c r="E89" s="30">
        <f>RUTA479[[#This Row],[Columna3]]*RUTA479[[#This Row],[Columna4]]</f>
        <v>4.2</v>
      </c>
    </row>
    <row r="90" spans="1:5" hidden="1">
      <c r="A90" s="30" t="s">
        <v>1710</v>
      </c>
      <c r="B90" s="30" t="s">
        <v>1709</v>
      </c>
      <c r="C90" s="30">
        <v>3</v>
      </c>
      <c r="D90" s="30">
        <f>VLOOKUP(RUTA479[[#This Row],[Columna1]],Tabla14[#All],6,0)</f>
        <v>0.6</v>
      </c>
      <c r="E90" s="30">
        <f>RUTA479[[#This Row],[Columna3]]*RUTA479[[#This Row],[Columna4]]</f>
        <v>1.7999999999999998</v>
      </c>
    </row>
    <row r="91" spans="1:5" hidden="1">
      <c r="A91" s="30" t="s">
        <v>1722</v>
      </c>
      <c r="B91" s="30" t="s">
        <v>1721</v>
      </c>
      <c r="C91" s="30">
        <v>5</v>
      </c>
      <c r="D91" s="30">
        <f>VLOOKUP(RUTA479[[#This Row],[Columna1]],Tabla14[#All],6,0)</f>
        <v>0.6</v>
      </c>
      <c r="E91" s="30">
        <f>RUTA479[[#This Row],[Columna3]]*RUTA479[[#This Row],[Columna4]]</f>
        <v>3</v>
      </c>
    </row>
    <row r="92" spans="1:5" hidden="1">
      <c r="A92" s="30" t="s">
        <v>1740</v>
      </c>
      <c r="B92" s="30" t="s">
        <v>1739</v>
      </c>
      <c r="C92" s="30">
        <v>2</v>
      </c>
      <c r="D92" s="30">
        <f>VLOOKUP(RUTA479[[#This Row],[Columna1]],Tabla14[#All],6,0)</f>
        <v>0.6</v>
      </c>
      <c r="E92" s="30">
        <f>RUTA479[[#This Row],[Columna3]]*RUTA479[[#This Row],[Columna4]]</f>
        <v>1.2</v>
      </c>
    </row>
    <row r="93" spans="1:5" hidden="1">
      <c r="A93" s="30" t="s">
        <v>1706</v>
      </c>
      <c r="B93" s="30" t="s">
        <v>1705</v>
      </c>
      <c r="C93" s="30">
        <v>3</v>
      </c>
      <c r="D93" s="30">
        <f>VLOOKUP(RUTA479[[#This Row],[Columna1]],Tabla14[#All],6,0)</f>
        <v>0.6</v>
      </c>
      <c r="E93" s="30">
        <f>RUTA479[[#This Row],[Columna3]]*RUTA479[[#This Row],[Columna4]]</f>
        <v>1.7999999999999998</v>
      </c>
    </row>
    <row r="94" spans="1:5" hidden="1">
      <c r="A94" s="30" t="s">
        <v>1209</v>
      </c>
      <c r="B94" s="30" t="s">
        <v>295</v>
      </c>
      <c r="C94" s="30">
        <v>1</v>
      </c>
      <c r="D94" s="30">
        <f>VLOOKUP(RUTA479[[#This Row],[Columna1]],Tabla14[#All],6,0)</f>
        <v>0.9277777777777777</v>
      </c>
      <c r="E94" s="30">
        <f>RUTA479[[#This Row],[Columna3]]*RUTA479[[#This Row],[Columna4]]</f>
        <v>0.9277777777777777</v>
      </c>
    </row>
    <row r="95" spans="1:5" hidden="1">
      <c r="A95" s="30" t="s">
        <v>1222</v>
      </c>
      <c r="B95" s="30" t="s">
        <v>302</v>
      </c>
      <c r="C95" s="30">
        <v>1</v>
      </c>
      <c r="D95" s="30">
        <f>VLOOKUP(RUTA479[[#This Row],[Columna1]],Tabla14[#All],6,0)</f>
        <v>0.9277777777777777</v>
      </c>
      <c r="E95" s="30">
        <f>RUTA479[[#This Row],[Columna3]]*RUTA479[[#This Row],[Columna4]]</f>
        <v>0.9277777777777777</v>
      </c>
    </row>
    <row r="96" spans="1:5" hidden="1">
      <c r="A96" s="30" t="s">
        <v>1180</v>
      </c>
      <c r="B96" s="30" t="s">
        <v>297</v>
      </c>
      <c r="C96" s="30">
        <v>1</v>
      </c>
      <c r="D96" s="30">
        <f>VLOOKUP(RUTA479[[#This Row],[Columna1]],Tabla14[#All],6,0)</f>
        <v>0.9277777777777777</v>
      </c>
      <c r="E96" s="30">
        <f>RUTA479[[#This Row],[Columna3]]*RUTA479[[#This Row],[Columna4]]</f>
        <v>0.9277777777777777</v>
      </c>
    </row>
    <row r="97" spans="1:5" hidden="1">
      <c r="A97" s="30" t="s">
        <v>1749</v>
      </c>
      <c r="B97" s="30" t="s">
        <v>2008</v>
      </c>
      <c r="C97" s="30">
        <v>3</v>
      </c>
      <c r="D97" s="30">
        <f>VLOOKUP(RUTA479[[#This Row],[Columna1]],Tabla14[#All],6,0)</f>
        <v>0.71375</v>
      </c>
      <c r="E97" s="30">
        <f>RUTA479[[#This Row],[Columna3]]*RUTA479[[#This Row],[Columna4]]</f>
        <v>2.1412499999999999</v>
      </c>
    </row>
    <row r="98" spans="1:5" hidden="1">
      <c r="A98" s="30" t="s">
        <v>2061</v>
      </c>
      <c r="B98" s="30" t="s">
        <v>2060</v>
      </c>
      <c r="C98" s="30">
        <v>18</v>
      </c>
      <c r="D98" s="30">
        <f>VLOOKUP(RUTA479[[#This Row],[Columna1]],Tabla14[#All],6,0)</f>
        <v>1.1025</v>
      </c>
      <c r="E98" s="30">
        <f>RUTA479[[#This Row],[Columna3]]*RUTA479[[#This Row],[Columna4]]</f>
        <v>19.844999999999999</v>
      </c>
    </row>
    <row r="99" spans="1:5" hidden="1">
      <c r="A99" s="30" t="s">
        <v>1148</v>
      </c>
      <c r="B99" s="30" t="s">
        <v>1512</v>
      </c>
      <c r="C99" s="30">
        <v>50</v>
      </c>
      <c r="D99" s="30">
        <f>VLOOKUP(RUTA479[[#This Row],[Columna1]],Tabla14[#All],6,0)</f>
        <v>0.88</v>
      </c>
      <c r="E99" s="30">
        <f>RUTA479[[#This Row],[Columna3]]*RUTA479[[#This Row],[Columna4]]</f>
        <v>44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61A8-5602-4236-8C25-6F7C0F352C10}">
  <dimension ref="A1:E3"/>
  <sheetViews>
    <sheetView workbookViewId="0"/>
  </sheetViews>
  <sheetFormatPr baseColWidth="10" defaultRowHeight="14.4"/>
  <cols>
    <col min="1" max="1" width="11.5546875" style="30"/>
    <col min="2" max="2" width="43.8867187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69761861</v>
      </c>
      <c r="B2" s="30" t="s">
        <v>1987</v>
      </c>
      <c r="C2" s="30">
        <v>2688</v>
      </c>
      <c r="D2" s="30">
        <f>VLOOKUP(RUTA478[[#This Row],[Columna1]],Tabla14[#All],6,0)</f>
        <v>0.19833333333333333</v>
      </c>
      <c r="E2" s="30">
        <f>RUTA478[[#This Row],[Columna3]]*RUTA478[[#This Row],[Columna4]]</f>
        <v>533.12</v>
      </c>
    </row>
    <row r="3" spans="1:5">
      <c r="A3" s="30">
        <v>69761868</v>
      </c>
      <c r="B3" s="30" t="s">
        <v>2024</v>
      </c>
      <c r="C3" s="30">
        <v>5184</v>
      </c>
      <c r="D3" s="30">
        <f>VLOOKUP(RUTA478[[#This Row],[Columna1]],Tabla14[#All],6,0)</f>
        <v>0.19843750000000002</v>
      </c>
      <c r="E3" s="30">
        <f>RUTA478[[#This Row],[Columna3]]*RUTA478[[#This Row],[Columna4]]</f>
        <v>1028.7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1CD7B-C193-4049-B632-5CE2506F4F7D}">
  <dimension ref="A1:E137"/>
  <sheetViews>
    <sheetView workbookViewId="0"/>
  </sheetViews>
  <sheetFormatPr baseColWidth="10" defaultRowHeight="14.4"/>
  <cols>
    <col min="1" max="1" width="11.5546875" style="30"/>
    <col min="2" max="2" width="45.6640625" style="30" bestFit="1" customWidth="1"/>
    <col min="3" max="16384" width="11.5546875" style="30"/>
  </cols>
  <sheetData>
    <row r="1" spans="1:5">
      <c r="A1" s="30" t="s">
        <v>1085</v>
      </c>
      <c r="B1" s="30" t="s">
        <v>1084</v>
      </c>
      <c r="C1" s="30" t="s">
        <v>2265</v>
      </c>
      <c r="D1" s="30" t="s">
        <v>2266</v>
      </c>
      <c r="E1" s="30" t="s">
        <v>2267</v>
      </c>
    </row>
    <row r="2" spans="1:5">
      <c r="A2" s="30">
        <v>10010010010</v>
      </c>
      <c r="B2" s="30" t="s">
        <v>146</v>
      </c>
      <c r="C2" s="30">
        <v>128</v>
      </c>
      <c r="D2" s="30">
        <f>VLOOKUP(RUTA470[[#This Row],[Columna1]],Tabla14[#All],6,0)</f>
        <v>0.88200000000000001</v>
      </c>
      <c r="E2" s="30">
        <f>RUTA470[[#This Row],[Columna3]]*RUTA470[[#This Row],[Columna4]]</f>
        <v>112.896</v>
      </c>
    </row>
    <row r="3" spans="1:5">
      <c r="A3" s="30">
        <v>10010020002</v>
      </c>
      <c r="B3" s="30" t="s">
        <v>144</v>
      </c>
      <c r="C3" s="30">
        <v>31</v>
      </c>
      <c r="D3" s="30">
        <f>VLOOKUP(RUTA470[[#This Row],[Columna1]],Tabla14[#All],6,0)</f>
        <v>0.88200000000000001</v>
      </c>
      <c r="E3" s="30">
        <f>RUTA470[[#This Row],[Columna3]]*RUTA470[[#This Row],[Columna4]]</f>
        <v>27.341999999999999</v>
      </c>
    </row>
    <row r="4" spans="1:5">
      <c r="A4" s="30">
        <v>10020010007</v>
      </c>
      <c r="B4" s="30" t="s">
        <v>143</v>
      </c>
      <c r="C4" s="30">
        <v>36</v>
      </c>
      <c r="D4" s="30">
        <f>VLOOKUP(RUTA470[[#This Row],[Columna1]],Tabla14[#All],6,0)</f>
        <v>0.88200000000000001</v>
      </c>
      <c r="E4" s="30">
        <f>RUTA470[[#This Row],[Columna3]]*RUTA470[[#This Row],[Columna4]]</f>
        <v>31.751999999999999</v>
      </c>
    </row>
    <row r="5" spans="1:5">
      <c r="A5" s="30">
        <v>10020040002</v>
      </c>
      <c r="B5" s="30" t="s">
        <v>145</v>
      </c>
      <c r="C5" s="30">
        <v>12</v>
      </c>
      <c r="D5" s="30">
        <f>VLOOKUP(RUTA470[[#This Row],[Columna1]],Tabla14[#All],6,0)</f>
        <v>0.88200000000000001</v>
      </c>
      <c r="E5" s="30">
        <f>RUTA470[[#This Row],[Columna3]]*RUTA470[[#This Row],[Columna4]]</f>
        <v>10.584</v>
      </c>
    </row>
    <row r="6" spans="1:5">
      <c r="A6" s="30">
        <v>19640306</v>
      </c>
      <c r="B6" s="30" t="s">
        <v>315</v>
      </c>
      <c r="C6" s="30">
        <v>1</v>
      </c>
      <c r="D6" s="30">
        <f>VLOOKUP(RUTA470[[#This Row],[Columna1]],Tabla14[#All],6,0)</f>
        <v>0.79400000000000004</v>
      </c>
      <c r="E6" s="30">
        <f>RUTA470[[#This Row],[Columna3]]*RUTA470[[#This Row],[Columna4]]</f>
        <v>0.79400000000000004</v>
      </c>
    </row>
    <row r="7" spans="1:5">
      <c r="A7" s="30">
        <v>5460400</v>
      </c>
      <c r="B7" s="30" t="s">
        <v>2133</v>
      </c>
      <c r="C7" s="30">
        <v>84</v>
      </c>
      <c r="D7" s="30">
        <f>VLOOKUP(RUTA470[[#This Row],[Columna1]],Tabla14[#All],6,0)</f>
        <v>0.75</v>
      </c>
      <c r="E7" s="30">
        <f>RUTA470[[#This Row],[Columna3]]*RUTA470[[#This Row],[Columna4]]</f>
        <v>63</v>
      </c>
    </row>
    <row r="8" spans="1:5">
      <c r="A8" s="30">
        <v>576003</v>
      </c>
      <c r="B8" s="30" t="s">
        <v>2084</v>
      </c>
      <c r="C8" s="30">
        <v>97</v>
      </c>
      <c r="D8" s="30">
        <f>VLOOKUP(RUTA470[[#This Row],[Columna1]],Tabla14[#All],6,0)</f>
        <v>0.11944444444444444</v>
      </c>
      <c r="E8" s="30">
        <f>RUTA470[[#This Row],[Columna3]]*RUTA470[[#This Row],[Columna4]]</f>
        <v>11.58611111111111</v>
      </c>
    </row>
    <row r="9" spans="1:5">
      <c r="A9" s="30">
        <v>586703</v>
      </c>
      <c r="B9" s="30" t="s">
        <v>2257</v>
      </c>
      <c r="C9" s="30">
        <v>12</v>
      </c>
      <c r="D9" s="30">
        <f>VLOOKUP(RUTA470[[#This Row],[Columna1]],Tabla14[#All],6,0)</f>
        <v>0.12833333333333333</v>
      </c>
      <c r="E9" s="30">
        <f>RUTA470[[#This Row],[Columna3]]*RUTA470[[#This Row],[Columna4]]</f>
        <v>1.54</v>
      </c>
    </row>
    <row r="10" spans="1:5">
      <c r="A10" s="30">
        <v>60000094</v>
      </c>
      <c r="B10" s="30" t="s">
        <v>1387</v>
      </c>
      <c r="C10" s="30">
        <v>90</v>
      </c>
      <c r="D10" s="30">
        <f>VLOOKUP(RUTA470[[#This Row],[Columna1]],Tabla14[#All],6,0)</f>
        <v>1.76</v>
      </c>
      <c r="E10" s="30">
        <f>RUTA470[[#This Row],[Columna3]]*RUTA470[[#This Row],[Columna4]]</f>
        <v>158.4</v>
      </c>
    </row>
    <row r="11" spans="1:5">
      <c r="A11" s="30">
        <v>60000205</v>
      </c>
      <c r="B11" s="30" t="s">
        <v>141</v>
      </c>
      <c r="C11" s="30">
        <v>25</v>
      </c>
      <c r="D11" s="30">
        <f>VLOOKUP(RUTA470[[#This Row],[Columna1]],Tabla14[#All],6,0)</f>
        <v>0.88000000000000012</v>
      </c>
      <c r="E11" s="30">
        <f>RUTA470[[#This Row],[Columna3]]*RUTA470[[#This Row],[Columna4]]</f>
        <v>22.000000000000004</v>
      </c>
    </row>
    <row r="12" spans="1:5">
      <c r="A12" s="30">
        <v>60000209</v>
      </c>
      <c r="B12" s="30" t="s">
        <v>147</v>
      </c>
      <c r="C12" s="30">
        <v>273</v>
      </c>
      <c r="D12" s="30">
        <f>VLOOKUP(RUTA470[[#This Row],[Columna1]],Tabla14[#All],6,0)</f>
        <v>0.77200000000000002</v>
      </c>
      <c r="E12" s="30">
        <f>RUTA470[[#This Row],[Columna3]]*RUTA470[[#This Row],[Columna4]]</f>
        <v>210.756</v>
      </c>
    </row>
    <row r="13" spans="1:5">
      <c r="A13" s="30">
        <v>60000210</v>
      </c>
      <c r="B13" s="30" t="s">
        <v>148</v>
      </c>
      <c r="C13" s="30">
        <v>245</v>
      </c>
      <c r="D13" s="30">
        <f>VLOOKUP(RUTA470[[#This Row],[Columna1]],Tabla14[#All],6,0)</f>
        <v>0.77200000000000002</v>
      </c>
      <c r="E13" s="30">
        <f>RUTA470[[#This Row],[Columna3]]*RUTA470[[#This Row],[Columna4]]</f>
        <v>189.14000000000001</v>
      </c>
    </row>
    <row r="14" spans="1:5">
      <c r="A14" s="30">
        <v>60000215</v>
      </c>
      <c r="B14" s="30" t="s">
        <v>1053</v>
      </c>
      <c r="C14" s="30">
        <v>3</v>
      </c>
      <c r="D14" s="30">
        <f>VLOOKUP(RUTA470[[#This Row],[Columna1]],Tabla14[#All],6,0)</f>
        <v>0.66249999999999998</v>
      </c>
      <c r="E14" s="30">
        <f>RUTA470[[#This Row],[Columna3]]*RUTA470[[#This Row],[Columna4]]</f>
        <v>1.9874999999999998</v>
      </c>
    </row>
    <row r="15" spans="1:5">
      <c r="A15" s="30">
        <v>620678</v>
      </c>
      <c r="B15" s="30" t="s">
        <v>654</v>
      </c>
      <c r="C15" s="30">
        <v>14</v>
      </c>
      <c r="D15" s="30">
        <f>VLOOKUP(RUTA470[[#This Row],[Columna1]],Tabla14[#All],6,0)</f>
        <v>1</v>
      </c>
      <c r="E15" s="30">
        <f>RUTA470[[#This Row],[Columna3]]*RUTA470[[#This Row],[Columna4]]</f>
        <v>14</v>
      </c>
    </row>
    <row r="16" spans="1:5">
      <c r="A16" s="30">
        <v>620821</v>
      </c>
      <c r="B16" s="30" t="s">
        <v>1478</v>
      </c>
      <c r="C16" s="30">
        <v>30</v>
      </c>
      <c r="D16" s="30">
        <f>VLOOKUP(RUTA470[[#This Row],[Columna1]],Tabla14[#All],6,0)</f>
        <v>0.9770833333333333</v>
      </c>
      <c r="E16" s="30">
        <f>RUTA470[[#This Row],[Columna3]]*RUTA470[[#This Row],[Columna4]]</f>
        <v>29.3125</v>
      </c>
    </row>
    <row r="17" spans="1:5">
      <c r="A17" s="30">
        <v>620845</v>
      </c>
      <c r="B17" s="30" t="s">
        <v>1627</v>
      </c>
      <c r="C17" s="30">
        <v>12</v>
      </c>
      <c r="D17" s="30">
        <f>VLOOKUP(RUTA470[[#This Row],[Columna1]],Tabla14[#All],6,0)</f>
        <v>1.6555555555555557</v>
      </c>
      <c r="E17" s="30">
        <f>RUTA470[[#This Row],[Columna3]]*RUTA470[[#This Row],[Columna4]]</f>
        <v>19.866666666666667</v>
      </c>
    </row>
    <row r="18" spans="1:5">
      <c r="A18" s="30">
        <v>621330</v>
      </c>
      <c r="B18" s="30" t="s">
        <v>652</v>
      </c>
      <c r="C18" s="30">
        <v>5</v>
      </c>
      <c r="D18" s="30">
        <f>VLOOKUP(RUTA470[[#This Row],[Columna1]],Tabla14[#All],6,0)</f>
        <v>0.8833333333333333</v>
      </c>
      <c r="E18" s="30">
        <f>RUTA470[[#This Row],[Columna3]]*RUTA470[[#This Row],[Columna4]]</f>
        <v>4.4166666666666661</v>
      </c>
    </row>
    <row r="19" spans="1:5">
      <c r="A19" s="30">
        <v>621491</v>
      </c>
      <c r="B19" s="30" t="s">
        <v>2258</v>
      </c>
      <c r="C19" s="30">
        <v>1</v>
      </c>
      <c r="D19" s="30">
        <f>VLOOKUP(RUTA470[[#This Row],[Columna1]],Tabla14[#All],6,0)</f>
        <v>0.8833333333333333</v>
      </c>
      <c r="E19" s="30">
        <f>RUTA470[[#This Row],[Columna3]]*RUTA470[[#This Row],[Columna4]]</f>
        <v>0.8833333333333333</v>
      </c>
    </row>
    <row r="20" spans="1:5">
      <c r="A20" s="30">
        <v>640676</v>
      </c>
      <c r="B20" s="30" t="s">
        <v>218</v>
      </c>
      <c r="C20" s="30">
        <v>6</v>
      </c>
      <c r="D20" s="30">
        <f>VLOOKUP(RUTA470[[#This Row],[Columna1]],Tabla14[#All],6,0)</f>
        <v>2.65</v>
      </c>
      <c r="E20" s="30">
        <f>RUTA470[[#This Row],[Columna3]]*RUTA470[[#This Row],[Columna4]]</f>
        <v>15.899999999999999</v>
      </c>
    </row>
    <row r="21" spans="1:5">
      <c r="A21" s="30">
        <v>640683</v>
      </c>
      <c r="B21" s="30" t="s">
        <v>215</v>
      </c>
      <c r="C21" s="30">
        <v>1</v>
      </c>
      <c r="D21" s="30">
        <f>VLOOKUP(RUTA470[[#This Row],[Columna1]],Tabla14[#All],6,0)</f>
        <v>2.65</v>
      </c>
      <c r="E21" s="30">
        <f>RUTA470[[#This Row],[Columna3]]*RUTA470[[#This Row],[Columna4]]</f>
        <v>2.65</v>
      </c>
    </row>
    <row r="22" spans="1:5">
      <c r="A22" s="30">
        <v>640690</v>
      </c>
      <c r="B22" s="30" t="s">
        <v>219</v>
      </c>
      <c r="C22" s="30">
        <v>6</v>
      </c>
      <c r="D22" s="30">
        <f>VLOOKUP(RUTA470[[#This Row],[Columna1]],Tabla14[#All],6,0)</f>
        <v>2.65</v>
      </c>
      <c r="E22" s="30">
        <f>RUTA470[[#This Row],[Columna3]]*RUTA470[[#This Row],[Columna4]]</f>
        <v>15.899999999999999</v>
      </c>
    </row>
    <row r="23" spans="1:5">
      <c r="A23" s="30">
        <v>640959</v>
      </c>
      <c r="B23" s="30" t="s">
        <v>216</v>
      </c>
      <c r="C23" s="30">
        <v>7</v>
      </c>
      <c r="D23" s="30">
        <f>VLOOKUP(RUTA470[[#This Row],[Columna1]],Tabla14[#All],6,0)</f>
        <v>2.65</v>
      </c>
      <c r="E23" s="30">
        <f>RUTA470[[#This Row],[Columna3]]*RUTA470[[#This Row],[Columna4]]</f>
        <v>18.55</v>
      </c>
    </row>
    <row r="24" spans="1:5">
      <c r="A24" s="30">
        <v>641833</v>
      </c>
      <c r="B24" s="30" t="s">
        <v>217</v>
      </c>
      <c r="C24" s="30">
        <v>1</v>
      </c>
      <c r="D24" s="30">
        <f>VLOOKUP(RUTA470[[#This Row],[Columna1]],Tabla14[#All],6,0)</f>
        <v>2.65</v>
      </c>
      <c r="E24" s="30">
        <f>RUTA470[[#This Row],[Columna3]]*RUTA470[[#This Row],[Columna4]]</f>
        <v>2.65</v>
      </c>
    </row>
    <row r="25" spans="1:5">
      <c r="A25" s="30">
        <v>642236</v>
      </c>
      <c r="B25" s="30" t="s">
        <v>221</v>
      </c>
      <c r="C25" s="30">
        <v>1</v>
      </c>
      <c r="D25" s="30">
        <f>VLOOKUP(RUTA470[[#This Row],[Columna1]],Tabla14[#All],6,0)</f>
        <v>2.65</v>
      </c>
      <c r="E25" s="30">
        <f>RUTA470[[#This Row],[Columna3]]*RUTA470[[#This Row],[Columna4]]</f>
        <v>2.65</v>
      </c>
    </row>
    <row r="26" spans="1:5">
      <c r="A26" s="30">
        <v>642557</v>
      </c>
      <c r="B26" s="30" t="s">
        <v>220</v>
      </c>
      <c r="C26" s="30">
        <v>1</v>
      </c>
      <c r="D26" s="30">
        <f>VLOOKUP(RUTA470[[#This Row],[Columna1]],Tabla14[#All],6,0)</f>
        <v>2.65</v>
      </c>
      <c r="E26" s="30">
        <f>RUTA470[[#This Row],[Columna3]]*RUTA470[[#This Row],[Columna4]]</f>
        <v>2.65</v>
      </c>
    </row>
    <row r="27" spans="1:5">
      <c r="A27" s="30">
        <v>680078</v>
      </c>
      <c r="B27" s="30" t="s">
        <v>1251</v>
      </c>
      <c r="C27" s="30">
        <v>6</v>
      </c>
      <c r="D27" s="30">
        <f>VLOOKUP(RUTA470[[#This Row],[Columna1]],Tabla14[#All],6,0)</f>
        <v>8.3333333333333329E-2</v>
      </c>
      <c r="E27" s="30">
        <f>RUTA470[[#This Row],[Columna3]]*RUTA470[[#This Row],[Columna4]]</f>
        <v>0.5</v>
      </c>
    </row>
    <row r="28" spans="1:5">
      <c r="A28" s="30">
        <v>680092</v>
      </c>
      <c r="B28" s="30" t="s">
        <v>1250</v>
      </c>
      <c r="C28" s="30">
        <v>6</v>
      </c>
      <c r="D28" s="30">
        <f>VLOOKUP(RUTA470[[#This Row],[Columna1]],Tabla14[#All],6,0)</f>
        <v>8.3333333333333329E-2</v>
      </c>
      <c r="E28" s="30">
        <f>RUTA470[[#This Row],[Columna3]]*RUTA470[[#This Row],[Columna4]]</f>
        <v>0.5</v>
      </c>
    </row>
    <row r="29" spans="1:5">
      <c r="A29" s="30">
        <v>68667239</v>
      </c>
      <c r="B29" s="30" t="s">
        <v>1398</v>
      </c>
      <c r="C29" s="30">
        <v>2</v>
      </c>
      <c r="D29" s="30">
        <f>VLOOKUP(RUTA470[[#This Row],[Columna1]],Tabla14[#All],6,0)</f>
        <v>0.83833333333333337</v>
      </c>
      <c r="E29" s="30">
        <f>RUTA470[[#This Row],[Columna3]]*RUTA470[[#This Row],[Columna4]]</f>
        <v>1.6766666666666667</v>
      </c>
    </row>
    <row r="30" spans="1:5">
      <c r="A30" s="30">
        <v>68798139</v>
      </c>
      <c r="B30" s="30" t="s">
        <v>1993</v>
      </c>
      <c r="C30" s="30">
        <v>25</v>
      </c>
      <c r="D30" s="30">
        <f>VLOOKUP(RUTA470[[#This Row],[Columna1]],Tabla14[#All],6,0)</f>
        <v>0.1275</v>
      </c>
      <c r="E30" s="30">
        <f>RUTA470[[#This Row],[Columna3]]*RUTA470[[#This Row],[Columna4]]</f>
        <v>3.1875</v>
      </c>
    </row>
    <row r="31" spans="1:5">
      <c r="A31" s="30">
        <v>68798140</v>
      </c>
      <c r="B31" s="30" t="s">
        <v>1992</v>
      </c>
      <c r="C31" s="30">
        <v>5</v>
      </c>
      <c r="D31" s="30">
        <f>VLOOKUP(RUTA470[[#This Row],[Columna1]],Tabla14[#All],6,0)</f>
        <v>0.1275</v>
      </c>
      <c r="E31" s="30">
        <f>RUTA470[[#This Row],[Columna3]]*RUTA470[[#This Row],[Columna4]]</f>
        <v>0.63749999999999996</v>
      </c>
    </row>
    <row r="32" spans="1:5">
      <c r="A32" s="30">
        <v>69584486</v>
      </c>
      <c r="B32" s="30" t="s">
        <v>1834</v>
      </c>
      <c r="C32" s="30">
        <v>1</v>
      </c>
      <c r="D32" s="30">
        <f>VLOOKUP(RUTA470[[#This Row],[Columna1]],Tabla14[#All],6,0)</f>
        <v>1.190625</v>
      </c>
      <c r="E32" s="30">
        <f>RUTA470[[#This Row],[Columna3]]*RUTA470[[#This Row],[Columna4]]</f>
        <v>1.190625</v>
      </c>
    </row>
    <row r="33" spans="1:5">
      <c r="A33" s="30">
        <v>69584500</v>
      </c>
      <c r="B33" s="30" t="s">
        <v>2166</v>
      </c>
      <c r="C33" s="30">
        <v>377</v>
      </c>
      <c r="D33" s="30">
        <f>VLOOKUP(RUTA470[[#This Row],[Columna1]],Tabla14[#All],6,0)</f>
        <v>9.9124999999999991E-2</v>
      </c>
      <c r="E33" s="30">
        <f>RUTA470[[#This Row],[Columna3]]*RUTA470[[#This Row],[Columna4]]</f>
        <v>37.370124999999994</v>
      </c>
    </row>
    <row r="34" spans="1:5">
      <c r="A34" s="30">
        <v>69678219</v>
      </c>
      <c r="B34" s="30" t="s">
        <v>2240</v>
      </c>
      <c r="C34" s="30">
        <v>8</v>
      </c>
      <c r="D34" s="30">
        <f>VLOOKUP(RUTA470[[#This Row],[Columna1]],Tabla14[#All],6,0)</f>
        <v>0.55541666666666667</v>
      </c>
      <c r="E34" s="30">
        <f>RUTA470[[#This Row],[Columna3]]*RUTA470[[#This Row],[Columna4]]</f>
        <v>4.4433333333333334</v>
      </c>
    </row>
    <row r="35" spans="1:5">
      <c r="A35" s="30">
        <v>69678220</v>
      </c>
      <c r="B35" s="30" t="s">
        <v>2220</v>
      </c>
      <c r="C35" s="30">
        <v>2</v>
      </c>
      <c r="D35" s="30">
        <f>VLOOKUP(RUTA470[[#This Row],[Columna1]],Tabla14[#All],6,0)</f>
        <v>0.61875000000000002</v>
      </c>
      <c r="E35" s="30">
        <f>RUTA470[[#This Row],[Columna3]]*RUTA470[[#This Row],[Columna4]]</f>
        <v>1.2375</v>
      </c>
    </row>
    <row r="36" spans="1:5">
      <c r="A36" s="30">
        <v>69678222</v>
      </c>
      <c r="B36" s="30" t="s">
        <v>2088</v>
      </c>
      <c r="C36" s="30">
        <v>11</v>
      </c>
      <c r="D36" s="30">
        <f>VLOOKUP(RUTA470[[#This Row],[Columna1]],Tabla14[#All],6,0)</f>
        <v>0.5541666666666667</v>
      </c>
      <c r="E36" s="30">
        <f>RUTA470[[#This Row],[Columna3]]*RUTA470[[#This Row],[Columna4]]</f>
        <v>6.0958333333333332</v>
      </c>
    </row>
    <row r="37" spans="1:5">
      <c r="A37" s="30">
        <v>69717303</v>
      </c>
      <c r="B37" s="30" t="s">
        <v>1942</v>
      </c>
      <c r="C37" s="30">
        <v>31</v>
      </c>
      <c r="D37" s="30">
        <f>VLOOKUP(RUTA470[[#This Row],[Columna1]],Tabla14[#All],6,0)</f>
        <v>0.25</v>
      </c>
      <c r="E37" s="30">
        <f>RUTA470[[#This Row],[Columna3]]*RUTA470[[#This Row],[Columna4]]</f>
        <v>7.75</v>
      </c>
    </row>
    <row r="38" spans="1:5">
      <c r="A38" s="30">
        <v>69761861</v>
      </c>
      <c r="B38" s="30" t="s">
        <v>1987</v>
      </c>
      <c r="C38" s="30">
        <v>39</v>
      </c>
      <c r="D38" s="30">
        <f>VLOOKUP(RUTA470[[#This Row],[Columna1]],Tabla14[#All],6,0)</f>
        <v>0.19833333333333333</v>
      </c>
      <c r="E38" s="30">
        <f>RUTA470[[#This Row],[Columna3]]*RUTA470[[#This Row],[Columna4]]</f>
        <v>7.7350000000000003</v>
      </c>
    </row>
    <row r="39" spans="1:5">
      <c r="A39" s="30">
        <v>69761865</v>
      </c>
      <c r="B39" s="30" t="s">
        <v>2134</v>
      </c>
      <c r="C39" s="30">
        <v>12</v>
      </c>
      <c r="D39" s="30">
        <f>VLOOKUP(RUTA470[[#This Row],[Columna1]],Tabla14[#All],6,0)</f>
        <v>0.19843750000000002</v>
      </c>
      <c r="E39" s="30">
        <f>RUTA470[[#This Row],[Columna3]]*RUTA470[[#This Row],[Columna4]]</f>
        <v>2.3812500000000001</v>
      </c>
    </row>
    <row r="40" spans="1:5">
      <c r="A40" s="30">
        <v>69761868</v>
      </c>
      <c r="B40" s="30" t="s">
        <v>2024</v>
      </c>
      <c r="C40" s="30">
        <v>72</v>
      </c>
      <c r="D40" s="30">
        <f>VLOOKUP(RUTA470[[#This Row],[Columna1]],Tabla14[#All],6,0)</f>
        <v>0.19843750000000002</v>
      </c>
      <c r="E40" s="30">
        <f>RUTA470[[#This Row],[Columna3]]*RUTA470[[#This Row],[Columna4]]</f>
        <v>14.287500000000001</v>
      </c>
    </row>
    <row r="41" spans="1:5">
      <c r="A41" s="30">
        <v>69761870</v>
      </c>
      <c r="B41" s="30" t="s">
        <v>1972</v>
      </c>
      <c r="C41" s="30">
        <v>96</v>
      </c>
      <c r="D41" s="30">
        <f>VLOOKUP(RUTA470[[#This Row],[Columna1]],Tabla14[#All],6,0)</f>
        <v>0.19833333333333333</v>
      </c>
      <c r="E41" s="30">
        <f>RUTA470[[#This Row],[Columna3]]*RUTA470[[#This Row],[Columna4]]</f>
        <v>19.04</v>
      </c>
    </row>
    <row r="42" spans="1:5">
      <c r="A42" s="30">
        <v>69780941</v>
      </c>
      <c r="B42" s="30" t="s">
        <v>1951</v>
      </c>
      <c r="C42" s="30">
        <v>1488</v>
      </c>
      <c r="D42" s="30">
        <f>VLOOKUP(RUTA470[[#This Row],[Columna1]],Tabla14[#All],6,0)</f>
        <v>0.19833333333333333</v>
      </c>
      <c r="E42" s="30">
        <f>RUTA470[[#This Row],[Columna3]]*RUTA470[[#This Row],[Columna4]]</f>
        <v>295.12</v>
      </c>
    </row>
    <row r="43" spans="1:5">
      <c r="A43" s="30" t="s">
        <v>1026</v>
      </c>
      <c r="B43" s="30" t="s">
        <v>1025</v>
      </c>
      <c r="C43" s="30">
        <v>12</v>
      </c>
      <c r="D43" s="30">
        <f>VLOOKUP(RUTA470[[#This Row],[Columna1]],Tabla14[#All],6,0)</f>
        <v>0.9</v>
      </c>
      <c r="E43" s="30">
        <f>RUTA470[[#This Row],[Columna3]]*RUTA470[[#This Row],[Columna4]]</f>
        <v>10.8</v>
      </c>
    </row>
    <row r="44" spans="1:5">
      <c r="A44" s="30" t="s">
        <v>1040</v>
      </c>
      <c r="B44" s="30" t="s">
        <v>1039</v>
      </c>
      <c r="C44" s="30">
        <v>1</v>
      </c>
      <c r="D44" s="30">
        <f>VLOOKUP(RUTA470[[#This Row],[Columna1]],Tabla14[#All],6,0)</f>
        <v>0.88437500000000002</v>
      </c>
      <c r="E44" s="30">
        <f>RUTA470[[#This Row],[Columna3]]*RUTA470[[#This Row],[Columna4]]</f>
        <v>0.88437500000000002</v>
      </c>
    </row>
    <row r="45" spans="1:5">
      <c r="A45" s="30" t="s">
        <v>1355</v>
      </c>
      <c r="B45" s="30" t="s">
        <v>1354</v>
      </c>
      <c r="C45" s="30">
        <v>6</v>
      </c>
      <c r="D45" s="30">
        <f>VLOOKUP(RUTA470[[#This Row],[Columna1]],Tabla14[#All],6,0)</f>
        <v>0.9</v>
      </c>
      <c r="E45" s="30">
        <f>RUTA470[[#This Row],[Columna3]]*RUTA470[[#This Row],[Columna4]]</f>
        <v>5.4</v>
      </c>
    </row>
    <row r="46" spans="1:5">
      <c r="A46" s="30" t="s">
        <v>1525</v>
      </c>
      <c r="B46" s="30" t="s">
        <v>1524</v>
      </c>
      <c r="C46" s="30">
        <v>7</v>
      </c>
      <c r="D46" s="30">
        <f>VLOOKUP(RUTA470[[#This Row],[Columna1]],Tabla14[#All],6,0)</f>
        <v>0.9</v>
      </c>
      <c r="E46" s="30">
        <f>RUTA470[[#This Row],[Columna3]]*RUTA470[[#This Row],[Columna4]]</f>
        <v>6.3</v>
      </c>
    </row>
    <row r="47" spans="1:5">
      <c r="A47" s="30" t="s">
        <v>1347</v>
      </c>
      <c r="B47" s="30" t="s">
        <v>1346</v>
      </c>
      <c r="C47" s="30">
        <v>8</v>
      </c>
      <c r="D47" s="30">
        <f>VLOOKUP(RUTA470[[#This Row],[Columna1]],Tabla14[#All],6,0)</f>
        <v>0.9</v>
      </c>
      <c r="E47" s="30">
        <f>RUTA470[[#This Row],[Columna3]]*RUTA470[[#This Row],[Columna4]]</f>
        <v>7.2</v>
      </c>
    </row>
    <row r="48" spans="1:5">
      <c r="A48" s="30" t="s">
        <v>1473</v>
      </c>
      <c r="B48" s="30" t="s">
        <v>1472</v>
      </c>
      <c r="C48" s="30">
        <v>6</v>
      </c>
      <c r="D48" s="30">
        <f>VLOOKUP(RUTA470[[#This Row],[Columna1]],Tabla14[#All],6,0)</f>
        <v>0.9</v>
      </c>
      <c r="E48" s="30">
        <f>RUTA470[[#This Row],[Columna3]]*RUTA470[[#This Row],[Columna4]]</f>
        <v>5.4</v>
      </c>
    </row>
    <row r="49" spans="1:5">
      <c r="A49" s="30" t="s">
        <v>1359</v>
      </c>
      <c r="B49" s="30" t="s">
        <v>1358</v>
      </c>
      <c r="C49" s="30">
        <v>4</v>
      </c>
      <c r="D49" s="30">
        <f>VLOOKUP(RUTA470[[#This Row],[Columna1]],Tabla14[#All],6,0)</f>
        <v>0.9</v>
      </c>
      <c r="E49" s="30">
        <f>RUTA470[[#This Row],[Columna3]]*RUTA470[[#This Row],[Columna4]]</f>
        <v>3.6</v>
      </c>
    </row>
    <row r="50" spans="1:5">
      <c r="A50" s="30" t="s">
        <v>1477</v>
      </c>
      <c r="B50" s="30" t="s">
        <v>1476</v>
      </c>
      <c r="C50" s="30">
        <v>4</v>
      </c>
      <c r="D50" s="30">
        <f>VLOOKUP(RUTA470[[#This Row],[Columna1]],Tabla14[#All],6,0)</f>
        <v>0.9</v>
      </c>
      <c r="E50" s="30">
        <f>RUTA470[[#This Row],[Columna3]]*RUTA470[[#This Row],[Columna4]]</f>
        <v>3.6</v>
      </c>
    </row>
    <row r="51" spans="1:5">
      <c r="A51" s="30" t="s">
        <v>1475</v>
      </c>
      <c r="B51" s="30" t="s">
        <v>1474</v>
      </c>
      <c r="C51" s="30">
        <v>11</v>
      </c>
      <c r="D51" s="30">
        <f>VLOOKUP(RUTA470[[#This Row],[Columna1]],Tabla14[#All],6,0)</f>
        <v>0.9</v>
      </c>
      <c r="E51" s="30">
        <f>RUTA470[[#This Row],[Columna3]]*RUTA470[[#This Row],[Columna4]]</f>
        <v>9.9</v>
      </c>
    </row>
    <row r="52" spans="1:5">
      <c r="A52" s="30" t="s">
        <v>1674</v>
      </c>
      <c r="B52" s="30" t="s">
        <v>1673</v>
      </c>
      <c r="C52" s="30">
        <v>17</v>
      </c>
      <c r="D52" s="30">
        <f>VLOOKUP(RUTA470[[#This Row],[Columna1]],Tabla14[#All],6,0)</f>
        <v>0.9</v>
      </c>
      <c r="E52" s="30">
        <f>RUTA470[[#This Row],[Columna3]]*RUTA470[[#This Row],[Columna4]]</f>
        <v>15.3</v>
      </c>
    </row>
    <row r="53" spans="1:5">
      <c r="A53" s="30" t="s">
        <v>1471</v>
      </c>
      <c r="B53" s="30" t="s">
        <v>1470</v>
      </c>
      <c r="C53" s="30">
        <v>5</v>
      </c>
      <c r="D53" s="30">
        <f>VLOOKUP(RUTA470[[#This Row],[Columna1]],Tabla14[#All],6,0)</f>
        <v>0.9</v>
      </c>
      <c r="E53" s="30">
        <f>RUTA470[[#This Row],[Columna3]]*RUTA470[[#This Row],[Columna4]]</f>
        <v>4.5</v>
      </c>
    </row>
    <row r="54" spans="1:5">
      <c r="A54" s="30" t="s">
        <v>1349</v>
      </c>
      <c r="B54" s="30" t="s">
        <v>1348</v>
      </c>
      <c r="C54" s="30">
        <v>7</v>
      </c>
      <c r="D54" s="30">
        <f>VLOOKUP(RUTA470[[#This Row],[Columna1]],Tabla14[#All],6,0)</f>
        <v>0.9</v>
      </c>
      <c r="E54" s="30">
        <f>RUTA470[[#This Row],[Columna3]]*RUTA470[[#This Row],[Columna4]]</f>
        <v>6.3</v>
      </c>
    </row>
    <row r="55" spans="1:5">
      <c r="A55" s="30" t="s">
        <v>2090</v>
      </c>
      <c r="B55" s="30" t="s">
        <v>2089</v>
      </c>
      <c r="C55" s="30">
        <v>2</v>
      </c>
      <c r="D55" s="30">
        <f>VLOOKUP(RUTA470[[#This Row],[Columna1]],Tabla14[#All],6,0)</f>
        <v>100</v>
      </c>
      <c r="E55" s="30">
        <f>RUTA470[[#This Row],[Columna3]]*RUTA470[[#This Row],[Columna4]]</f>
        <v>200</v>
      </c>
    </row>
    <row r="56" spans="1:5">
      <c r="A56" s="30" t="s">
        <v>1692</v>
      </c>
      <c r="B56" s="30" t="s">
        <v>1691</v>
      </c>
      <c r="C56" s="30">
        <v>10</v>
      </c>
      <c r="D56" s="30">
        <f>VLOOKUP(RUTA470[[#This Row],[Columna1]],Tabla14[#All],6,0)</f>
        <v>0.92524999999999991</v>
      </c>
      <c r="E56" s="30">
        <f>RUTA470[[#This Row],[Columna3]]*RUTA470[[#This Row],[Columna4]]</f>
        <v>9.2524999999999995</v>
      </c>
    </row>
    <row r="57" spans="1:5">
      <c r="A57" s="30" t="s">
        <v>1261</v>
      </c>
      <c r="B57" s="30" t="s">
        <v>1513</v>
      </c>
      <c r="C57" s="30">
        <v>66</v>
      </c>
      <c r="D57" s="30">
        <f>VLOOKUP(RUTA470[[#This Row],[Columna1]],Tabla14[#All],6,0)</f>
        <v>0.36249999999999999</v>
      </c>
      <c r="E57" s="30">
        <f>RUTA470[[#This Row],[Columna3]]*RUTA470[[#This Row],[Columna4]]</f>
        <v>23.925000000000001</v>
      </c>
    </row>
    <row r="58" spans="1:5">
      <c r="A58" s="30" t="s">
        <v>1289</v>
      </c>
      <c r="B58" s="30" t="s">
        <v>1431</v>
      </c>
      <c r="C58" s="30">
        <v>24</v>
      </c>
      <c r="D58" s="30">
        <f>VLOOKUP(RUTA470[[#This Row],[Columna1]],Tabla14[#All],6,0)</f>
        <v>0.36249999999999999</v>
      </c>
      <c r="E58" s="30">
        <f>RUTA470[[#This Row],[Columna3]]*RUTA470[[#This Row],[Columna4]]</f>
        <v>8.6999999999999993</v>
      </c>
    </row>
    <row r="59" spans="1:5">
      <c r="A59" s="30" t="s">
        <v>1309</v>
      </c>
      <c r="B59" s="30" t="s">
        <v>1308</v>
      </c>
      <c r="C59" s="30">
        <v>5</v>
      </c>
      <c r="D59" s="30">
        <f>VLOOKUP(RUTA470[[#This Row],[Columna1]],Tabla14[#All],6,0)</f>
        <v>1.4950000000000001</v>
      </c>
      <c r="E59" s="30">
        <f>RUTA470[[#This Row],[Columna3]]*RUTA470[[#This Row],[Columna4]]</f>
        <v>7.4750000000000005</v>
      </c>
    </row>
    <row r="60" spans="1:5">
      <c r="A60" s="30" t="s">
        <v>1529</v>
      </c>
      <c r="B60" s="30" t="s">
        <v>1528</v>
      </c>
      <c r="C60" s="30">
        <v>1</v>
      </c>
      <c r="D60" s="30">
        <f>VLOOKUP(RUTA470[[#This Row],[Columna1]],Tabla14[#All],6,0)</f>
        <v>1.4933333333333334</v>
      </c>
      <c r="E60" s="30">
        <f>RUTA470[[#This Row],[Columna3]]*RUTA470[[#This Row],[Columna4]]</f>
        <v>1.4933333333333334</v>
      </c>
    </row>
    <row r="61" spans="1:5">
      <c r="A61" s="30" t="s">
        <v>2210</v>
      </c>
      <c r="B61" s="30" t="s">
        <v>2209</v>
      </c>
      <c r="C61" s="30">
        <v>1</v>
      </c>
      <c r="D61" s="30">
        <f>VLOOKUP(RUTA470[[#This Row],[Columna1]],Tabla14[#All],6,0)</f>
        <v>1.4950000000000001</v>
      </c>
      <c r="E61" s="30">
        <f>RUTA470[[#This Row],[Columna3]]*RUTA470[[#This Row],[Columna4]]</f>
        <v>1.4950000000000001</v>
      </c>
    </row>
    <row r="62" spans="1:5">
      <c r="A62" s="30" t="s">
        <v>1259</v>
      </c>
      <c r="B62" s="30" t="s">
        <v>1258</v>
      </c>
      <c r="C62" s="30">
        <v>9</v>
      </c>
      <c r="D62" s="30">
        <f>VLOOKUP(RUTA470[[#This Row],[Columna1]],Tabla14[#All],6,0)</f>
        <v>0.44083333333333335</v>
      </c>
      <c r="E62" s="30">
        <f>RUTA470[[#This Row],[Columna3]]*RUTA470[[#This Row],[Columna4]]</f>
        <v>3.9675000000000002</v>
      </c>
    </row>
    <row r="63" spans="1:5">
      <c r="A63" s="30" t="s">
        <v>1287</v>
      </c>
      <c r="B63" s="30" t="s">
        <v>1286</v>
      </c>
      <c r="C63" s="30">
        <v>2</v>
      </c>
      <c r="D63" s="30">
        <f>VLOOKUP(RUTA470[[#This Row],[Columna1]],Tabla14[#All],6,0)</f>
        <v>0.57333333333333336</v>
      </c>
      <c r="E63" s="30">
        <f>RUTA470[[#This Row],[Columna3]]*RUTA470[[#This Row],[Columna4]]</f>
        <v>1.1466666666666667</v>
      </c>
    </row>
    <row r="64" spans="1:5">
      <c r="A64" s="30" t="s">
        <v>1285</v>
      </c>
      <c r="B64" s="30" t="s">
        <v>1284</v>
      </c>
      <c r="C64" s="30">
        <v>2</v>
      </c>
      <c r="D64" s="30">
        <f>VLOOKUP(RUTA470[[#This Row],[Columna1]],Tabla14[#All],6,0)</f>
        <v>0.57333333333333336</v>
      </c>
      <c r="E64" s="30">
        <f>RUTA470[[#This Row],[Columna3]]*RUTA470[[#This Row],[Columna4]]</f>
        <v>1.1466666666666667</v>
      </c>
    </row>
    <row r="65" spans="1:5">
      <c r="A65" s="30" t="s">
        <v>1283</v>
      </c>
      <c r="B65" s="30" t="s">
        <v>1282</v>
      </c>
      <c r="C65" s="30">
        <v>2</v>
      </c>
      <c r="D65" s="30">
        <f>VLOOKUP(RUTA470[[#This Row],[Columna1]],Tabla14[#All],6,0)</f>
        <v>0.57333333333333336</v>
      </c>
      <c r="E65" s="30">
        <f>RUTA470[[#This Row],[Columna3]]*RUTA470[[#This Row],[Columna4]]</f>
        <v>1.1466666666666667</v>
      </c>
    </row>
    <row r="66" spans="1:5">
      <c r="A66" s="30" t="s">
        <v>1441</v>
      </c>
      <c r="B66" s="30" t="s">
        <v>1440</v>
      </c>
      <c r="C66" s="30">
        <v>6</v>
      </c>
      <c r="D66" s="30">
        <f>VLOOKUP(RUTA470[[#This Row],[Columna1]],Tabla14[#All],6,0)</f>
        <v>0.54</v>
      </c>
      <c r="E66" s="30">
        <f>RUTA470[[#This Row],[Columna3]]*RUTA470[[#This Row],[Columna4]]</f>
        <v>3.24</v>
      </c>
    </row>
    <row r="67" spans="1:5">
      <c r="A67" s="30" t="s">
        <v>1269</v>
      </c>
      <c r="B67" s="30" t="s">
        <v>1647</v>
      </c>
      <c r="C67" s="30">
        <v>13</v>
      </c>
      <c r="D67" s="30">
        <f>VLOOKUP(RUTA470[[#This Row],[Columna1]],Tabla14[#All],6,0)</f>
        <v>0.22041666666666668</v>
      </c>
      <c r="E67" s="30">
        <f>RUTA470[[#This Row],[Columna3]]*RUTA470[[#This Row],[Columna4]]</f>
        <v>2.8654166666666669</v>
      </c>
    </row>
    <row r="68" spans="1:5">
      <c r="A68" s="30" t="s">
        <v>1305</v>
      </c>
      <c r="B68" s="30" t="s">
        <v>2165</v>
      </c>
      <c r="C68" s="30">
        <v>12</v>
      </c>
      <c r="D68" s="30">
        <f>VLOOKUP(RUTA470[[#This Row],[Columna1]],Tabla14[#All],6,0)</f>
        <v>0.22041666666666668</v>
      </c>
      <c r="E68" s="30">
        <f>RUTA470[[#This Row],[Columna3]]*RUTA470[[#This Row],[Columna4]]</f>
        <v>2.645</v>
      </c>
    </row>
    <row r="69" spans="1:5">
      <c r="A69" s="30" t="s">
        <v>1267</v>
      </c>
      <c r="B69" s="30" t="s">
        <v>1662</v>
      </c>
      <c r="C69" s="30">
        <v>12</v>
      </c>
      <c r="D69" s="30">
        <f>VLOOKUP(RUTA470[[#This Row],[Columna1]],Tabla14[#All],6,0)</f>
        <v>0.44083333333333335</v>
      </c>
      <c r="E69" s="30">
        <f>RUTA470[[#This Row],[Columna3]]*RUTA470[[#This Row],[Columna4]]</f>
        <v>5.29</v>
      </c>
    </row>
    <row r="70" spans="1:5">
      <c r="A70" s="30" t="s">
        <v>1271</v>
      </c>
      <c r="B70" s="30" t="s">
        <v>1642</v>
      </c>
      <c r="C70" s="30">
        <v>3</v>
      </c>
      <c r="D70" s="30">
        <f>VLOOKUP(RUTA470[[#This Row],[Columna1]],Tabla14[#All],6,0)</f>
        <v>0.83750000000000002</v>
      </c>
      <c r="E70" s="30">
        <f>RUTA470[[#This Row],[Columna3]]*RUTA470[[#This Row],[Columna4]]</f>
        <v>2.5125000000000002</v>
      </c>
    </row>
    <row r="71" spans="1:5">
      <c r="A71" s="30" t="s">
        <v>1291</v>
      </c>
      <c r="B71" s="30" t="s">
        <v>1290</v>
      </c>
      <c r="C71" s="30">
        <v>10</v>
      </c>
      <c r="D71" s="30">
        <f>VLOOKUP(RUTA470[[#This Row],[Columna1]],Tabla14[#All],6,0)</f>
        <v>0.22041666666666668</v>
      </c>
      <c r="E71" s="30">
        <f>RUTA470[[#This Row],[Columna3]]*RUTA470[[#This Row],[Columna4]]</f>
        <v>2.2041666666666666</v>
      </c>
    </row>
    <row r="72" spans="1:5">
      <c r="A72" s="30" t="s">
        <v>1467</v>
      </c>
      <c r="B72" s="30" t="s">
        <v>1466</v>
      </c>
      <c r="C72" s="30">
        <v>6</v>
      </c>
      <c r="D72" s="30">
        <f>VLOOKUP(RUTA470[[#This Row],[Columna1]],Tabla14[#All],6,0)</f>
        <v>0.44062499999999999</v>
      </c>
      <c r="E72" s="30">
        <f>RUTA470[[#This Row],[Columna3]]*RUTA470[[#This Row],[Columna4]]</f>
        <v>2.6437499999999998</v>
      </c>
    </row>
    <row r="73" spans="1:5">
      <c r="A73" s="30" t="s">
        <v>1265</v>
      </c>
      <c r="B73" s="30" t="s">
        <v>1264</v>
      </c>
      <c r="C73" s="30">
        <v>149</v>
      </c>
      <c r="D73" s="30">
        <f>VLOOKUP(RUTA470[[#This Row],[Columna1]],Tabla14[#All],6,0)</f>
        <v>0.22041666666666668</v>
      </c>
      <c r="E73" s="30">
        <f>RUTA470[[#This Row],[Columna3]]*RUTA470[[#This Row],[Columna4]]</f>
        <v>32.842083333333335</v>
      </c>
    </row>
    <row r="74" spans="1:5">
      <c r="A74" s="30" t="s">
        <v>1301</v>
      </c>
      <c r="B74" s="30" t="s">
        <v>1300</v>
      </c>
      <c r="C74" s="30">
        <v>18</v>
      </c>
      <c r="D74" s="30">
        <f>VLOOKUP(RUTA470[[#This Row],[Columna1]],Tabla14[#All],6,0)</f>
        <v>0.22041666666666668</v>
      </c>
      <c r="E74" s="30">
        <f>RUTA470[[#This Row],[Columna3]]*RUTA470[[#This Row],[Columna4]]</f>
        <v>3.9675000000000002</v>
      </c>
    </row>
    <row r="75" spans="1:5">
      <c r="A75" s="30" t="s">
        <v>2148</v>
      </c>
      <c r="B75" s="30" t="s">
        <v>2147</v>
      </c>
      <c r="C75" s="30">
        <v>24</v>
      </c>
      <c r="D75" s="30">
        <f>VLOOKUP(RUTA470[[#This Row],[Columna1]],Tabla14[#All],6,0)</f>
        <v>0.22041666666666668</v>
      </c>
      <c r="E75" s="30">
        <f>RUTA470[[#This Row],[Columna3]]*RUTA470[[#This Row],[Columna4]]</f>
        <v>5.29</v>
      </c>
    </row>
    <row r="76" spans="1:5">
      <c r="A76" s="30" t="s">
        <v>2146</v>
      </c>
      <c r="B76" s="30" t="s">
        <v>2145</v>
      </c>
      <c r="C76" s="30">
        <v>98</v>
      </c>
      <c r="D76" s="30">
        <f>VLOOKUP(RUTA470[[#This Row],[Columna1]],Tabla14[#All],6,0)</f>
        <v>0.24041666666666664</v>
      </c>
      <c r="E76" s="30">
        <f>RUTA470[[#This Row],[Columna3]]*RUTA470[[#This Row],[Columna4]]</f>
        <v>23.560833333333331</v>
      </c>
    </row>
    <row r="77" spans="1:5">
      <c r="A77" s="30" t="s">
        <v>2152</v>
      </c>
      <c r="B77" s="30" t="s">
        <v>2151</v>
      </c>
      <c r="C77" s="30">
        <v>24</v>
      </c>
      <c r="D77" s="30">
        <f>VLOOKUP(RUTA470[[#This Row],[Columna1]],Tabla14[#All],6,0)</f>
        <v>0.47395833333333331</v>
      </c>
      <c r="E77" s="30">
        <f>RUTA470[[#This Row],[Columna3]]*RUTA470[[#This Row],[Columna4]]</f>
        <v>11.375</v>
      </c>
    </row>
    <row r="78" spans="1:5">
      <c r="A78" s="30" t="s">
        <v>1295</v>
      </c>
      <c r="B78" s="30" t="s">
        <v>1294</v>
      </c>
      <c r="C78" s="30">
        <v>6</v>
      </c>
      <c r="D78" s="30">
        <f>VLOOKUP(RUTA470[[#This Row],[Columna1]],Tabla14[#All],6,0)</f>
        <v>0.21875</v>
      </c>
      <c r="E78" s="30">
        <f>RUTA470[[#This Row],[Columna3]]*RUTA470[[#This Row],[Columna4]]</f>
        <v>1.3125</v>
      </c>
    </row>
    <row r="79" spans="1:5">
      <c r="A79" s="30" t="s">
        <v>1293</v>
      </c>
      <c r="B79" s="30" t="s">
        <v>1292</v>
      </c>
      <c r="C79" s="30">
        <v>24</v>
      </c>
      <c r="D79" s="30">
        <f>VLOOKUP(RUTA470[[#This Row],[Columna1]],Tabla14[#All],6,0)</f>
        <v>0.21875</v>
      </c>
      <c r="E79" s="30">
        <f>RUTA470[[#This Row],[Columna3]]*RUTA470[[#This Row],[Columna4]]</f>
        <v>5.25</v>
      </c>
    </row>
    <row r="80" spans="1:5">
      <c r="A80" s="30" t="s">
        <v>1277</v>
      </c>
      <c r="B80" s="30" t="s">
        <v>1276</v>
      </c>
      <c r="C80" s="30">
        <v>28</v>
      </c>
      <c r="D80" s="30">
        <f>VLOOKUP(RUTA470[[#This Row],[Columna1]],Tabla14[#All],6,0)</f>
        <v>0.22041666666666668</v>
      </c>
      <c r="E80" s="30">
        <f>RUTA470[[#This Row],[Columna3]]*RUTA470[[#This Row],[Columna4]]</f>
        <v>6.1716666666666669</v>
      </c>
    </row>
    <row r="81" spans="1:5">
      <c r="A81" s="30" t="s">
        <v>1428</v>
      </c>
      <c r="B81" s="30" t="s">
        <v>1427</v>
      </c>
      <c r="C81" s="30">
        <v>12</v>
      </c>
      <c r="D81" s="30">
        <f>VLOOKUP(RUTA470[[#This Row],[Columna1]],Tabla14[#All],6,0)</f>
        <v>0.44083333333333335</v>
      </c>
      <c r="E81" s="30">
        <f>RUTA470[[#This Row],[Columna3]]*RUTA470[[#This Row],[Columna4]]</f>
        <v>5.29</v>
      </c>
    </row>
    <row r="82" spans="1:5">
      <c r="A82" s="30" t="s">
        <v>1273</v>
      </c>
      <c r="B82" s="30" t="s">
        <v>1272</v>
      </c>
      <c r="C82" s="30">
        <v>6</v>
      </c>
      <c r="D82" s="30">
        <f>VLOOKUP(RUTA470[[#This Row],[Columna1]],Tabla14[#All],6,0)</f>
        <v>0.79375000000000007</v>
      </c>
      <c r="E82" s="30">
        <f>RUTA470[[#This Row],[Columna3]]*RUTA470[[#This Row],[Columna4]]</f>
        <v>4.7625000000000002</v>
      </c>
    </row>
    <row r="83" spans="1:5">
      <c r="A83" s="30" t="s">
        <v>1908</v>
      </c>
      <c r="B83" s="30" t="s">
        <v>1907</v>
      </c>
      <c r="C83" s="30">
        <v>12</v>
      </c>
      <c r="D83" s="30">
        <f>VLOOKUP(RUTA470[[#This Row],[Columna1]],Tabla14[#All],6,0)</f>
        <v>0.8158333333333333</v>
      </c>
      <c r="E83" s="30">
        <f>RUTA470[[#This Row],[Columna3]]*RUTA470[[#This Row],[Columna4]]</f>
        <v>9.7899999999999991</v>
      </c>
    </row>
    <row r="84" spans="1:5">
      <c r="A84" s="30" t="s">
        <v>1317</v>
      </c>
      <c r="B84" s="30" t="s">
        <v>1316</v>
      </c>
      <c r="C84" s="30">
        <v>8</v>
      </c>
      <c r="D84" s="30">
        <f>VLOOKUP(RUTA470[[#This Row],[Columna1]],Tabla14[#All],6,0)</f>
        <v>0.2</v>
      </c>
      <c r="E84" s="30">
        <f>RUTA470[[#This Row],[Columna3]]*RUTA470[[#This Row],[Columna4]]</f>
        <v>1.6</v>
      </c>
    </row>
    <row r="85" spans="1:5">
      <c r="A85" s="30" t="s">
        <v>1279</v>
      </c>
      <c r="B85" s="30" t="s">
        <v>1278</v>
      </c>
      <c r="C85" s="30">
        <v>13</v>
      </c>
      <c r="D85" s="30">
        <f>VLOOKUP(RUTA470[[#This Row],[Columna1]],Tabla14[#All],6,0)</f>
        <v>0.875</v>
      </c>
      <c r="E85" s="30">
        <f>RUTA470[[#This Row],[Columna3]]*RUTA470[[#This Row],[Columna4]]</f>
        <v>11.375</v>
      </c>
    </row>
    <row r="86" spans="1:5">
      <c r="A86" s="30" t="s">
        <v>2136</v>
      </c>
      <c r="B86" s="30" t="s">
        <v>2135</v>
      </c>
      <c r="C86" s="30">
        <v>20</v>
      </c>
      <c r="D86" s="30">
        <f>VLOOKUP(RUTA470[[#This Row],[Columna1]],Tabla14[#All],6,0)</f>
        <v>0.82750000000000001</v>
      </c>
      <c r="E86" s="30">
        <f>RUTA470[[#This Row],[Columna3]]*RUTA470[[#This Row],[Columna4]]</f>
        <v>16.55</v>
      </c>
    </row>
    <row r="87" spans="1:5">
      <c r="A87" s="30" t="s">
        <v>2144</v>
      </c>
      <c r="B87" s="30" t="s">
        <v>2143</v>
      </c>
      <c r="C87" s="30">
        <v>1</v>
      </c>
      <c r="D87" s="30">
        <f>VLOOKUP(RUTA470[[#This Row],[Columna1]],Tabla14[#All],6,0)</f>
        <v>0.82750000000000001</v>
      </c>
      <c r="E87" s="30">
        <f>RUTA470[[#This Row],[Columna3]]*RUTA470[[#This Row],[Columna4]]</f>
        <v>0.82750000000000001</v>
      </c>
    </row>
    <row r="88" spans="1:5">
      <c r="A88" s="30" t="s">
        <v>2087</v>
      </c>
      <c r="B88" s="30" t="s">
        <v>2086</v>
      </c>
      <c r="C88" s="30">
        <v>3</v>
      </c>
      <c r="D88" s="30">
        <f>VLOOKUP(RUTA470[[#This Row],[Columna1]],Tabla14[#All],6,0)</f>
        <v>0.82750000000000001</v>
      </c>
      <c r="E88" s="30">
        <f>RUTA470[[#This Row],[Columna3]]*RUTA470[[#This Row],[Columna4]]</f>
        <v>2.4824999999999999</v>
      </c>
    </row>
    <row r="89" spans="1:5">
      <c r="A89" s="30" t="s">
        <v>2249</v>
      </c>
      <c r="B89" s="30" t="s">
        <v>2248</v>
      </c>
      <c r="C89" s="30">
        <v>1</v>
      </c>
      <c r="D89" s="30">
        <f>VLOOKUP(RUTA470[[#This Row],[Columna1]],Tabla14[#All],6,0)</f>
        <v>0.88166666666666671</v>
      </c>
      <c r="E89" s="30">
        <f>RUTA470[[#This Row],[Columna3]]*RUTA470[[#This Row],[Columna4]]</f>
        <v>0.88166666666666671</v>
      </c>
    </row>
    <row r="90" spans="1:5">
      <c r="A90" s="30" t="s">
        <v>2198</v>
      </c>
      <c r="B90" s="30" t="s">
        <v>2197</v>
      </c>
      <c r="C90" s="30">
        <v>1</v>
      </c>
      <c r="D90" s="30">
        <f>VLOOKUP(RUTA470[[#This Row],[Columna1]],Tabla14[#All],6,0)</f>
        <v>0.15</v>
      </c>
      <c r="E90" s="30">
        <f>RUTA470[[#This Row],[Columna3]]*RUTA470[[#This Row],[Columna4]]</f>
        <v>0.15</v>
      </c>
    </row>
    <row r="91" spans="1:5">
      <c r="A91" s="30" t="s">
        <v>708</v>
      </c>
      <c r="B91" s="30" t="s">
        <v>2252</v>
      </c>
      <c r="C91" s="30">
        <v>4</v>
      </c>
      <c r="D91" s="30">
        <f>VLOOKUP(RUTA470[[#This Row],[Columna1]],Tabla14[#All],6,0)</f>
        <v>4.1666666666666664E-2</v>
      </c>
      <c r="E91" s="30">
        <f>RUTA470[[#This Row],[Columna3]]*RUTA470[[#This Row],[Columna4]]</f>
        <v>0.16666666666666666</v>
      </c>
    </row>
    <row r="92" spans="1:5">
      <c r="A92" s="30" t="s">
        <v>1828</v>
      </c>
      <c r="B92" s="30" t="s">
        <v>1827</v>
      </c>
      <c r="C92" s="30">
        <v>1</v>
      </c>
      <c r="D92" s="30">
        <f>VLOOKUP(RUTA470[[#This Row],[Columna1]],Tabla14[#All],6,0)</f>
        <v>0.26</v>
      </c>
      <c r="E92" s="30">
        <f>RUTA470[[#This Row],[Columna3]]*RUTA470[[#This Row],[Columna4]]</f>
        <v>0.26</v>
      </c>
    </row>
    <row r="93" spans="1:5">
      <c r="A93" s="30" t="s">
        <v>1886</v>
      </c>
      <c r="B93" s="30" t="s">
        <v>1885</v>
      </c>
      <c r="C93" s="30">
        <v>2</v>
      </c>
      <c r="D93" s="30">
        <f>VLOOKUP(RUTA470[[#This Row],[Columna1]],Tabla14[#All],6,0)</f>
        <v>0.23364583333333333</v>
      </c>
      <c r="E93" s="30">
        <f>RUTA470[[#This Row],[Columna3]]*RUTA470[[#This Row],[Columna4]]</f>
        <v>0.46729166666666666</v>
      </c>
    </row>
    <row r="94" spans="1:5">
      <c r="A94" s="30" t="s">
        <v>706</v>
      </c>
      <c r="B94" s="30" t="s">
        <v>705</v>
      </c>
      <c r="C94" s="30">
        <v>7</v>
      </c>
      <c r="D94" s="30">
        <f>VLOOKUP(RUTA470[[#This Row],[Columna1]],Tabla14[#All],6,0)</f>
        <v>0.70833333333333337</v>
      </c>
      <c r="E94" s="30">
        <f>RUTA470[[#This Row],[Columna3]]*RUTA470[[#This Row],[Columna4]]</f>
        <v>4.9583333333333339</v>
      </c>
    </row>
    <row r="95" spans="1:5">
      <c r="A95" s="30" t="s">
        <v>55</v>
      </c>
      <c r="B95" s="30" t="s">
        <v>54</v>
      </c>
      <c r="C95" s="30">
        <v>1</v>
      </c>
      <c r="D95" s="30">
        <f>VLOOKUP(RUTA470[[#This Row],[Columna1]],Tabla14[#All],6,0)</f>
        <v>0.34375</v>
      </c>
      <c r="E95" s="30">
        <f>RUTA470[[#This Row],[Columna3]]*RUTA470[[#This Row],[Columna4]]</f>
        <v>0.34375</v>
      </c>
    </row>
    <row r="96" spans="1:5">
      <c r="A96" s="30" t="s">
        <v>13</v>
      </c>
      <c r="B96" s="30" t="s">
        <v>12</v>
      </c>
      <c r="C96" s="30">
        <v>30</v>
      </c>
      <c r="D96" s="30">
        <f>VLOOKUP(RUTA470[[#This Row],[Columna1]],Tabla14[#All],6,0)</f>
        <v>3.1091666666666669</v>
      </c>
      <c r="E96" s="30">
        <f>RUTA470[[#This Row],[Columna3]]*RUTA470[[#This Row],[Columna4]]</f>
        <v>93.275000000000006</v>
      </c>
    </row>
    <row r="97" spans="1:5">
      <c r="A97" s="30" t="s">
        <v>1716</v>
      </c>
      <c r="B97" s="30" t="s">
        <v>1715</v>
      </c>
      <c r="C97" s="30">
        <v>12</v>
      </c>
      <c r="D97" s="30">
        <f>VLOOKUP(RUTA470[[#This Row],[Columna1]],Tabla14[#All],6,0)</f>
        <v>0.25</v>
      </c>
      <c r="E97" s="30">
        <f>RUTA470[[#This Row],[Columna3]]*RUTA470[[#This Row],[Columna4]]</f>
        <v>3</v>
      </c>
    </row>
    <row r="98" spans="1:5">
      <c r="A98" s="30" t="s">
        <v>1795</v>
      </c>
      <c r="B98" s="30" t="s">
        <v>1794</v>
      </c>
      <c r="C98" s="30">
        <v>5</v>
      </c>
      <c r="D98" s="30">
        <f>VLOOKUP(RUTA470[[#This Row],[Columna1]],Tabla14[#All],6,0)</f>
        <v>0.2</v>
      </c>
      <c r="E98" s="30">
        <f>RUTA470[[#This Row],[Columna3]]*RUTA470[[#This Row],[Columna4]]</f>
        <v>1</v>
      </c>
    </row>
    <row r="99" spans="1:5">
      <c r="A99" s="30" t="s">
        <v>1941</v>
      </c>
      <c r="B99" s="30" t="s">
        <v>1940</v>
      </c>
      <c r="C99" s="30">
        <v>2</v>
      </c>
      <c r="D99" s="30">
        <f>VLOOKUP(RUTA470[[#This Row],[Columna1]],Tabla14[#All],6,0)</f>
        <v>0.10416666666666667</v>
      </c>
      <c r="E99" s="30">
        <f>RUTA470[[#This Row],[Columna3]]*RUTA470[[#This Row],[Columna4]]</f>
        <v>0.20833333333333334</v>
      </c>
    </row>
    <row r="100" spans="1:5">
      <c r="A100" s="30" t="s">
        <v>347</v>
      </c>
      <c r="B100" s="30" t="s">
        <v>346</v>
      </c>
      <c r="C100" s="30">
        <v>2</v>
      </c>
      <c r="D100" s="30">
        <f>VLOOKUP(RUTA470[[#This Row],[Columna1]],Tabla14[#All],6,0)</f>
        <v>2.65</v>
      </c>
      <c r="E100" s="30">
        <f>RUTA470[[#This Row],[Columna3]]*RUTA470[[#This Row],[Columna4]]</f>
        <v>5.3</v>
      </c>
    </row>
    <row r="101" spans="1:5">
      <c r="A101" s="30" t="s">
        <v>345</v>
      </c>
      <c r="B101" s="30" t="s">
        <v>344</v>
      </c>
      <c r="C101" s="30">
        <v>2</v>
      </c>
      <c r="D101" s="30">
        <f>VLOOKUP(RUTA470[[#This Row],[Columna1]],Tabla14[#All],6,0)</f>
        <v>2.65</v>
      </c>
      <c r="E101" s="30">
        <f>RUTA470[[#This Row],[Columna3]]*RUTA470[[#This Row],[Columna4]]</f>
        <v>5.3</v>
      </c>
    </row>
    <row r="102" spans="1:5">
      <c r="A102" s="30" t="s">
        <v>401</v>
      </c>
      <c r="B102" s="30" t="s">
        <v>400</v>
      </c>
      <c r="C102" s="30">
        <v>2</v>
      </c>
      <c r="D102" s="30">
        <f>VLOOKUP(RUTA470[[#This Row],[Columna1]],Tabla14[#All],6,0)</f>
        <v>2.1166666666666667</v>
      </c>
      <c r="E102" s="30">
        <f>RUTA470[[#This Row],[Columna3]]*RUTA470[[#This Row],[Columna4]]</f>
        <v>4.2333333333333334</v>
      </c>
    </row>
    <row r="103" spans="1:5">
      <c r="A103" s="30" t="s">
        <v>431</v>
      </c>
      <c r="B103" s="30" t="s">
        <v>430</v>
      </c>
      <c r="C103" s="30">
        <v>10</v>
      </c>
      <c r="D103" s="30">
        <f>VLOOKUP(RUTA470[[#This Row],[Columna1]],Tabla14[#All],6,0)</f>
        <v>2.1166666666666667</v>
      </c>
      <c r="E103" s="30">
        <f>RUTA470[[#This Row],[Columna3]]*RUTA470[[#This Row],[Columna4]]</f>
        <v>21.166666666666668</v>
      </c>
    </row>
    <row r="104" spans="1:5">
      <c r="A104" s="30" t="s">
        <v>1081</v>
      </c>
      <c r="B104" s="30" t="s">
        <v>1080</v>
      </c>
      <c r="C104" s="30">
        <v>4</v>
      </c>
      <c r="D104" s="30">
        <f>VLOOKUP(RUTA470[[#This Row],[Columna1]],Tabla14[#All],6,0)</f>
        <v>2.1166666666666667</v>
      </c>
      <c r="E104" s="30">
        <f>RUTA470[[#This Row],[Columna3]]*RUTA470[[#This Row],[Columna4]]</f>
        <v>8.4666666666666668</v>
      </c>
    </row>
    <row r="105" spans="1:5">
      <c r="A105" s="30" t="s">
        <v>35</v>
      </c>
      <c r="B105" s="30" t="s">
        <v>2273</v>
      </c>
      <c r="C105" s="30">
        <v>1</v>
      </c>
      <c r="D105" s="30">
        <f>VLOOKUP(RUTA470[[#This Row],[Columna1]],Tabla14[#All],6,0)</f>
        <v>3.0416666666666665</v>
      </c>
      <c r="E105" s="30">
        <f>RUTA470[[#This Row],[Columna3]]*RUTA470[[#This Row],[Columna4]]</f>
        <v>3.0416666666666665</v>
      </c>
    </row>
    <row r="106" spans="1:5">
      <c r="A106" s="30" t="s">
        <v>397</v>
      </c>
      <c r="B106" s="30" t="s">
        <v>396</v>
      </c>
      <c r="C106" s="30">
        <v>6</v>
      </c>
      <c r="D106" s="30">
        <f>VLOOKUP(RUTA470[[#This Row],[Columna1]],Tabla14[#All],6,0)</f>
        <v>0.24270833333333333</v>
      </c>
      <c r="E106" s="30">
        <f>RUTA470[[#This Row],[Columna3]]*RUTA470[[#This Row],[Columna4]]</f>
        <v>1.45625</v>
      </c>
    </row>
    <row r="107" spans="1:5">
      <c r="A107" s="30" t="s">
        <v>41</v>
      </c>
      <c r="B107" s="30" t="s">
        <v>40</v>
      </c>
      <c r="C107" s="30">
        <v>6</v>
      </c>
      <c r="D107" s="30">
        <f>VLOOKUP(RUTA470[[#This Row],[Columna1]],Tabla14[#All],6,0)</f>
        <v>0.24270833333333333</v>
      </c>
      <c r="E107" s="30">
        <f>RUTA470[[#This Row],[Columna3]]*RUTA470[[#This Row],[Columna4]]</f>
        <v>1.45625</v>
      </c>
    </row>
    <row r="108" spans="1:5">
      <c r="A108" s="30" t="s">
        <v>37</v>
      </c>
      <c r="B108" s="30" t="s">
        <v>36</v>
      </c>
      <c r="C108" s="30">
        <v>12</v>
      </c>
      <c r="D108" s="30">
        <f>VLOOKUP(RUTA470[[#This Row],[Columna1]],Tabla14[#All],6,0)</f>
        <v>0.24270833333333333</v>
      </c>
      <c r="E108" s="30">
        <f>RUTA470[[#This Row],[Columna3]]*RUTA470[[#This Row],[Columna4]]</f>
        <v>2.9125000000000001</v>
      </c>
    </row>
    <row r="109" spans="1:5">
      <c r="A109" s="30" t="s">
        <v>39</v>
      </c>
      <c r="B109" s="30" t="s">
        <v>38</v>
      </c>
      <c r="C109" s="30">
        <v>18</v>
      </c>
      <c r="D109" s="30">
        <f>VLOOKUP(RUTA470[[#This Row],[Columna1]],Tabla14[#All],6,0)</f>
        <v>0.24270833333333333</v>
      </c>
      <c r="E109" s="30">
        <f>RUTA470[[#This Row],[Columna3]]*RUTA470[[#This Row],[Columna4]]</f>
        <v>4.3687500000000004</v>
      </c>
    </row>
    <row r="110" spans="1:5">
      <c r="A110" s="30" t="s">
        <v>429</v>
      </c>
      <c r="B110" s="30" t="s">
        <v>428</v>
      </c>
      <c r="C110" s="30">
        <v>4</v>
      </c>
      <c r="D110" s="30">
        <f>VLOOKUP(RUTA470[[#This Row],[Columna1]],Tabla14[#All],6,0)</f>
        <v>2.1166666666666667</v>
      </c>
      <c r="E110" s="30">
        <f>RUTA470[[#This Row],[Columna3]]*RUTA470[[#This Row],[Columna4]]</f>
        <v>8.4666666666666668</v>
      </c>
    </row>
    <row r="111" spans="1:5">
      <c r="A111" s="30" t="s">
        <v>45</v>
      </c>
      <c r="B111" s="30" t="s">
        <v>2170</v>
      </c>
      <c r="C111" s="30">
        <v>5</v>
      </c>
      <c r="D111" s="30">
        <f>VLOOKUP(RUTA470[[#This Row],[Columna1]],Tabla14[#All],6,0)</f>
        <v>0.5</v>
      </c>
      <c r="E111" s="30">
        <f>RUTA470[[#This Row],[Columna3]]*RUTA470[[#This Row],[Columna4]]</f>
        <v>2.5</v>
      </c>
    </row>
    <row r="112" spans="1:5">
      <c r="A112" s="30" t="s">
        <v>1679</v>
      </c>
      <c r="B112" s="30" t="s">
        <v>2201</v>
      </c>
      <c r="C112" s="30">
        <v>12</v>
      </c>
      <c r="D112" s="30">
        <f>VLOOKUP(RUTA470[[#This Row],[Columna1]],Tabla14[#All],6,0)</f>
        <v>0.33041666666666664</v>
      </c>
      <c r="E112" s="30">
        <f>RUTA470[[#This Row],[Columna3]]*RUTA470[[#This Row],[Columna4]]</f>
        <v>3.9649999999999999</v>
      </c>
    </row>
    <row r="113" spans="1:5">
      <c r="A113" s="30" t="s">
        <v>47</v>
      </c>
      <c r="B113" s="30" t="s">
        <v>46</v>
      </c>
      <c r="C113" s="30">
        <v>1</v>
      </c>
      <c r="D113" s="30">
        <f>VLOOKUP(RUTA470[[#This Row],[Columna1]],Tabla14[#All],6,0)</f>
        <v>2.1166666666666667</v>
      </c>
      <c r="E113" s="30">
        <f>RUTA470[[#This Row],[Columna3]]*RUTA470[[#This Row],[Columna4]]</f>
        <v>2.1166666666666667</v>
      </c>
    </row>
    <row r="114" spans="1:5">
      <c r="A114" s="30" t="s">
        <v>31</v>
      </c>
      <c r="B114" s="30" t="s">
        <v>30</v>
      </c>
      <c r="C114" s="30">
        <v>16</v>
      </c>
      <c r="D114" s="30">
        <f>VLOOKUP(RUTA470[[#This Row],[Columna1]],Tabla14[#All],6,0)</f>
        <v>0.11</v>
      </c>
      <c r="E114" s="30">
        <f>RUTA470[[#This Row],[Columna3]]*RUTA470[[#This Row],[Columna4]]</f>
        <v>1.76</v>
      </c>
    </row>
    <row r="115" spans="1:5">
      <c r="A115" s="30" t="s">
        <v>427</v>
      </c>
      <c r="B115" s="30" t="s">
        <v>426</v>
      </c>
      <c r="C115" s="30">
        <v>1</v>
      </c>
      <c r="D115" s="30">
        <f>VLOOKUP(RUTA470[[#This Row],[Columna1]],Tabla14[#All],6,0)</f>
        <v>0.01</v>
      </c>
      <c r="E115" s="30">
        <f>RUTA470[[#This Row],[Columna3]]*RUTA470[[#This Row],[Columna4]]</f>
        <v>0.01</v>
      </c>
    </row>
    <row r="116" spans="1:5">
      <c r="A116" s="30" t="s">
        <v>1933</v>
      </c>
      <c r="B116" s="30" t="s">
        <v>1934</v>
      </c>
      <c r="C116" s="30">
        <v>3</v>
      </c>
      <c r="D116" s="30">
        <f>VLOOKUP(RUTA470[[#This Row],[Columna1]],Tabla14[#All],6,0)</f>
        <v>0.35625000000000001</v>
      </c>
      <c r="E116" s="30">
        <f>RUTA470[[#This Row],[Columna3]]*RUTA470[[#This Row],[Columna4]]</f>
        <v>1.0687500000000001</v>
      </c>
    </row>
    <row r="117" spans="1:5">
      <c r="A117" s="30" t="s">
        <v>5</v>
      </c>
      <c r="B117" s="30" t="s">
        <v>4</v>
      </c>
      <c r="C117" s="30">
        <v>6</v>
      </c>
      <c r="D117" s="30">
        <f>VLOOKUP(RUTA470[[#This Row],[Columna1]],Tabla14[#All],6,0)</f>
        <v>1.1041666666666667</v>
      </c>
      <c r="E117" s="30">
        <f>RUTA470[[#This Row],[Columna3]]*RUTA470[[#This Row],[Columna4]]</f>
        <v>6.625</v>
      </c>
    </row>
    <row r="118" spans="1:5">
      <c r="A118" s="30" t="s">
        <v>339</v>
      </c>
      <c r="B118" s="30" t="s">
        <v>338</v>
      </c>
      <c r="C118" s="30">
        <v>26</v>
      </c>
      <c r="D118" s="30">
        <f>VLOOKUP(RUTA470[[#This Row],[Columna1]],Tabla14[#All],6,0)</f>
        <v>1.1041666666666667</v>
      </c>
      <c r="E118" s="30">
        <f>RUTA470[[#This Row],[Columna3]]*RUTA470[[#This Row],[Columna4]]</f>
        <v>28.708333333333336</v>
      </c>
    </row>
    <row r="119" spans="1:5">
      <c r="A119" s="30" t="s">
        <v>7</v>
      </c>
      <c r="B119" s="30" t="s">
        <v>6</v>
      </c>
      <c r="C119" s="30">
        <v>16</v>
      </c>
      <c r="D119" s="30">
        <f>VLOOKUP(RUTA470[[#This Row],[Columna1]],Tabla14[#All],6,0)</f>
        <v>1.1041666666666667</v>
      </c>
      <c r="E119" s="30">
        <f>RUTA470[[#This Row],[Columna3]]*RUTA470[[#This Row],[Columna4]]</f>
        <v>17.666666666666668</v>
      </c>
    </row>
    <row r="120" spans="1:5">
      <c r="A120" s="30" t="s">
        <v>343</v>
      </c>
      <c r="B120" s="30" t="s">
        <v>342</v>
      </c>
      <c r="C120" s="30">
        <v>18</v>
      </c>
      <c r="D120" s="30">
        <f>VLOOKUP(RUTA470[[#This Row],[Columna1]],Tabla14[#All],6,0)</f>
        <v>1.1041666666666667</v>
      </c>
      <c r="E120" s="30">
        <f>RUTA470[[#This Row],[Columna3]]*RUTA470[[#This Row],[Columna4]]</f>
        <v>19.875</v>
      </c>
    </row>
    <row r="121" spans="1:5">
      <c r="A121" s="30" t="s">
        <v>3</v>
      </c>
      <c r="B121" s="30" t="s">
        <v>2</v>
      </c>
      <c r="C121" s="30">
        <v>22</v>
      </c>
      <c r="D121" s="30">
        <f>VLOOKUP(RUTA470[[#This Row],[Columna1]],Tabla14[#All],6,0)</f>
        <v>1.1041666666666667</v>
      </c>
      <c r="E121" s="30">
        <f>RUTA470[[#This Row],[Columna3]]*RUTA470[[#This Row],[Columna4]]</f>
        <v>24.291666666666668</v>
      </c>
    </row>
    <row r="122" spans="1:5">
      <c r="A122" s="30" t="s">
        <v>1694</v>
      </c>
      <c r="B122" s="30" t="s">
        <v>1693</v>
      </c>
      <c r="C122" s="30">
        <v>2</v>
      </c>
      <c r="D122" s="30">
        <f>VLOOKUP(RUTA470[[#This Row],[Columna1]],Tabla14[#All],6,0)</f>
        <v>0.6</v>
      </c>
      <c r="E122" s="30">
        <f>RUTA470[[#This Row],[Columna3]]*RUTA470[[#This Row],[Columna4]]</f>
        <v>1.2</v>
      </c>
    </row>
    <row r="123" spans="1:5">
      <c r="A123" s="30" t="s">
        <v>1738</v>
      </c>
      <c r="B123" s="30" t="s">
        <v>1737</v>
      </c>
      <c r="C123" s="30">
        <v>1</v>
      </c>
      <c r="D123" s="30">
        <f>VLOOKUP(RUTA470[[#This Row],[Columna1]],Tabla14[#All],6,0)</f>
        <v>0.6</v>
      </c>
      <c r="E123" s="30">
        <f>RUTA470[[#This Row],[Columna3]]*RUTA470[[#This Row],[Columna4]]</f>
        <v>0.6</v>
      </c>
    </row>
    <row r="124" spans="1:5">
      <c r="A124" s="30" t="s">
        <v>1718</v>
      </c>
      <c r="B124" s="30" t="s">
        <v>1717</v>
      </c>
      <c r="C124" s="30">
        <v>2</v>
      </c>
      <c r="D124" s="30">
        <f>VLOOKUP(RUTA470[[#This Row],[Columna1]],Tabla14[#All],6,0)</f>
        <v>0.6</v>
      </c>
      <c r="E124" s="30">
        <f>RUTA470[[#This Row],[Columna3]]*RUTA470[[#This Row],[Columna4]]</f>
        <v>1.2</v>
      </c>
    </row>
    <row r="125" spans="1:5">
      <c r="A125" s="30" t="s">
        <v>1696</v>
      </c>
      <c r="B125" s="30" t="s">
        <v>1695</v>
      </c>
      <c r="C125" s="30">
        <v>1</v>
      </c>
      <c r="D125" s="30">
        <f>VLOOKUP(RUTA470[[#This Row],[Columna1]],Tabla14[#All],6,0)</f>
        <v>0.6</v>
      </c>
      <c r="E125" s="30">
        <f>RUTA470[[#This Row],[Columna3]]*RUTA470[[#This Row],[Columna4]]</f>
        <v>0.6</v>
      </c>
    </row>
    <row r="126" spans="1:5">
      <c r="A126" s="30" t="s">
        <v>1740</v>
      </c>
      <c r="B126" s="30" t="s">
        <v>1739</v>
      </c>
      <c r="C126" s="30">
        <v>1</v>
      </c>
      <c r="D126" s="30">
        <f>VLOOKUP(RUTA470[[#This Row],[Columna1]],Tabla14[#All],6,0)</f>
        <v>0.6</v>
      </c>
      <c r="E126" s="30">
        <f>RUTA470[[#This Row],[Columna3]]*RUTA470[[#This Row],[Columna4]]</f>
        <v>0.6</v>
      </c>
    </row>
    <row r="127" spans="1:5">
      <c r="A127" s="30" t="s">
        <v>1199</v>
      </c>
      <c r="B127" s="30" t="s">
        <v>301</v>
      </c>
      <c r="C127" s="30">
        <v>1</v>
      </c>
      <c r="D127" s="30">
        <f>VLOOKUP(RUTA470[[#This Row],[Columna1]],Tabla14[#All],6,0)</f>
        <v>0.9277777777777777</v>
      </c>
      <c r="E127" s="30">
        <f>RUTA470[[#This Row],[Columna3]]*RUTA470[[#This Row],[Columna4]]</f>
        <v>0.9277777777777777</v>
      </c>
    </row>
    <row r="128" spans="1:5">
      <c r="A128" s="30" t="s">
        <v>1222</v>
      </c>
      <c r="B128" s="30" t="s">
        <v>302</v>
      </c>
      <c r="C128" s="30">
        <v>1</v>
      </c>
      <c r="D128" s="30">
        <f>VLOOKUP(RUTA470[[#This Row],[Columna1]],Tabla14[#All],6,0)</f>
        <v>0.9277777777777777</v>
      </c>
      <c r="E128" s="30">
        <f>RUTA470[[#This Row],[Columna3]]*RUTA470[[#This Row],[Columna4]]</f>
        <v>0.9277777777777777</v>
      </c>
    </row>
    <row r="129" spans="1:5">
      <c r="A129" s="30" t="s">
        <v>1210</v>
      </c>
      <c r="B129" s="30" t="s">
        <v>1166</v>
      </c>
      <c r="C129" s="30">
        <v>1</v>
      </c>
      <c r="D129" s="30">
        <f>VLOOKUP(RUTA470[[#This Row],[Columna1]],Tabla14[#All],6,0)</f>
        <v>0.9277777777777777</v>
      </c>
      <c r="E129" s="30">
        <f>RUTA470[[#This Row],[Columna3]]*RUTA470[[#This Row],[Columna4]]</f>
        <v>0.9277777777777777</v>
      </c>
    </row>
    <row r="130" spans="1:5">
      <c r="A130" s="30" t="s">
        <v>1177</v>
      </c>
      <c r="B130" s="30" t="s">
        <v>298</v>
      </c>
      <c r="C130" s="30">
        <v>1</v>
      </c>
      <c r="D130" s="30">
        <f>VLOOKUP(RUTA470[[#This Row],[Columna1]],Tabla14[#All],6,0)</f>
        <v>0.9277777777777777</v>
      </c>
      <c r="E130" s="30">
        <f>RUTA470[[#This Row],[Columna3]]*RUTA470[[#This Row],[Columna4]]</f>
        <v>0.9277777777777777</v>
      </c>
    </row>
    <row r="131" spans="1:5">
      <c r="A131" s="30" t="s">
        <v>1213</v>
      </c>
      <c r="B131" s="30" t="s">
        <v>303</v>
      </c>
      <c r="C131" s="30">
        <v>1</v>
      </c>
      <c r="D131" s="30">
        <f>VLOOKUP(RUTA470[[#This Row],[Columna1]],Tabla14[#All],6,0)</f>
        <v>0.42399999999999999</v>
      </c>
      <c r="E131" s="30">
        <f>RUTA470[[#This Row],[Columna3]]*RUTA470[[#This Row],[Columna4]]</f>
        <v>0.42399999999999999</v>
      </c>
    </row>
    <row r="132" spans="1:5">
      <c r="A132" s="30" t="s">
        <v>2070</v>
      </c>
      <c r="B132" s="30" t="s">
        <v>2069</v>
      </c>
      <c r="C132" s="30">
        <v>1</v>
      </c>
      <c r="D132" s="30">
        <f>VLOOKUP(RUTA470[[#This Row],[Columna1]],Tabla14[#All],6,0)</f>
        <v>0.66166666666666674</v>
      </c>
      <c r="E132" s="30">
        <f>RUTA470[[#This Row],[Columna3]]*RUTA470[[#This Row],[Columna4]]</f>
        <v>0.66166666666666674</v>
      </c>
    </row>
    <row r="133" spans="1:5">
      <c r="A133" s="30" t="s">
        <v>1749</v>
      </c>
      <c r="B133" s="30" t="s">
        <v>2008</v>
      </c>
      <c r="C133" s="30">
        <v>3</v>
      </c>
      <c r="D133" s="30">
        <f>VLOOKUP(RUTA470[[#This Row],[Columna1]],Tabla14[#All],6,0)</f>
        <v>0.71375</v>
      </c>
      <c r="E133" s="30">
        <f>RUTA470[[#This Row],[Columna3]]*RUTA470[[#This Row],[Columna4]]</f>
        <v>2.1412499999999999</v>
      </c>
    </row>
    <row r="134" spans="1:5">
      <c r="A134" s="30" t="s">
        <v>2057</v>
      </c>
      <c r="B134" s="30" t="s">
        <v>2056</v>
      </c>
      <c r="C134" s="30">
        <v>2</v>
      </c>
      <c r="D134" s="30">
        <f>VLOOKUP(RUTA470[[#This Row],[Columna1]],Tabla14[#All],6,0)</f>
        <v>0.45</v>
      </c>
      <c r="E134" s="30">
        <f>RUTA470[[#This Row],[Columna3]]*RUTA470[[#This Row],[Columna4]]</f>
        <v>0.9</v>
      </c>
    </row>
    <row r="135" spans="1:5">
      <c r="A135" s="30" t="s">
        <v>2242</v>
      </c>
      <c r="B135" s="30" t="s">
        <v>2241</v>
      </c>
      <c r="C135" s="30">
        <v>1</v>
      </c>
      <c r="D135" s="30">
        <f>VLOOKUP(RUTA470[[#This Row],[Columna1]],Tabla14[#All],6,0)</f>
        <v>0.45</v>
      </c>
      <c r="E135" s="30">
        <f>RUTA470[[#This Row],[Columna3]]*RUTA470[[#This Row],[Columna4]]</f>
        <v>0.45</v>
      </c>
    </row>
    <row r="136" spans="1:5">
      <c r="A136" s="30" t="s">
        <v>2063</v>
      </c>
      <c r="B136" s="30" t="s">
        <v>2062</v>
      </c>
      <c r="C136" s="30">
        <v>1</v>
      </c>
      <c r="D136" s="30">
        <f>VLOOKUP(RUTA470[[#This Row],[Columna1]],Tabla14[#All],6,0)</f>
        <v>0.53</v>
      </c>
      <c r="E136" s="30">
        <f>RUTA470[[#This Row],[Columna3]]*RUTA470[[#This Row],[Columna4]]</f>
        <v>0.53</v>
      </c>
    </row>
    <row r="137" spans="1:5">
      <c r="A137" s="30" t="s">
        <v>1148</v>
      </c>
      <c r="B137" s="30" t="s">
        <v>1512</v>
      </c>
      <c r="C137" s="30">
        <v>50</v>
      </c>
      <c r="D137" s="30">
        <f>VLOOKUP(RUTA470[[#This Row],[Columna1]],Tabla14[#All],6,0)</f>
        <v>0.88</v>
      </c>
      <c r="E137" s="30">
        <f>RUTA470[[#This Row],[Columna3]]*RUTA470[[#This Row],[Columna4]]</f>
        <v>44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theme="3" tint="-0.499984740745262"/>
  </sheetPr>
  <dimension ref="C3:G44"/>
  <sheetViews>
    <sheetView showGridLines="0" tabSelected="1" topLeftCell="A2" zoomScale="145" zoomScaleNormal="145" workbookViewId="0">
      <selection activeCell="E4" sqref="E4:E11"/>
    </sheetView>
  </sheetViews>
  <sheetFormatPr baseColWidth="10" defaultRowHeight="14.4"/>
  <cols>
    <col min="3" max="3" width="13.5546875" bestFit="1" customWidth="1"/>
    <col min="4" max="4" width="24.6640625" hidden="1" customWidth="1"/>
    <col min="5" max="5" width="24.6640625" bestFit="1" customWidth="1"/>
  </cols>
  <sheetData>
    <row r="3" spans="3:7">
      <c r="C3" s="61" t="s">
        <v>1826</v>
      </c>
      <c r="D3" s="61" t="s">
        <v>1114</v>
      </c>
      <c r="E3" s="61" t="s">
        <v>1115</v>
      </c>
    </row>
    <row r="4" spans="3:7">
      <c r="C4" s="62" t="s">
        <v>1634</v>
      </c>
      <c r="D4" s="62">
        <f>SUM(E470DB!E:E)</f>
        <v>2213.6251388888886</v>
      </c>
      <c r="E4" s="66">
        <f>Tabla34[[#This Row],[PESO LB]]/100</f>
        <v>22.136251388888887</v>
      </c>
    </row>
    <row r="5" spans="3:7">
      <c r="C5" s="63" t="s">
        <v>1107</v>
      </c>
      <c r="D5" s="63">
        <f>SUM(E471DB!E:E)</f>
        <v>3619.7407236111121</v>
      </c>
      <c r="E5" s="67">
        <f>Tabla34[[#This Row],[PESO LB]]/100</f>
        <v>36.197407236111118</v>
      </c>
    </row>
    <row r="6" spans="3:7">
      <c r="C6" s="62" t="s">
        <v>1108</v>
      </c>
      <c r="D6" s="62">
        <f>SUM(E472DB!E:E)</f>
        <v>2753.3134377645492</v>
      </c>
      <c r="E6" s="66">
        <f>Tabla34[[#This Row],[PESO LB]]/100</f>
        <v>27.533134377645492</v>
      </c>
      <c r="G6">
        <v>760</v>
      </c>
    </row>
    <row r="7" spans="3:7">
      <c r="C7" s="63" t="s">
        <v>1109</v>
      </c>
      <c r="D7" s="63">
        <f>SUM(E473DB!E:E)</f>
        <v>2948.7015069444446</v>
      </c>
      <c r="E7" s="67">
        <f>Tabla34[[#This Row],[PESO LB]]/100</f>
        <v>29.487015069444446</v>
      </c>
    </row>
    <row r="8" spans="3:7">
      <c r="C8" s="62" t="s">
        <v>1110</v>
      </c>
      <c r="D8" s="62">
        <f>Tabla23[LIBRAS]</f>
        <v>2988.0298473117778</v>
      </c>
      <c r="E8" s="66">
        <f>Tabla34[[#This Row],[PESO LB]]/100</f>
        <v>29.880298473117776</v>
      </c>
      <c r="G8">
        <v>638</v>
      </c>
    </row>
    <row r="9" spans="3:7">
      <c r="C9" s="63" t="s">
        <v>1111</v>
      </c>
      <c r="D9" s="63">
        <f>SUM(E475DB!E:E)</f>
        <v>2912.2014597041848</v>
      </c>
      <c r="E9" s="67">
        <f>Tabla34[[#This Row],[PESO LB]]/100</f>
        <v>29.122014597041847</v>
      </c>
    </row>
    <row r="10" spans="3:7">
      <c r="C10" s="62" t="s">
        <v>1112</v>
      </c>
      <c r="D10" s="62">
        <f>SUM(E476DB!E:E)</f>
        <v>3663.0902430555548</v>
      </c>
      <c r="E10" s="66">
        <f>Tabla34[[#This Row],[PESO LB]]/100</f>
        <v>36.630902430555551</v>
      </c>
      <c r="G10">
        <v>127</v>
      </c>
    </row>
    <row r="11" spans="3:7">
      <c r="C11" s="64" t="s">
        <v>1113</v>
      </c>
      <c r="D11" s="64">
        <f>SUM(E477DB!E:E)</f>
        <v>5225.1016329365084</v>
      </c>
      <c r="E11" s="68">
        <f>Tabla34[[#This Row],[PESO LB]]/100</f>
        <v>52.251016329365086</v>
      </c>
    </row>
    <row r="12" spans="3:7" ht="13.8" customHeight="1">
      <c r="C12" s="69" t="s">
        <v>1635</v>
      </c>
      <c r="D12" s="69">
        <f>SUM(E478DB!E:E)</f>
        <v>1561.8200000000002</v>
      </c>
      <c r="E12" s="70">
        <f>Tabla34[[#This Row],[PESO LB]]/100</f>
        <v>15.618200000000002</v>
      </c>
    </row>
    <row r="13" spans="3:7" ht="13.2" customHeight="1">
      <c r="C13" s="64" t="s">
        <v>1789</v>
      </c>
      <c r="D13" s="64">
        <f>Tabla24241[LIBRA]</f>
        <v>1771.7684216076823</v>
      </c>
      <c r="E13" s="29">
        <f>Tabla34[[#This Row],[PESO LB]]/100</f>
        <v>17.717684216076822</v>
      </c>
    </row>
    <row r="14" spans="3:7">
      <c r="C14" s="64" t="s">
        <v>1790</v>
      </c>
      <c r="D14" s="64">
        <f>Tabla2424142[LIBRA]</f>
        <v>937.90333333333342</v>
      </c>
      <c r="E14" s="29">
        <f>Tabla34[[#This Row],[PESO LB]]/100</f>
        <v>9.379033333333334</v>
      </c>
    </row>
    <row r="15" spans="3:7">
      <c r="C15" s="65" t="s">
        <v>1791</v>
      </c>
      <c r="D15" s="65">
        <f>Tabla242414243[LIBRA]</f>
        <v>1688.1716666666669</v>
      </c>
      <c r="E15" s="57">
        <f>Tabla34[[#This Row],[PESO LB]]/100</f>
        <v>16.881716666666669</v>
      </c>
    </row>
    <row r="42" spans="4:4" ht="14.25" customHeight="1"/>
    <row r="43" spans="4:4">
      <c r="D43" s="82" t="s">
        <v>1116</v>
      </c>
    </row>
    <row r="44" spans="4:4">
      <c r="D44" s="82">
        <v>27.533134377645492</v>
      </c>
    </row>
  </sheetData>
  <phoneticPr fontId="14" type="noConversion"/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75FE-B9A1-4DE1-8D33-F87ACDBBF8CD}">
  <sheetPr codeName="Hoja11">
    <tabColor rgb="FFFF0000"/>
  </sheetPr>
  <dimension ref="D1:I1380"/>
  <sheetViews>
    <sheetView showGridLines="0" topLeftCell="A1356" zoomScaleNormal="100" workbookViewId="0">
      <selection activeCell="H1381" sqref="H1381"/>
    </sheetView>
  </sheetViews>
  <sheetFormatPr baseColWidth="10" defaultColWidth="9.109375" defaultRowHeight="14.4"/>
  <cols>
    <col min="4" max="4" width="17.33203125" style="11" bestFit="1" customWidth="1"/>
    <col min="5" max="5" width="17.33203125" style="52" customWidth="1"/>
    <col min="6" max="6" width="68.21875" style="52" customWidth="1"/>
    <col min="7" max="7" width="11.6640625" style="52" customWidth="1"/>
    <col min="8" max="8" width="13.6640625" style="52" bestFit="1" customWidth="1"/>
    <col min="9" max="9" width="14.5546875" style="52" bestFit="1" customWidth="1"/>
  </cols>
  <sheetData>
    <row r="1" spans="4:9" ht="21" customHeight="1">
      <c r="F1" s="80" t="s">
        <v>1062</v>
      </c>
    </row>
    <row r="2" spans="4:9">
      <c r="F2" s="80"/>
    </row>
    <row r="3" spans="4:9" ht="18">
      <c r="D3" s="12"/>
      <c r="E3" s="10"/>
      <c r="F3" s="10"/>
      <c r="H3" s="81" t="s">
        <v>2192</v>
      </c>
      <c r="I3" s="81"/>
    </row>
    <row r="4" spans="4:9">
      <c r="D4" s="16" t="s">
        <v>1061</v>
      </c>
      <c r="E4" s="9" t="s">
        <v>1060</v>
      </c>
      <c r="F4" s="9" t="s">
        <v>1059</v>
      </c>
      <c r="G4" s="8" t="s">
        <v>1058</v>
      </c>
      <c r="H4" s="8" t="s">
        <v>1057</v>
      </c>
      <c r="I4" s="7" t="s">
        <v>1056</v>
      </c>
    </row>
    <row r="5" spans="4:9">
      <c r="D5" s="15">
        <v>60000210</v>
      </c>
      <c r="E5" s="6" t="s">
        <v>1048</v>
      </c>
      <c r="F5" s="6" t="s">
        <v>148</v>
      </c>
      <c r="G5" s="6">
        <v>25</v>
      </c>
      <c r="H5" s="5">
        <v>19.3</v>
      </c>
      <c r="I5" s="4">
        <f>H5/G5</f>
        <v>0.77200000000000002</v>
      </c>
    </row>
    <row r="6" spans="4:9">
      <c r="D6" s="15">
        <v>60000209</v>
      </c>
      <c r="E6" s="6" t="s">
        <v>1048</v>
      </c>
      <c r="F6" s="6" t="s">
        <v>147</v>
      </c>
      <c r="G6" s="6">
        <v>25</v>
      </c>
      <c r="H6" s="5">
        <v>19.3</v>
      </c>
      <c r="I6" s="4">
        <f t="shared" ref="I6:I68" si="0">H6/G6</f>
        <v>0.77200000000000002</v>
      </c>
    </row>
    <row r="7" spans="4:9">
      <c r="D7" s="15">
        <v>10010010010</v>
      </c>
      <c r="E7" s="6" t="s">
        <v>1048</v>
      </c>
      <c r="F7" s="6" t="s">
        <v>146</v>
      </c>
      <c r="G7" s="6">
        <v>25</v>
      </c>
      <c r="H7" s="5">
        <v>22.05</v>
      </c>
      <c r="I7" s="4">
        <f t="shared" si="0"/>
        <v>0.88200000000000001</v>
      </c>
    </row>
    <row r="8" spans="4:9">
      <c r="D8" s="15">
        <v>10020040002</v>
      </c>
      <c r="E8" s="6" t="s">
        <v>1048</v>
      </c>
      <c r="F8" s="6" t="s">
        <v>145</v>
      </c>
      <c r="G8" s="6">
        <v>25</v>
      </c>
      <c r="H8" s="5">
        <v>22.05</v>
      </c>
      <c r="I8" s="4">
        <f t="shared" si="0"/>
        <v>0.88200000000000001</v>
      </c>
    </row>
    <row r="9" spans="4:9">
      <c r="D9" s="15">
        <v>10010020002</v>
      </c>
      <c r="E9" s="6" t="s">
        <v>1048</v>
      </c>
      <c r="F9" s="6" t="s">
        <v>144</v>
      </c>
      <c r="G9" s="6">
        <v>25</v>
      </c>
      <c r="H9" s="5">
        <v>22.05</v>
      </c>
      <c r="I9" s="4">
        <f t="shared" si="0"/>
        <v>0.88200000000000001</v>
      </c>
    </row>
    <row r="10" spans="4:9">
      <c r="D10" s="15">
        <v>10020010007</v>
      </c>
      <c r="E10" s="6" t="s">
        <v>1048</v>
      </c>
      <c r="F10" s="6" t="s">
        <v>143</v>
      </c>
      <c r="G10" s="6">
        <v>25</v>
      </c>
      <c r="H10" s="5">
        <v>22.05</v>
      </c>
      <c r="I10" s="4">
        <f t="shared" si="0"/>
        <v>0.88200000000000001</v>
      </c>
    </row>
    <row r="11" spans="4:9">
      <c r="D11" s="15">
        <v>60000212</v>
      </c>
      <c r="E11" s="6" t="s">
        <v>1048</v>
      </c>
      <c r="F11" s="6" t="s">
        <v>1055</v>
      </c>
      <c r="G11" s="6">
        <v>12</v>
      </c>
      <c r="H11" s="5">
        <v>7.95</v>
      </c>
      <c r="I11" s="4">
        <f t="shared" si="0"/>
        <v>0.66249999999999998</v>
      </c>
    </row>
    <row r="12" spans="4:9">
      <c r="D12" s="15">
        <v>10040010015</v>
      </c>
      <c r="E12" s="6" t="s">
        <v>1048</v>
      </c>
      <c r="F12" s="6" t="s">
        <v>1054</v>
      </c>
      <c r="G12" s="6">
        <v>12</v>
      </c>
      <c r="H12" s="5">
        <v>9.25</v>
      </c>
      <c r="I12" s="4">
        <f t="shared" si="0"/>
        <v>0.77083333333333337</v>
      </c>
    </row>
    <row r="13" spans="4:9">
      <c r="D13" s="15">
        <v>60000215</v>
      </c>
      <c r="E13" s="6" t="s">
        <v>1048</v>
      </c>
      <c r="F13" s="6" t="s">
        <v>1053</v>
      </c>
      <c r="G13" s="6">
        <v>12</v>
      </c>
      <c r="H13" s="5">
        <v>7.95</v>
      </c>
      <c r="I13" s="4">
        <f t="shared" si="0"/>
        <v>0.66249999999999998</v>
      </c>
    </row>
    <row r="14" spans="4:9">
      <c r="D14" s="15">
        <v>10030050001</v>
      </c>
      <c r="E14" s="6" t="s">
        <v>1048</v>
      </c>
      <c r="F14" s="6" t="s">
        <v>1052</v>
      </c>
      <c r="G14" s="6">
        <v>12</v>
      </c>
      <c r="H14" s="5">
        <v>9.25</v>
      </c>
      <c r="I14" s="4">
        <f t="shared" si="0"/>
        <v>0.77083333333333337</v>
      </c>
    </row>
    <row r="15" spans="4:9">
      <c r="D15" s="15">
        <v>60000094</v>
      </c>
      <c r="E15" s="6" t="s">
        <v>1048</v>
      </c>
      <c r="F15" s="6" t="s">
        <v>1051</v>
      </c>
      <c r="G15" s="6">
        <v>9</v>
      </c>
      <c r="H15" s="5">
        <v>15.84</v>
      </c>
      <c r="I15" s="4">
        <f t="shared" si="0"/>
        <v>1.76</v>
      </c>
    </row>
    <row r="16" spans="4:9">
      <c r="D16" s="15">
        <v>10080010001</v>
      </c>
      <c r="E16" s="6" t="s">
        <v>1048</v>
      </c>
      <c r="F16" s="6" t="s">
        <v>142</v>
      </c>
      <c r="G16" s="6">
        <v>9</v>
      </c>
      <c r="H16" s="5">
        <v>18</v>
      </c>
      <c r="I16" s="4">
        <f t="shared" si="0"/>
        <v>2</v>
      </c>
    </row>
    <row r="17" spans="4:9">
      <c r="D17" s="15">
        <v>60000205</v>
      </c>
      <c r="E17" s="6" t="s">
        <v>1048</v>
      </c>
      <c r="F17" s="6" t="s">
        <v>141</v>
      </c>
      <c r="G17" s="6">
        <v>20</v>
      </c>
      <c r="H17" s="5">
        <v>17.600000000000001</v>
      </c>
      <c r="I17" s="4">
        <f t="shared" si="0"/>
        <v>0.88000000000000012</v>
      </c>
    </row>
    <row r="18" spans="4:9">
      <c r="D18" s="15">
        <v>60000133</v>
      </c>
      <c r="E18" s="6" t="s">
        <v>1048</v>
      </c>
      <c r="F18" s="6" t="s">
        <v>1050</v>
      </c>
      <c r="G18" s="6">
        <v>1</v>
      </c>
      <c r="H18" s="5">
        <v>50</v>
      </c>
      <c r="I18" s="4">
        <f t="shared" si="0"/>
        <v>50</v>
      </c>
    </row>
    <row r="19" spans="4:9">
      <c r="D19" s="15">
        <v>10080010002</v>
      </c>
      <c r="E19" s="6" t="s">
        <v>1048</v>
      </c>
      <c r="F19" s="6" t="s">
        <v>140</v>
      </c>
      <c r="G19" s="6">
        <v>6</v>
      </c>
      <c r="H19" s="5">
        <v>30</v>
      </c>
      <c r="I19" s="4">
        <f t="shared" si="0"/>
        <v>5</v>
      </c>
    </row>
    <row r="20" spans="4:9">
      <c r="D20" s="15">
        <v>60000162</v>
      </c>
      <c r="E20" s="6" t="s">
        <v>1048</v>
      </c>
      <c r="F20" s="6" t="s">
        <v>1049</v>
      </c>
      <c r="G20" s="6">
        <v>6</v>
      </c>
      <c r="H20" s="5">
        <v>10.55</v>
      </c>
      <c r="I20" s="4">
        <f t="shared" si="0"/>
        <v>1.7583333333333335</v>
      </c>
    </row>
    <row r="21" spans="4:9">
      <c r="D21" s="15">
        <v>10080010004</v>
      </c>
      <c r="E21" s="6" t="s">
        <v>1048</v>
      </c>
      <c r="F21" s="6" t="s">
        <v>1047</v>
      </c>
      <c r="G21" s="6">
        <v>1</v>
      </c>
      <c r="H21" s="5">
        <v>50</v>
      </c>
      <c r="I21" s="4">
        <f t="shared" si="0"/>
        <v>50</v>
      </c>
    </row>
    <row r="22" spans="4:9">
      <c r="D22" s="15" t="s">
        <v>1046</v>
      </c>
      <c r="E22" s="6" t="s">
        <v>1012</v>
      </c>
      <c r="F22" s="6" t="s">
        <v>1045</v>
      </c>
      <c r="G22" s="6">
        <v>16</v>
      </c>
      <c r="H22" s="5">
        <v>14.15</v>
      </c>
      <c r="I22" s="4">
        <f t="shared" si="0"/>
        <v>0.88437500000000002</v>
      </c>
    </row>
    <row r="23" spans="4:9">
      <c r="D23" s="15" t="s">
        <v>1044</v>
      </c>
      <c r="E23" s="6" t="s">
        <v>1012</v>
      </c>
      <c r="F23" s="6" t="s">
        <v>1043</v>
      </c>
      <c r="G23" s="6">
        <v>16</v>
      </c>
      <c r="H23" s="5">
        <v>14.15</v>
      </c>
      <c r="I23" s="4">
        <f t="shared" si="0"/>
        <v>0.88437500000000002</v>
      </c>
    </row>
    <row r="24" spans="4:9">
      <c r="D24" s="15" t="s">
        <v>1042</v>
      </c>
      <c r="E24" s="6" t="s">
        <v>1019</v>
      </c>
      <c r="F24" s="6" t="s">
        <v>1041</v>
      </c>
      <c r="G24" s="6">
        <v>16</v>
      </c>
      <c r="H24" s="5">
        <v>14.15</v>
      </c>
      <c r="I24" s="4">
        <f t="shared" si="0"/>
        <v>0.88437500000000002</v>
      </c>
    </row>
    <row r="25" spans="4:9">
      <c r="D25" s="15" t="s">
        <v>1040</v>
      </c>
      <c r="E25" s="6" t="s">
        <v>1019</v>
      </c>
      <c r="F25" s="6" t="s">
        <v>1039</v>
      </c>
      <c r="G25" s="6">
        <v>16</v>
      </c>
      <c r="H25" s="5">
        <v>14.15</v>
      </c>
      <c r="I25" s="4">
        <f t="shared" si="0"/>
        <v>0.88437500000000002</v>
      </c>
    </row>
    <row r="26" spans="4:9">
      <c r="D26" s="15" t="s">
        <v>1038</v>
      </c>
      <c r="E26" s="6" t="s">
        <v>1012</v>
      </c>
      <c r="F26" s="6" t="s">
        <v>1037</v>
      </c>
      <c r="G26" s="6">
        <v>20</v>
      </c>
      <c r="H26" s="5">
        <v>14.15</v>
      </c>
      <c r="I26" s="4">
        <f t="shared" si="0"/>
        <v>0.70750000000000002</v>
      </c>
    </row>
    <row r="27" spans="4:9">
      <c r="D27" s="15" t="s">
        <v>1036</v>
      </c>
      <c r="E27" s="6" t="s">
        <v>1019</v>
      </c>
      <c r="F27" s="6" t="s">
        <v>1035</v>
      </c>
      <c r="G27" s="6">
        <v>20</v>
      </c>
      <c r="H27" s="5">
        <v>14.15</v>
      </c>
      <c r="I27" s="4">
        <f t="shared" si="0"/>
        <v>0.70750000000000002</v>
      </c>
    </row>
    <row r="28" spans="4:9">
      <c r="D28" s="15" t="s">
        <v>1034</v>
      </c>
      <c r="E28" s="6" t="s">
        <v>1012</v>
      </c>
      <c r="F28" s="6" t="s">
        <v>1033</v>
      </c>
      <c r="G28" s="6">
        <v>18</v>
      </c>
      <c r="H28" s="5">
        <v>14.4</v>
      </c>
      <c r="I28" s="4">
        <f t="shared" si="0"/>
        <v>0.8</v>
      </c>
    </row>
    <row r="29" spans="4:9">
      <c r="D29" s="15" t="s">
        <v>1032</v>
      </c>
      <c r="E29" s="6" t="s">
        <v>1019</v>
      </c>
      <c r="F29" s="6" t="s">
        <v>1031</v>
      </c>
      <c r="G29" s="6">
        <v>16</v>
      </c>
      <c r="H29" s="5">
        <v>14.4</v>
      </c>
      <c r="I29" s="4">
        <f t="shared" si="0"/>
        <v>0.9</v>
      </c>
    </row>
    <row r="30" spans="4:9">
      <c r="D30" s="15" t="s">
        <v>1030</v>
      </c>
      <c r="E30" s="6" t="s">
        <v>1019</v>
      </c>
      <c r="F30" s="6" t="s">
        <v>1029</v>
      </c>
      <c r="G30" s="6">
        <v>16</v>
      </c>
      <c r="H30" s="5">
        <v>14.4</v>
      </c>
      <c r="I30" s="4">
        <f t="shared" si="0"/>
        <v>0.9</v>
      </c>
    </row>
    <row r="31" spans="4:9">
      <c r="D31" s="15" t="s">
        <v>1028</v>
      </c>
      <c r="E31" s="6" t="s">
        <v>1019</v>
      </c>
      <c r="F31" s="6" t="s">
        <v>1027</v>
      </c>
      <c r="G31" s="6">
        <v>16</v>
      </c>
      <c r="H31" s="5">
        <v>14.4</v>
      </c>
      <c r="I31" s="4">
        <f t="shared" si="0"/>
        <v>0.9</v>
      </c>
    </row>
    <row r="32" spans="4:9">
      <c r="D32" s="15" t="s">
        <v>1026</v>
      </c>
      <c r="E32" s="6" t="s">
        <v>1012</v>
      </c>
      <c r="F32" s="6" t="s">
        <v>1025</v>
      </c>
      <c r="G32" s="6">
        <v>16</v>
      </c>
      <c r="H32" s="5">
        <v>14.4</v>
      </c>
      <c r="I32" s="4">
        <f t="shared" si="0"/>
        <v>0.9</v>
      </c>
    </row>
    <row r="33" spans="4:9">
      <c r="D33" s="15" t="s">
        <v>1024</v>
      </c>
      <c r="E33" s="6" t="s">
        <v>1012</v>
      </c>
      <c r="F33" s="6" t="s">
        <v>1023</v>
      </c>
      <c r="G33" s="6">
        <v>16</v>
      </c>
      <c r="H33" s="5">
        <v>14.4</v>
      </c>
      <c r="I33" s="4">
        <f t="shared" si="0"/>
        <v>0.9</v>
      </c>
    </row>
    <row r="34" spans="4:9">
      <c r="D34" s="15" t="s">
        <v>1022</v>
      </c>
      <c r="E34" s="6" t="s">
        <v>1019</v>
      </c>
      <c r="F34" s="6" t="s">
        <v>1021</v>
      </c>
      <c r="G34" s="6">
        <v>16</v>
      </c>
      <c r="H34" s="5">
        <v>14.4</v>
      </c>
      <c r="I34" s="4">
        <f t="shared" si="0"/>
        <v>0.9</v>
      </c>
    </row>
    <row r="35" spans="4:9">
      <c r="D35" s="15" t="s">
        <v>29</v>
      </c>
      <c r="E35" s="6" t="s">
        <v>1019</v>
      </c>
      <c r="F35" s="6" t="s">
        <v>28</v>
      </c>
      <c r="G35" s="6">
        <v>16</v>
      </c>
      <c r="H35" s="5">
        <v>14.4</v>
      </c>
      <c r="I35" s="4">
        <f t="shared" si="0"/>
        <v>0.9</v>
      </c>
    </row>
    <row r="36" spans="4:9">
      <c r="D36" s="15" t="s">
        <v>1020</v>
      </c>
      <c r="E36" s="6" t="s">
        <v>1019</v>
      </c>
      <c r="F36" s="6" t="s">
        <v>1018</v>
      </c>
      <c r="G36" s="6">
        <v>16</v>
      </c>
      <c r="H36" s="5">
        <v>14.4</v>
      </c>
      <c r="I36" s="4">
        <f t="shared" si="0"/>
        <v>0.9</v>
      </c>
    </row>
    <row r="37" spans="4:9">
      <c r="D37" s="15" t="s">
        <v>1017</v>
      </c>
      <c r="E37" s="6" t="s">
        <v>1012</v>
      </c>
      <c r="F37" s="6" t="s">
        <v>1016</v>
      </c>
      <c r="G37" s="6">
        <v>16</v>
      </c>
      <c r="H37" s="5">
        <v>14.4</v>
      </c>
      <c r="I37" s="4">
        <f t="shared" si="0"/>
        <v>0.9</v>
      </c>
    </row>
    <row r="38" spans="4:9">
      <c r="D38" s="15" t="s">
        <v>1015</v>
      </c>
      <c r="E38" s="6" t="s">
        <v>1012</v>
      </c>
      <c r="F38" s="6" t="s">
        <v>1014</v>
      </c>
      <c r="G38" s="6">
        <v>16</v>
      </c>
      <c r="H38" s="5">
        <v>14.4</v>
      </c>
      <c r="I38" s="4">
        <f t="shared" si="0"/>
        <v>0.9</v>
      </c>
    </row>
    <row r="39" spans="4:9">
      <c r="D39" s="15" t="s">
        <v>1013</v>
      </c>
      <c r="E39" s="6" t="s">
        <v>1012</v>
      </c>
      <c r="F39" s="6" t="s">
        <v>1011</v>
      </c>
      <c r="G39" s="6">
        <v>16</v>
      </c>
      <c r="H39" s="5">
        <v>14.4</v>
      </c>
      <c r="I39" s="4">
        <f t="shared" si="0"/>
        <v>0.9</v>
      </c>
    </row>
    <row r="40" spans="4:9">
      <c r="D40" s="15" t="s">
        <v>1010</v>
      </c>
      <c r="E40" s="6" t="s">
        <v>790</v>
      </c>
      <c r="F40" s="6" t="s">
        <v>1009</v>
      </c>
      <c r="G40" s="6">
        <v>12</v>
      </c>
      <c r="H40" s="5">
        <v>11.64</v>
      </c>
      <c r="I40" s="4">
        <f t="shared" si="0"/>
        <v>0.97000000000000008</v>
      </c>
    </row>
    <row r="41" spans="4:9">
      <c r="D41" s="15" t="s">
        <v>1008</v>
      </c>
      <c r="E41" s="6" t="s">
        <v>790</v>
      </c>
      <c r="F41" s="6" t="s">
        <v>1007</v>
      </c>
      <c r="G41" s="6">
        <v>24</v>
      </c>
      <c r="H41" s="5">
        <v>0</v>
      </c>
      <c r="I41" s="4">
        <f t="shared" si="0"/>
        <v>0</v>
      </c>
    </row>
    <row r="42" spans="4:9">
      <c r="D42" s="15" t="s">
        <v>1006</v>
      </c>
      <c r="E42" s="6" t="s">
        <v>790</v>
      </c>
      <c r="F42" s="6" t="s">
        <v>1005</v>
      </c>
      <c r="G42" s="6">
        <v>24</v>
      </c>
      <c r="H42" s="5">
        <v>0</v>
      </c>
      <c r="I42" s="4">
        <f t="shared" si="0"/>
        <v>0</v>
      </c>
    </row>
    <row r="43" spans="4:9">
      <c r="D43" s="15" t="s">
        <v>1004</v>
      </c>
      <c r="E43" s="6" t="s">
        <v>790</v>
      </c>
      <c r="F43" s="6" t="s">
        <v>1003</v>
      </c>
      <c r="G43" s="6">
        <v>12</v>
      </c>
      <c r="H43" s="5">
        <v>0</v>
      </c>
      <c r="I43" s="4">
        <f t="shared" si="0"/>
        <v>0</v>
      </c>
    </row>
    <row r="44" spans="4:9">
      <c r="D44" s="15" t="s">
        <v>1002</v>
      </c>
      <c r="E44" s="6" t="s">
        <v>790</v>
      </c>
      <c r="F44" s="6" t="s">
        <v>1001</v>
      </c>
      <c r="G44" s="6">
        <v>6</v>
      </c>
      <c r="H44" s="5">
        <v>0</v>
      </c>
      <c r="I44" s="4">
        <f t="shared" si="0"/>
        <v>0</v>
      </c>
    </row>
    <row r="45" spans="4:9">
      <c r="D45" s="15" t="s">
        <v>1000</v>
      </c>
      <c r="E45" s="6" t="s">
        <v>790</v>
      </c>
      <c r="F45" s="6" t="s">
        <v>999</v>
      </c>
      <c r="G45" s="6">
        <v>6</v>
      </c>
      <c r="H45" s="5">
        <v>0</v>
      </c>
      <c r="I45" s="4">
        <f t="shared" si="0"/>
        <v>0</v>
      </c>
    </row>
    <row r="46" spans="4:9">
      <c r="D46" s="15" t="s">
        <v>998</v>
      </c>
      <c r="E46" s="6" t="s">
        <v>790</v>
      </c>
      <c r="F46" s="6" t="s">
        <v>997</v>
      </c>
      <c r="G46" s="6">
        <v>12</v>
      </c>
      <c r="H46" s="5">
        <v>0</v>
      </c>
      <c r="I46" s="4">
        <f t="shared" si="0"/>
        <v>0</v>
      </c>
    </row>
    <row r="47" spans="4:9">
      <c r="D47" s="15" t="s">
        <v>996</v>
      </c>
      <c r="E47" s="6" t="s">
        <v>790</v>
      </c>
      <c r="F47" s="6" t="s">
        <v>995</v>
      </c>
      <c r="G47" s="6">
        <v>12</v>
      </c>
      <c r="H47" s="5">
        <v>0</v>
      </c>
      <c r="I47" s="4">
        <f t="shared" si="0"/>
        <v>0</v>
      </c>
    </row>
    <row r="48" spans="4:9">
      <c r="D48" s="15" t="s">
        <v>994</v>
      </c>
      <c r="E48" s="6" t="s">
        <v>790</v>
      </c>
      <c r="F48" s="6" t="s">
        <v>993</v>
      </c>
      <c r="G48" s="6">
        <v>1</v>
      </c>
      <c r="H48" s="5">
        <v>44.1</v>
      </c>
      <c r="I48" s="4">
        <f t="shared" si="0"/>
        <v>44.1</v>
      </c>
    </row>
    <row r="49" spans="4:9">
      <c r="D49" s="15" t="s">
        <v>992</v>
      </c>
      <c r="E49" s="6" t="s">
        <v>790</v>
      </c>
      <c r="F49" s="6" t="s">
        <v>991</v>
      </c>
      <c r="G49" s="6">
        <v>1</v>
      </c>
      <c r="H49" s="5">
        <v>44.1</v>
      </c>
      <c r="I49" s="4">
        <f t="shared" si="0"/>
        <v>44.1</v>
      </c>
    </row>
    <row r="50" spans="4:9">
      <c r="D50" s="15" t="s">
        <v>990</v>
      </c>
      <c r="E50" s="6" t="s">
        <v>790</v>
      </c>
      <c r="F50" s="6" t="s">
        <v>989</v>
      </c>
      <c r="G50" s="6">
        <v>1</v>
      </c>
      <c r="H50" s="5">
        <v>44.1</v>
      </c>
      <c r="I50" s="4">
        <f t="shared" si="0"/>
        <v>44.1</v>
      </c>
    </row>
    <row r="51" spans="4:9">
      <c r="D51" s="15" t="s">
        <v>988</v>
      </c>
      <c r="E51" s="6" t="s">
        <v>790</v>
      </c>
      <c r="F51" s="6" t="s">
        <v>987</v>
      </c>
      <c r="G51" s="6">
        <v>1</v>
      </c>
      <c r="H51" s="5">
        <v>44.1</v>
      </c>
      <c r="I51" s="4">
        <f t="shared" si="0"/>
        <v>44.1</v>
      </c>
    </row>
    <row r="52" spans="4:9">
      <c r="D52" s="15" t="s">
        <v>986</v>
      </c>
      <c r="E52" s="6" t="s">
        <v>790</v>
      </c>
      <c r="F52" s="6" t="s">
        <v>985</v>
      </c>
      <c r="G52" s="6">
        <v>1</v>
      </c>
      <c r="H52" s="5">
        <v>44.1</v>
      </c>
      <c r="I52" s="4">
        <f t="shared" si="0"/>
        <v>44.1</v>
      </c>
    </row>
    <row r="53" spans="4:9">
      <c r="D53" s="15" t="s">
        <v>984</v>
      </c>
      <c r="E53" s="6" t="s">
        <v>790</v>
      </c>
      <c r="F53" s="6" t="s">
        <v>983</v>
      </c>
      <c r="G53" s="6">
        <v>1</v>
      </c>
      <c r="H53" s="5">
        <v>44.1</v>
      </c>
      <c r="I53" s="4">
        <f t="shared" si="0"/>
        <v>44.1</v>
      </c>
    </row>
    <row r="54" spans="4:9">
      <c r="D54" s="15" t="s">
        <v>982</v>
      </c>
      <c r="E54" s="6" t="s">
        <v>790</v>
      </c>
      <c r="F54" s="6" t="s">
        <v>981</v>
      </c>
      <c r="G54" s="6">
        <v>1</v>
      </c>
      <c r="H54" s="5">
        <v>44.1</v>
      </c>
      <c r="I54" s="4">
        <f t="shared" si="0"/>
        <v>44.1</v>
      </c>
    </row>
    <row r="55" spans="4:9">
      <c r="D55" s="15" t="s">
        <v>980</v>
      </c>
      <c r="E55" s="6" t="s">
        <v>790</v>
      </c>
      <c r="F55" s="6" t="s">
        <v>979</v>
      </c>
      <c r="G55" s="6">
        <v>1</v>
      </c>
      <c r="H55" s="5">
        <v>44.1</v>
      </c>
      <c r="I55" s="4">
        <f t="shared" si="0"/>
        <v>44.1</v>
      </c>
    </row>
    <row r="56" spans="4:9">
      <c r="D56" s="15" t="s">
        <v>978</v>
      </c>
      <c r="E56" s="6" t="s">
        <v>790</v>
      </c>
      <c r="F56" s="6" t="s">
        <v>977</v>
      </c>
      <c r="G56" s="6">
        <v>1</v>
      </c>
      <c r="H56" s="5">
        <v>44.1</v>
      </c>
      <c r="I56" s="4">
        <f t="shared" si="0"/>
        <v>44.1</v>
      </c>
    </row>
    <row r="57" spans="4:9">
      <c r="D57" s="15" t="s">
        <v>976</v>
      </c>
      <c r="E57" s="6" t="s">
        <v>790</v>
      </c>
      <c r="F57" s="6" t="s">
        <v>975</v>
      </c>
      <c r="G57" s="6">
        <v>1</v>
      </c>
      <c r="H57" s="5">
        <v>44.1</v>
      </c>
      <c r="I57" s="4">
        <f t="shared" si="0"/>
        <v>44.1</v>
      </c>
    </row>
    <row r="58" spans="4:9">
      <c r="D58" s="15" t="s">
        <v>974</v>
      </c>
      <c r="E58" s="6" t="s">
        <v>790</v>
      </c>
      <c r="F58" s="6" t="s">
        <v>973</v>
      </c>
      <c r="G58" s="6">
        <v>1</v>
      </c>
      <c r="H58" s="5">
        <v>44.1</v>
      </c>
      <c r="I58" s="4">
        <f t="shared" si="0"/>
        <v>44.1</v>
      </c>
    </row>
    <row r="59" spans="4:9">
      <c r="D59" s="15" t="s">
        <v>972</v>
      </c>
      <c r="E59" s="6" t="s">
        <v>790</v>
      </c>
      <c r="F59" s="6" t="s">
        <v>971</v>
      </c>
      <c r="G59" s="6">
        <v>1</v>
      </c>
      <c r="H59" s="5">
        <v>44.1</v>
      </c>
      <c r="I59" s="4">
        <f t="shared" si="0"/>
        <v>44.1</v>
      </c>
    </row>
    <row r="60" spans="4:9">
      <c r="D60" s="15" t="s">
        <v>970</v>
      </c>
      <c r="E60" s="6" t="s">
        <v>790</v>
      </c>
      <c r="F60" s="6" t="s">
        <v>969</v>
      </c>
      <c r="G60" s="6">
        <v>1</v>
      </c>
      <c r="H60" s="5">
        <v>44.1</v>
      </c>
      <c r="I60" s="4">
        <f t="shared" si="0"/>
        <v>44.1</v>
      </c>
    </row>
    <row r="61" spans="4:9">
      <c r="D61" s="15" t="s">
        <v>968</v>
      </c>
      <c r="E61" s="6" t="s">
        <v>790</v>
      </c>
      <c r="F61" s="6" t="s">
        <v>967</v>
      </c>
      <c r="G61" s="6">
        <v>1</v>
      </c>
      <c r="H61" s="5">
        <v>0</v>
      </c>
      <c r="I61" s="4">
        <f t="shared" si="0"/>
        <v>0</v>
      </c>
    </row>
    <row r="62" spans="4:9">
      <c r="D62" s="15" t="s">
        <v>966</v>
      </c>
      <c r="E62" s="6" t="s">
        <v>790</v>
      </c>
      <c r="F62" s="6" t="s">
        <v>965</v>
      </c>
      <c r="G62" s="6">
        <v>1</v>
      </c>
      <c r="H62" s="5">
        <v>0</v>
      </c>
      <c r="I62" s="4">
        <f t="shared" si="0"/>
        <v>0</v>
      </c>
    </row>
    <row r="63" spans="4:9">
      <c r="D63" s="15" t="s">
        <v>964</v>
      </c>
      <c r="E63" s="6" t="s">
        <v>790</v>
      </c>
      <c r="F63" s="6" t="s">
        <v>963</v>
      </c>
      <c r="G63" s="6">
        <v>12</v>
      </c>
      <c r="H63" s="5">
        <v>11.64</v>
      </c>
      <c r="I63" s="4">
        <f t="shared" si="0"/>
        <v>0.97000000000000008</v>
      </c>
    </row>
    <row r="64" spans="4:9">
      <c r="D64" s="15" t="s">
        <v>962</v>
      </c>
      <c r="E64" s="6" t="s">
        <v>790</v>
      </c>
      <c r="F64" s="6" t="s">
        <v>961</v>
      </c>
      <c r="G64" s="6">
        <v>12</v>
      </c>
      <c r="H64" s="5">
        <v>13.25</v>
      </c>
      <c r="I64" s="4">
        <f t="shared" si="0"/>
        <v>1.1041666666666667</v>
      </c>
    </row>
    <row r="65" spans="4:9">
      <c r="D65" s="15" t="s">
        <v>960</v>
      </c>
      <c r="E65" s="6" t="s">
        <v>790</v>
      </c>
      <c r="F65" s="6" t="s">
        <v>959</v>
      </c>
      <c r="G65" s="6">
        <v>1</v>
      </c>
      <c r="H65" s="5">
        <v>0</v>
      </c>
      <c r="I65" s="4">
        <f t="shared" si="0"/>
        <v>0</v>
      </c>
    </row>
    <row r="66" spans="4:9">
      <c r="D66" s="15" t="s">
        <v>958</v>
      </c>
      <c r="E66" s="6" t="s">
        <v>790</v>
      </c>
      <c r="F66" s="6" t="s">
        <v>957</v>
      </c>
      <c r="G66" s="6">
        <v>1</v>
      </c>
      <c r="H66" s="5">
        <v>0</v>
      </c>
      <c r="I66" s="4">
        <f t="shared" si="0"/>
        <v>0</v>
      </c>
    </row>
    <row r="67" spans="4:9">
      <c r="D67" s="15" t="s">
        <v>956</v>
      </c>
      <c r="E67" s="6" t="s">
        <v>790</v>
      </c>
      <c r="F67" s="6" t="s">
        <v>955</v>
      </c>
      <c r="G67" s="6">
        <v>1</v>
      </c>
      <c r="H67" s="5">
        <v>0</v>
      </c>
      <c r="I67" s="4">
        <f t="shared" si="0"/>
        <v>0</v>
      </c>
    </row>
    <row r="68" spans="4:9">
      <c r="D68" s="15" t="s">
        <v>954</v>
      </c>
      <c r="E68" s="6" t="s">
        <v>790</v>
      </c>
      <c r="F68" s="6" t="s">
        <v>953</v>
      </c>
      <c r="G68" s="6">
        <v>1</v>
      </c>
      <c r="H68" s="5">
        <v>0</v>
      </c>
      <c r="I68" s="4">
        <f t="shared" si="0"/>
        <v>0</v>
      </c>
    </row>
    <row r="69" spans="4:9">
      <c r="D69" s="15" t="s">
        <v>952</v>
      </c>
      <c r="E69" s="6" t="s">
        <v>790</v>
      </c>
      <c r="F69" s="6" t="s">
        <v>951</v>
      </c>
      <c r="G69" s="6">
        <v>1</v>
      </c>
      <c r="H69" s="5">
        <v>0</v>
      </c>
      <c r="I69" s="4">
        <f t="shared" ref="I69:I132" si="1">H69/G69</f>
        <v>0</v>
      </c>
    </row>
    <row r="70" spans="4:9">
      <c r="D70" s="15" t="s">
        <v>950</v>
      </c>
      <c r="E70" s="6" t="s">
        <v>790</v>
      </c>
      <c r="F70" s="6" t="s">
        <v>949</v>
      </c>
      <c r="G70" s="6">
        <v>24</v>
      </c>
      <c r="H70" s="5">
        <v>1</v>
      </c>
      <c r="I70" s="4">
        <f t="shared" si="1"/>
        <v>4.1666666666666664E-2</v>
      </c>
    </row>
    <row r="71" spans="4:9">
      <c r="D71" s="15" t="s">
        <v>948</v>
      </c>
      <c r="E71" s="6" t="s">
        <v>790</v>
      </c>
      <c r="F71" s="6" t="s">
        <v>947</v>
      </c>
      <c r="G71" s="6">
        <v>4</v>
      </c>
      <c r="H71" s="5">
        <v>1</v>
      </c>
      <c r="I71" s="4">
        <f t="shared" si="1"/>
        <v>0.25</v>
      </c>
    </row>
    <row r="72" spans="4:9">
      <c r="D72" s="15" t="s">
        <v>946</v>
      </c>
      <c r="E72" s="6" t="s">
        <v>790</v>
      </c>
      <c r="F72" s="6" t="s">
        <v>945</v>
      </c>
      <c r="G72" s="6">
        <v>6</v>
      </c>
      <c r="H72" s="5">
        <v>1</v>
      </c>
      <c r="I72" s="4">
        <f t="shared" si="1"/>
        <v>0.16666666666666666</v>
      </c>
    </row>
    <row r="73" spans="4:9">
      <c r="D73" s="15" t="s">
        <v>944</v>
      </c>
      <c r="E73" s="6" t="s">
        <v>790</v>
      </c>
      <c r="F73" s="6" t="s">
        <v>943</v>
      </c>
      <c r="G73" s="6">
        <v>12</v>
      </c>
      <c r="H73" s="5">
        <v>1</v>
      </c>
      <c r="I73" s="4">
        <f t="shared" si="1"/>
        <v>8.3333333333333329E-2</v>
      </c>
    </row>
    <row r="74" spans="4:9">
      <c r="D74" s="15" t="s">
        <v>942</v>
      </c>
      <c r="E74" s="6" t="s">
        <v>790</v>
      </c>
      <c r="F74" s="6" t="s">
        <v>941</v>
      </c>
      <c r="G74" s="6">
        <v>4</v>
      </c>
      <c r="H74" s="5">
        <v>1</v>
      </c>
      <c r="I74" s="4">
        <f t="shared" si="1"/>
        <v>0.25</v>
      </c>
    </row>
    <row r="75" spans="4:9">
      <c r="D75" s="15" t="s">
        <v>940</v>
      </c>
      <c r="E75" s="6" t="s">
        <v>790</v>
      </c>
      <c r="F75" s="6" t="s">
        <v>939</v>
      </c>
      <c r="G75" s="6">
        <v>12</v>
      </c>
      <c r="H75" s="5">
        <v>1</v>
      </c>
      <c r="I75" s="4">
        <f t="shared" si="1"/>
        <v>8.3333333333333329E-2</v>
      </c>
    </row>
    <row r="76" spans="4:9">
      <c r="D76" s="15" t="s">
        <v>938</v>
      </c>
      <c r="E76" s="6" t="s">
        <v>790</v>
      </c>
      <c r="F76" s="6" t="s">
        <v>937</v>
      </c>
      <c r="G76" s="6">
        <v>12</v>
      </c>
      <c r="H76" s="5">
        <v>1</v>
      </c>
      <c r="I76" s="4">
        <f t="shared" si="1"/>
        <v>8.3333333333333329E-2</v>
      </c>
    </row>
    <row r="77" spans="4:9">
      <c r="D77" s="15" t="s">
        <v>936</v>
      </c>
      <c r="E77" s="6" t="s">
        <v>790</v>
      </c>
      <c r="F77" s="6" t="s">
        <v>935</v>
      </c>
      <c r="G77" s="6">
        <v>24</v>
      </c>
      <c r="H77" s="5">
        <v>1</v>
      </c>
      <c r="I77" s="4">
        <f t="shared" si="1"/>
        <v>4.1666666666666664E-2</v>
      </c>
    </row>
    <row r="78" spans="4:9">
      <c r="D78" s="15" t="s">
        <v>934</v>
      </c>
      <c r="E78" s="6" t="s">
        <v>790</v>
      </c>
      <c r="F78" s="6" t="s">
        <v>933</v>
      </c>
      <c r="G78" s="6">
        <v>24</v>
      </c>
      <c r="H78" s="5">
        <v>1</v>
      </c>
      <c r="I78" s="4">
        <f t="shared" si="1"/>
        <v>4.1666666666666664E-2</v>
      </c>
    </row>
    <row r="79" spans="4:9">
      <c r="D79" s="15" t="s">
        <v>932</v>
      </c>
      <c r="E79" s="6" t="s">
        <v>790</v>
      </c>
      <c r="F79" s="6" t="s">
        <v>931</v>
      </c>
      <c r="G79" s="6">
        <v>6</v>
      </c>
      <c r="H79" s="5">
        <v>1</v>
      </c>
      <c r="I79" s="4">
        <f t="shared" si="1"/>
        <v>0.16666666666666666</v>
      </c>
    </row>
    <row r="80" spans="4:9">
      <c r="D80" s="15" t="s">
        <v>930</v>
      </c>
      <c r="E80" s="6" t="s">
        <v>790</v>
      </c>
      <c r="F80" s="6" t="s">
        <v>929</v>
      </c>
      <c r="G80" s="6">
        <v>6</v>
      </c>
      <c r="H80" s="5">
        <v>1</v>
      </c>
      <c r="I80" s="4">
        <f t="shared" si="1"/>
        <v>0.16666666666666666</v>
      </c>
    </row>
    <row r="81" spans="4:9">
      <c r="D81" s="15" t="s">
        <v>928</v>
      </c>
      <c r="E81" s="6" t="s">
        <v>790</v>
      </c>
      <c r="F81" s="6" t="s">
        <v>927</v>
      </c>
      <c r="G81" s="6">
        <v>6</v>
      </c>
      <c r="H81" s="5">
        <v>1</v>
      </c>
      <c r="I81" s="4">
        <f t="shared" si="1"/>
        <v>0.16666666666666666</v>
      </c>
    </row>
    <row r="82" spans="4:9">
      <c r="D82" s="15" t="s">
        <v>926</v>
      </c>
      <c r="E82" s="6" t="s">
        <v>790</v>
      </c>
      <c r="F82" s="6" t="s">
        <v>925</v>
      </c>
      <c r="G82" s="6">
        <v>4</v>
      </c>
      <c r="H82" s="5">
        <v>1</v>
      </c>
      <c r="I82" s="4">
        <f t="shared" si="1"/>
        <v>0.25</v>
      </c>
    </row>
    <row r="83" spans="4:9">
      <c r="D83" s="15" t="s">
        <v>924</v>
      </c>
      <c r="E83" s="6" t="s">
        <v>790</v>
      </c>
      <c r="F83" s="6" t="s">
        <v>923</v>
      </c>
      <c r="G83" s="6">
        <v>24</v>
      </c>
      <c r="H83" s="5">
        <v>1</v>
      </c>
      <c r="I83" s="4">
        <f t="shared" si="1"/>
        <v>4.1666666666666664E-2</v>
      </c>
    </row>
    <row r="84" spans="4:9">
      <c r="D84" s="15" t="s">
        <v>922</v>
      </c>
      <c r="E84" s="6" t="s">
        <v>790</v>
      </c>
      <c r="F84" s="6" t="s">
        <v>921</v>
      </c>
      <c r="G84" s="6">
        <v>24</v>
      </c>
      <c r="H84" s="5">
        <v>1</v>
      </c>
      <c r="I84" s="4">
        <f t="shared" si="1"/>
        <v>4.1666666666666664E-2</v>
      </c>
    </row>
    <row r="85" spans="4:9">
      <c r="D85" s="15" t="s">
        <v>920</v>
      </c>
      <c r="E85" s="6" t="s">
        <v>790</v>
      </c>
      <c r="F85" s="6" t="s">
        <v>919</v>
      </c>
      <c r="G85" s="6">
        <v>24</v>
      </c>
      <c r="H85" s="5">
        <v>2</v>
      </c>
      <c r="I85" s="4">
        <f t="shared" si="1"/>
        <v>8.3333333333333329E-2</v>
      </c>
    </row>
    <row r="86" spans="4:9">
      <c r="D86" s="15" t="s">
        <v>918</v>
      </c>
      <c r="E86" s="6" t="s">
        <v>790</v>
      </c>
      <c r="F86" s="6" t="s">
        <v>917</v>
      </c>
      <c r="G86" s="6">
        <v>24</v>
      </c>
      <c r="H86" s="5">
        <v>1</v>
      </c>
      <c r="I86" s="4">
        <f t="shared" si="1"/>
        <v>4.1666666666666664E-2</v>
      </c>
    </row>
    <row r="87" spans="4:9">
      <c r="D87" s="15" t="s">
        <v>916</v>
      </c>
      <c r="E87" s="6" t="s">
        <v>790</v>
      </c>
      <c r="F87" s="6" t="s">
        <v>915</v>
      </c>
      <c r="G87" s="6">
        <v>12</v>
      </c>
      <c r="H87" s="5">
        <v>0.79</v>
      </c>
      <c r="I87" s="4">
        <f t="shared" si="1"/>
        <v>6.5833333333333341E-2</v>
      </c>
    </row>
    <row r="88" spans="4:9">
      <c r="D88" s="15" t="s">
        <v>914</v>
      </c>
      <c r="E88" s="6" t="s">
        <v>790</v>
      </c>
      <c r="F88" s="6" t="s">
        <v>913</v>
      </c>
      <c r="G88" s="6">
        <v>12</v>
      </c>
      <c r="H88" s="5">
        <v>0.79</v>
      </c>
      <c r="I88" s="4">
        <f t="shared" si="1"/>
        <v>6.5833333333333341E-2</v>
      </c>
    </row>
    <row r="89" spans="4:9">
      <c r="D89" s="15" t="s">
        <v>912</v>
      </c>
      <c r="E89" s="6" t="s">
        <v>790</v>
      </c>
      <c r="F89" s="6" t="s">
        <v>911</v>
      </c>
      <c r="G89" s="6">
        <v>12</v>
      </c>
      <c r="H89" s="5">
        <v>0.79</v>
      </c>
      <c r="I89" s="4">
        <f t="shared" si="1"/>
        <v>6.5833333333333341E-2</v>
      </c>
    </row>
    <row r="90" spans="4:9">
      <c r="D90" s="15" t="s">
        <v>910</v>
      </c>
      <c r="E90" s="6" t="s">
        <v>790</v>
      </c>
      <c r="F90" s="6" t="s">
        <v>909</v>
      </c>
      <c r="G90" s="6">
        <v>10</v>
      </c>
      <c r="H90" s="5">
        <v>1</v>
      </c>
      <c r="I90" s="4">
        <f t="shared" si="1"/>
        <v>0.1</v>
      </c>
    </row>
    <row r="91" spans="4:9">
      <c r="D91" s="15" t="s">
        <v>908</v>
      </c>
      <c r="E91" s="6" t="s">
        <v>790</v>
      </c>
      <c r="F91" s="6" t="s">
        <v>907</v>
      </c>
      <c r="G91" s="6">
        <v>10</v>
      </c>
      <c r="H91" s="5">
        <v>1</v>
      </c>
      <c r="I91" s="4">
        <f t="shared" si="1"/>
        <v>0.1</v>
      </c>
    </row>
    <row r="92" spans="4:9">
      <c r="D92" s="15" t="s">
        <v>906</v>
      </c>
      <c r="E92" s="6" t="s">
        <v>790</v>
      </c>
      <c r="F92" s="6" t="s">
        <v>905</v>
      </c>
      <c r="G92" s="6">
        <v>5</v>
      </c>
      <c r="H92" s="5">
        <v>0.79</v>
      </c>
      <c r="I92" s="4">
        <f t="shared" si="1"/>
        <v>0.158</v>
      </c>
    </row>
    <row r="93" spans="4:9">
      <c r="D93" s="15" t="s">
        <v>904</v>
      </c>
      <c r="E93" s="6" t="s">
        <v>790</v>
      </c>
      <c r="F93" s="6" t="s">
        <v>903</v>
      </c>
      <c r="G93" s="6">
        <v>6</v>
      </c>
      <c r="H93" s="5">
        <v>19.05</v>
      </c>
      <c r="I93" s="4">
        <f t="shared" si="1"/>
        <v>3.1750000000000003</v>
      </c>
    </row>
    <row r="94" spans="4:9">
      <c r="D94" s="15" t="s">
        <v>902</v>
      </c>
      <c r="E94" s="6" t="s">
        <v>790</v>
      </c>
      <c r="F94" s="6" t="s">
        <v>901</v>
      </c>
      <c r="G94" s="6">
        <v>12</v>
      </c>
      <c r="H94" s="5">
        <v>1</v>
      </c>
      <c r="I94" s="4">
        <f t="shared" si="1"/>
        <v>8.3333333333333329E-2</v>
      </c>
    </row>
    <row r="95" spans="4:9">
      <c r="D95" s="15" t="s">
        <v>900</v>
      </c>
      <c r="E95" s="6" t="s">
        <v>790</v>
      </c>
      <c r="F95" s="6" t="s">
        <v>899</v>
      </c>
      <c r="G95" s="6">
        <v>12</v>
      </c>
      <c r="H95" s="5">
        <v>1</v>
      </c>
      <c r="I95" s="4">
        <f t="shared" si="1"/>
        <v>8.3333333333333329E-2</v>
      </c>
    </row>
    <row r="96" spans="4:9">
      <c r="D96" s="15" t="s">
        <v>898</v>
      </c>
      <c r="E96" s="6" t="s">
        <v>790</v>
      </c>
      <c r="F96" s="6" t="s">
        <v>897</v>
      </c>
      <c r="G96" s="6">
        <v>8</v>
      </c>
      <c r="H96" s="5">
        <v>1</v>
      </c>
      <c r="I96" s="4">
        <f t="shared" si="1"/>
        <v>0.125</v>
      </c>
    </row>
    <row r="97" spans="4:9">
      <c r="D97" s="15" t="s">
        <v>896</v>
      </c>
      <c r="E97" s="6" t="s">
        <v>790</v>
      </c>
      <c r="F97" s="6" t="s">
        <v>895</v>
      </c>
      <c r="G97" s="6">
        <v>24</v>
      </c>
      <c r="H97" s="5">
        <v>1</v>
      </c>
      <c r="I97" s="4">
        <f t="shared" si="1"/>
        <v>4.1666666666666664E-2</v>
      </c>
    </row>
    <row r="98" spans="4:9">
      <c r="D98" s="15" t="s">
        <v>894</v>
      </c>
      <c r="E98" s="6" t="s">
        <v>790</v>
      </c>
      <c r="F98" s="6" t="s">
        <v>893</v>
      </c>
      <c r="G98" s="6">
        <v>12</v>
      </c>
      <c r="H98" s="5">
        <v>1</v>
      </c>
      <c r="I98" s="4">
        <f t="shared" si="1"/>
        <v>8.3333333333333329E-2</v>
      </c>
    </row>
    <row r="99" spans="4:9">
      <c r="D99" s="15" t="s">
        <v>892</v>
      </c>
      <c r="E99" s="6" t="s">
        <v>790</v>
      </c>
      <c r="F99" s="6" t="s">
        <v>891</v>
      </c>
      <c r="G99" s="6">
        <v>12</v>
      </c>
      <c r="H99" s="5">
        <v>1</v>
      </c>
      <c r="I99" s="4">
        <f t="shared" si="1"/>
        <v>8.3333333333333329E-2</v>
      </c>
    </row>
    <row r="100" spans="4:9">
      <c r="D100" s="15" t="s">
        <v>890</v>
      </c>
      <c r="E100" s="6" t="s">
        <v>790</v>
      </c>
      <c r="F100" s="6" t="s">
        <v>889</v>
      </c>
      <c r="G100" s="6">
        <v>10</v>
      </c>
      <c r="H100" s="5">
        <v>1</v>
      </c>
      <c r="I100" s="4">
        <f t="shared" si="1"/>
        <v>0.1</v>
      </c>
    </row>
    <row r="101" spans="4:9">
      <c r="D101" s="15" t="s">
        <v>888</v>
      </c>
      <c r="E101" s="6" t="s">
        <v>790</v>
      </c>
      <c r="F101" s="6" t="s">
        <v>887</v>
      </c>
      <c r="G101" s="6">
        <v>12</v>
      </c>
      <c r="H101" s="5">
        <v>1</v>
      </c>
      <c r="I101" s="4">
        <f t="shared" si="1"/>
        <v>8.3333333333333329E-2</v>
      </c>
    </row>
    <row r="102" spans="4:9">
      <c r="D102" s="15" t="s">
        <v>886</v>
      </c>
      <c r="E102" s="6" t="s">
        <v>790</v>
      </c>
      <c r="F102" s="6" t="s">
        <v>885</v>
      </c>
      <c r="G102" s="6">
        <v>12</v>
      </c>
      <c r="H102" s="5">
        <v>1</v>
      </c>
      <c r="I102" s="4">
        <f t="shared" si="1"/>
        <v>8.3333333333333329E-2</v>
      </c>
    </row>
    <row r="103" spans="4:9">
      <c r="D103" s="15" t="s">
        <v>884</v>
      </c>
      <c r="E103" s="6" t="s">
        <v>790</v>
      </c>
      <c r="F103" s="6" t="s">
        <v>883</v>
      </c>
      <c r="G103" s="6">
        <v>12</v>
      </c>
      <c r="H103" s="5">
        <v>1</v>
      </c>
      <c r="I103" s="4">
        <f t="shared" si="1"/>
        <v>8.3333333333333329E-2</v>
      </c>
    </row>
    <row r="104" spans="4:9">
      <c r="D104" s="15">
        <v>84151548</v>
      </c>
      <c r="E104" s="6" t="s">
        <v>247</v>
      </c>
      <c r="F104" s="6" t="s">
        <v>882</v>
      </c>
      <c r="G104" s="6">
        <v>12</v>
      </c>
      <c r="H104" s="5">
        <v>2.6</v>
      </c>
      <c r="I104" s="4">
        <f t="shared" si="1"/>
        <v>0.21666666666666667</v>
      </c>
    </row>
    <row r="105" spans="4:9">
      <c r="D105" s="15">
        <v>586698</v>
      </c>
      <c r="E105" s="6" t="s">
        <v>247</v>
      </c>
      <c r="F105" s="6" t="s">
        <v>881</v>
      </c>
      <c r="G105" s="6">
        <v>12</v>
      </c>
      <c r="H105" s="5">
        <v>2.6</v>
      </c>
      <c r="I105" s="4">
        <f t="shared" si="1"/>
        <v>0.21666666666666667</v>
      </c>
    </row>
    <row r="106" spans="4:9">
      <c r="D106" s="15">
        <v>67171635</v>
      </c>
      <c r="E106" s="6" t="s">
        <v>247</v>
      </c>
      <c r="F106" s="6" t="s">
        <v>880</v>
      </c>
      <c r="G106" s="6">
        <v>12</v>
      </c>
      <c r="H106" s="5">
        <v>2.6</v>
      </c>
      <c r="I106" s="4">
        <f t="shared" si="1"/>
        <v>0.21666666666666667</v>
      </c>
    </row>
    <row r="107" spans="4:9">
      <c r="D107" s="15">
        <v>586699</v>
      </c>
      <c r="E107" s="6" t="s">
        <v>247</v>
      </c>
      <c r="F107" s="6" t="s">
        <v>879</v>
      </c>
      <c r="G107" s="6">
        <v>12</v>
      </c>
      <c r="H107" s="5">
        <v>2.6</v>
      </c>
      <c r="I107" s="4">
        <f t="shared" si="1"/>
        <v>0.21666666666666667</v>
      </c>
    </row>
    <row r="108" spans="4:9">
      <c r="D108" s="15">
        <v>586700</v>
      </c>
      <c r="E108" s="6" t="s">
        <v>247</v>
      </c>
      <c r="F108" s="6" t="s">
        <v>878</v>
      </c>
      <c r="G108" s="6">
        <v>12</v>
      </c>
      <c r="H108" s="5">
        <v>2.6</v>
      </c>
      <c r="I108" s="4">
        <f t="shared" si="1"/>
        <v>0.21666666666666667</v>
      </c>
    </row>
    <row r="109" spans="4:9">
      <c r="D109" s="15">
        <v>586695</v>
      </c>
      <c r="E109" s="6" t="s">
        <v>247</v>
      </c>
      <c r="F109" s="6" t="s">
        <v>877</v>
      </c>
      <c r="G109" s="6">
        <v>12</v>
      </c>
      <c r="H109" s="5">
        <v>2.6</v>
      </c>
      <c r="I109" s="4">
        <f t="shared" si="1"/>
        <v>0.21666666666666667</v>
      </c>
    </row>
    <row r="110" spans="4:9">
      <c r="D110" s="15">
        <v>67627147</v>
      </c>
      <c r="E110" s="6" t="s">
        <v>247</v>
      </c>
      <c r="F110" s="6" t="s">
        <v>876</v>
      </c>
      <c r="G110" s="6">
        <v>12</v>
      </c>
      <c r="H110" s="5">
        <v>2.6</v>
      </c>
      <c r="I110" s="4">
        <f t="shared" si="1"/>
        <v>0.21666666666666667</v>
      </c>
    </row>
    <row r="111" spans="4:9">
      <c r="D111" s="15">
        <v>84151549</v>
      </c>
      <c r="E111" s="6" t="s">
        <v>247</v>
      </c>
      <c r="F111" s="6" t="s">
        <v>875</v>
      </c>
      <c r="G111" s="6">
        <v>12</v>
      </c>
      <c r="H111" s="5">
        <v>2.6</v>
      </c>
      <c r="I111" s="4">
        <f t="shared" si="1"/>
        <v>0.21666666666666667</v>
      </c>
    </row>
    <row r="112" spans="4:9">
      <c r="D112" s="15">
        <v>588949</v>
      </c>
      <c r="E112" s="6" t="s">
        <v>247</v>
      </c>
      <c r="F112" s="6" t="s">
        <v>874</v>
      </c>
      <c r="G112" s="6">
        <v>12</v>
      </c>
      <c r="H112" s="5">
        <v>2.6</v>
      </c>
      <c r="I112" s="4">
        <f t="shared" si="1"/>
        <v>0.21666666666666667</v>
      </c>
    </row>
    <row r="113" spans="4:9">
      <c r="D113" s="15">
        <v>588829</v>
      </c>
      <c r="E113" s="6" t="s">
        <v>247</v>
      </c>
      <c r="F113" s="6" t="s">
        <v>873</v>
      </c>
      <c r="G113" s="6">
        <v>12</v>
      </c>
      <c r="H113" s="5">
        <v>2.6</v>
      </c>
      <c r="I113" s="4">
        <f t="shared" si="1"/>
        <v>0.21666666666666667</v>
      </c>
    </row>
    <row r="114" spans="4:9">
      <c r="D114" s="15">
        <v>589111</v>
      </c>
      <c r="E114" s="6" t="s">
        <v>247</v>
      </c>
      <c r="F114" s="6" t="s">
        <v>872</v>
      </c>
      <c r="G114" s="6">
        <v>12</v>
      </c>
      <c r="H114" s="5">
        <v>2.6</v>
      </c>
      <c r="I114" s="4">
        <f t="shared" si="1"/>
        <v>0.21666666666666667</v>
      </c>
    </row>
    <row r="115" spans="4:9">
      <c r="D115" s="15">
        <v>84156838</v>
      </c>
      <c r="E115" s="6" t="s">
        <v>247</v>
      </c>
      <c r="F115" s="6" t="s">
        <v>871</v>
      </c>
      <c r="G115" s="6">
        <v>12</v>
      </c>
      <c r="H115" s="5">
        <v>2.6</v>
      </c>
      <c r="I115" s="4">
        <f t="shared" si="1"/>
        <v>0.21666666666666667</v>
      </c>
    </row>
    <row r="116" spans="4:9">
      <c r="D116" s="15">
        <v>67139177</v>
      </c>
      <c r="E116" s="6" t="s">
        <v>247</v>
      </c>
      <c r="F116" s="6" t="s">
        <v>870</v>
      </c>
      <c r="G116" s="6">
        <v>12</v>
      </c>
      <c r="H116" s="5">
        <v>2.6</v>
      </c>
      <c r="I116" s="4">
        <f t="shared" si="1"/>
        <v>0.21666666666666667</v>
      </c>
    </row>
    <row r="117" spans="4:9">
      <c r="D117" s="15">
        <v>588828</v>
      </c>
      <c r="E117" s="6" t="s">
        <v>247</v>
      </c>
      <c r="F117" s="6" t="s">
        <v>869</v>
      </c>
      <c r="G117" s="6">
        <v>12</v>
      </c>
      <c r="H117" s="5">
        <v>2.6</v>
      </c>
      <c r="I117" s="4">
        <f t="shared" si="1"/>
        <v>0.21666666666666667</v>
      </c>
    </row>
    <row r="118" spans="4:9">
      <c r="D118" s="15">
        <v>565316</v>
      </c>
      <c r="E118" s="6" t="s">
        <v>247</v>
      </c>
      <c r="F118" s="6" t="s">
        <v>868</v>
      </c>
      <c r="G118" s="6">
        <v>12</v>
      </c>
      <c r="H118" s="5">
        <v>2.6</v>
      </c>
      <c r="I118" s="4">
        <f t="shared" si="1"/>
        <v>0.21666666666666667</v>
      </c>
    </row>
    <row r="119" spans="4:9">
      <c r="D119" s="15">
        <v>588831</v>
      </c>
      <c r="E119" s="6" t="s">
        <v>247</v>
      </c>
      <c r="F119" s="6" t="s">
        <v>867</v>
      </c>
      <c r="G119" s="6">
        <v>12</v>
      </c>
      <c r="H119" s="5">
        <v>2.6</v>
      </c>
      <c r="I119" s="4">
        <f t="shared" si="1"/>
        <v>0.21666666666666667</v>
      </c>
    </row>
    <row r="120" spans="4:9">
      <c r="D120" s="15">
        <v>67627146</v>
      </c>
      <c r="E120" s="6" t="s">
        <v>247</v>
      </c>
      <c r="F120" s="6" t="s">
        <v>866</v>
      </c>
      <c r="G120" s="6">
        <v>12</v>
      </c>
      <c r="H120" s="5">
        <v>2.6</v>
      </c>
      <c r="I120" s="4">
        <f t="shared" si="1"/>
        <v>0.21666666666666667</v>
      </c>
    </row>
    <row r="121" spans="4:9">
      <c r="D121" s="15">
        <v>586703</v>
      </c>
      <c r="E121" s="6" t="s">
        <v>247</v>
      </c>
      <c r="F121" s="6" t="s">
        <v>90</v>
      </c>
      <c r="G121" s="6">
        <v>12</v>
      </c>
      <c r="H121" s="5">
        <v>1.54</v>
      </c>
      <c r="I121" s="4">
        <f t="shared" si="1"/>
        <v>0.12833333333333333</v>
      </c>
    </row>
    <row r="122" spans="4:9">
      <c r="D122" s="15">
        <v>67377487</v>
      </c>
      <c r="E122" s="6" t="s">
        <v>247</v>
      </c>
      <c r="F122" s="6" t="s">
        <v>865</v>
      </c>
      <c r="G122" s="6">
        <v>12</v>
      </c>
      <c r="H122" s="5">
        <v>1.35</v>
      </c>
      <c r="I122" s="4">
        <f t="shared" si="1"/>
        <v>0.1125</v>
      </c>
    </row>
    <row r="123" spans="4:9">
      <c r="D123" s="15">
        <v>586676</v>
      </c>
      <c r="E123" s="6" t="s">
        <v>247</v>
      </c>
      <c r="F123" s="6" t="s">
        <v>864</v>
      </c>
      <c r="G123" s="6">
        <v>12</v>
      </c>
      <c r="H123" s="5">
        <v>1.35</v>
      </c>
      <c r="I123" s="4">
        <f t="shared" si="1"/>
        <v>0.1125</v>
      </c>
    </row>
    <row r="124" spans="4:9">
      <c r="D124" s="15">
        <v>84151903</v>
      </c>
      <c r="E124" s="6" t="s">
        <v>247</v>
      </c>
      <c r="F124" s="6" t="s">
        <v>863</v>
      </c>
      <c r="G124" s="6">
        <v>12</v>
      </c>
      <c r="H124" s="5">
        <v>1.35</v>
      </c>
      <c r="I124" s="4">
        <f t="shared" si="1"/>
        <v>0.1125</v>
      </c>
    </row>
    <row r="125" spans="4:9">
      <c r="D125" s="15">
        <v>67624575</v>
      </c>
      <c r="E125" s="6" t="s">
        <v>247</v>
      </c>
      <c r="F125" s="6" t="s">
        <v>862</v>
      </c>
      <c r="G125" s="6">
        <v>12</v>
      </c>
      <c r="H125" s="5">
        <v>1.35</v>
      </c>
      <c r="I125" s="4">
        <f t="shared" si="1"/>
        <v>0.1125</v>
      </c>
    </row>
    <row r="126" spans="4:9">
      <c r="D126" s="15">
        <v>84151901</v>
      </c>
      <c r="E126" s="6" t="s">
        <v>247</v>
      </c>
      <c r="F126" s="6" t="s">
        <v>861</v>
      </c>
      <c r="G126" s="6">
        <v>12</v>
      </c>
      <c r="H126" s="5">
        <v>1.35</v>
      </c>
      <c r="I126" s="4">
        <f t="shared" si="1"/>
        <v>0.1125</v>
      </c>
    </row>
    <row r="127" spans="4:9">
      <c r="D127" s="15">
        <v>67624627</v>
      </c>
      <c r="E127" s="6" t="s">
        <v>247</v>
      </c>
      <c r="F127" s="6" t="s">
        <v>860</v>
      </c>
      <c r="G127" s="6">
        <v>12</v>
      </c>
      <c r="H127" s="5">
        <v>1.35</v>
      </c>
      <c r="I127" s="4">
        <f t="shared" si="1"/>
        <v>0.1125</v>
      </c>
    </row>
    <row r="128" spans="4:9">
      <c r="D128" s="15">
        <v>67150066</v>
      </c>
      <c r="E128" s="6" t="s">
        <v>247</v>
      </c>
      <c r="F128" s="6" t="s">
        <v>859</v>
      </c>
      <c r="G128" s="6">
        <v>12</v>
      </c>
      <c r="H128" s="5">
        <v>1.35</v>
      </c>
      <c r="I128" s="4">
        <f t="shared" si="1"/>
        <v>0.1125</v>
      </c>
    </row>
    <row r="129" spans="4:9">
      <c r="D129" s="15">
        <v>586682</v>
      </c>
      <c r="E129" s="6" t="s">
        <v>247</v>
      </c>
      <c r="F129" s="6" t="s">
        <v>858</v>
      </c>
      <c r="G129" s="6">
        <v>12</v>
      </c>
      <c r="H129" s="5">
        <v>1.35</v>
      </c>
      <c r="I129" s="4">
        <f t="shared" si="1"/>
        <v>0.1125</v>
      </c>
    </row>
    <row r="130" spans="4:9">
      <c r="D130" s="15" t="s">
        <v>857</v>
      </c>
      <c r="E130" s="6" t="s">
        <v>806</v>
      </c>
      <c r="F130" s="6" t="s">
        <v>856</v>
      </c>
      <c r="G130" s="6">
        <v>12</v>
      </c>
      <c r="H130" s="5">
        <v>15.75</v>
      </c>
      <c r="I130" s="4">
        <f t="shared" si="1"/>
        <v>1.3125</v>
      </c>
    </row>
    <row r="131" spans="4:9">
      <c r="D131" s="15" t="s">
        <v>855</v>
      </c>
      <c r="E131" s="6" t="s">
        <v>806</v>
      </c>
      <c r="F131" s="6" t="s">
        <v>854</v>
      </c>
      <c r="G131" s="6">
        <v>12</v>
      </c>
      <c r="H131" s="5">
        <v>15.75</v>
      </c>
      <c r="I131" s="4">
        <f t="shared" si="1"/>
        <v>1.3125</v>
      </c>
    </row>
    <row r="132" spans="4:9">
      <c r="D132" s="15" t="s">
        <v>853</v>
      </c>
      <c r="E132" s="6" t="s">
        <v>806</v>
      </c>
      <c r="F132" s="6" t="s">
        <v>852</v>
      </c>
      <c r="G132" s="6">
        <v>12</v>
      </c>
      <c r="H132" s="5">
        <v>15.75</v>
      </c>
      <c r="I132" s="4">
        <f t="shared" si="1"/>
        <v>1.3125</v>
      </c>
    </row>
    <row r="133" spans="4:9">
      <c r="D133" s="15" t="s">
        <v>851</v>
      </c>
      <c r="E133" s="6" t="s">
        <v>806</v>
      </c>
      <c r="F133" s="6" t="s">
        <v>850</v>
      </c>
      <c r="G133" s="6">
        <v>20</v>
      </c>
      <c r="H133" s="5">
        <v>7.4</v>
      </c>
      <c r="I133" s="4">
        <f t="shared" ref="I133:I134" si="2">H133/G133</f>
        <v>0.37</v>
      </c>
    </row>
    <row r="134" spans="4:9">
      <c r="D134" s="15" t="s">
        <v>849</v>
      </c>
      <c r="E134" s="6" t="s">
        <v>806</v>
      </c>
      <c r="F134" s="6" t="s">
        <v>848</v>
      </c>
      <c r="G134" s="6">
        <v>20</v>
      </c>
      <c r="H134" s="5">
        <v>7.4</v>
      </c>
      <c r="I134" s="4">
        <f t="shared" si="2"/>
        <v>0.37</v>
      </c>
    </row>
    <row r="135" spans="4:9">
      <c r="D135" s="15" t="s">
        <v>847</v>
      </c>
      <c r="E135" s="6" t="s">
        <v>806</v>
      </c>
      <c r="F135" s="6" t="s">
        <v>846</v>
      </c>
      <c r="G135" s="6">
        <v>50</v>
      </c>
      <c r="H135" s="5">
        <v>44.1</v>
      </c>
      <c r="I135" s="4">
        <v>0.88200000000000001</v>
      </c>
    </row>
    <row r="136" spans="4:9">
      <c r="D136" s="15" t="s">
        <v>845</v>
      </c>
      <c r="E136" s="6" t="s">
        <v>806</v>
      </c>
      <c r="F136" s="6" t="s">
        <v>844</v>
      </c>
      <c r="G136" s="6">
        <v>16</v>
      </c>
      <c r="H136" s="5"/>
      <c r="I136" s="4">
        <v>0.88</v>
      </c>
    </row>
    <row r="137" spans="4:9">
      <c r="D137" s="15" t="s">
        <v>843</v>
      </c>
      <c r="E137" s="6" t="s">
        <v>806</v>
      </c>
      <c r="F137" s="6" t="s">
        <v>842</v>
      </c>
      <c r="G137" s="6">
        <v>16</v>
      </c>
      <c r="H137" s="5"/>
      <c r="I137" s="4">
        <v>0.88</v>
      </c>
    </row>
    <row r="138" spans="4:9">
      <c r="D138" s="15" t="s">
        <v>841</v>
      </c>
      <c r="E138" s="6" t="s">
        <v>806</v>
      </c>
      <c r="F138" s="6" t="s">
        <v>840</v>
      </c>
      <c r="G138" s="6">
        <v>24</v>
      </c>
      <c r="H138" s="5"/>
      <c r="I138" s="4">
        <v>0.88</v>
      </c>
    </row>
    <row r="139" spans="4:9">
      <c r="D139" s="15" t="s">
        <v>839</v>
      </c>
      <c r="E139" s="6" t="s">
        <v>806</v>
      </c>
      <c r="F139" s="6" t="s">
        <v>838</v>
      </c>
      <c r="G139" s="6">
        <v>30</v>
      </c>
      <c r="H139" s="5"/>
      <c r="I139" s="4">
        <v>0.88</v>
      </c>
    </row>
    <row r="140" spans="4:9">
      <c r="D140" s="15" t="s">
        <v>837</v>
      </c>
      <c r="E140" s="6" t="s">
        <v>806</v>
      </c>
      <c r="F140" s="6" t="s">
        <v>836</v>
      </c>
      <c r="G140" s="6">
        <v>6</v>
      </c>
      <c r="H140" s="5">
        <v>13.25</v>
      </c>
      <c r="I140" s="4">
        <f t="shared" ref="I140:I156" si="3">H140/G140</f>
        <v>2.2083333333333335</v>
      </c>
    </row>
    <row r="141" spans="4:9">
      <c r="D141" s="15" t="s">
        <v>835</v>
      </c>
      <c r="E141" s="6" t="s">
        <v>806</v>
      </c>
      <c r="F141" s="6" t="s">
        <v>834</v>
      </c>
      <c r="G141" s="6">
        <v>10</v>
      </c>
      <c r="H141" s="5">
        <v>35.299999999999997</v>
      </c>
      <c r="I141" s="4">
        <f t="shared" si="3"/>
        <v>3.53</v>
      </c>
    </row>
    <row r="142" spans="4:9">
      <c r="D142" s="15" t="s">
        <v>833</v>
      </c>
      <c r="E142" s="6" t="s">
        <v>806</v>
      </c>
      <c r="F142" s="6" t="s">
        <v>832</v>
      </c>
      <c r="G142" s="6">
        <v>50</v>
      </c>
      <c r="H142" s="5">
        <v>44.1</v>
      </c>
      <c r="I142" s="4">
        <f t="shared" si="3"/>
        <v>0.88200000000000001</v>
      </c>
    </row>
    <row r="143" spans="4:9">
      <c r="D143" s="15" t="s">
        <v>831</v>
      </c>
      <c r="E143" s="6" t="s">
        <v>806</v>
      </c>
      <c r="F143" s="6" t="s">
        <v>830</v>
      </c>
      <c r="G143" s="6">
        <v>24</v>
      </c>
      <c r="H143" s="5">
        <v>21.16</v>
      </c>
      <c r="I143" s="4">
        <f t="shared" si="3"/>
        <v>0.88166666666666671</v>
      </c>
    </row>
    <row r="144" spans="4:9">
      <c r="D144" s="15" t="s">
        <v>829</v>
      </c>
      <c r="E144" s="6" t="s">
        <v>806</v>
      </c>
      <c r="F144" s="6" t="s">
        <v>828</v>
      </c>
      <c r="G144" s="6">
        <v>24</v>
      </c>
      <c r="H144" s="5">
        <v>22</v>
      </c>
      <c r="I144" s="4">
        <f t="shared" si="3"/>
        <v>0.91666666666666663</v>
      </c>
    </row>
    <row r="145" spans="4:9">
      <c r="D145" s="15" t="s">
        <v>827</v>
      </c>
      <c r="E145" s="6" t="s">
        <v>806</v>
      </c>
      <c r="F145" s="6" t="s">
        <v>826</v>
      </c>
      <c r="G145" s="6">
        <v>36</v>
      </c>
      <c r="H145" s="5">
        <v>22.6</v>
      </c>
      <c r="I145" s="4">
        <f t="shared" si="3"/>
        <v>0.62777777777777777</v>
      </c>
    </row>
    <row r="146" spans="4:9">
      <c r="D146" s="15" t="s">
        <v>825</v>
      </c>
      <c r="E146" s="6" t="s">
        <v>806</v>
      </c>
      <c r="F146" s="6" t="s">
        <v>824</v>
      </c>
      <c r="G146" s="6">
        <v>25</v>
      </c>
      <c r="H146" s="5">
        <v>9.26</v>
      </c>
      <c r="I146" s="4">
        <f t="shared" si="3"/>
        <v>0.37040000000000001</v>
      </c>
    </row>
    <row r="147" spans="4:9">
      <c r="D147" s="15" t="s">
        <v>823</v>
      </c>
      <c r="E147" s="6" t="s">
        <v>806</v>
      </c>
      <c r="F147" s="6" t="s">
        <v>822</v>
      </c>
      <c r="G147" s="6">
        <v>48</v>
      </c>
      <c r="H147" s="5">
        <v>18.420000000000002</v>
      </c>
      <c r="I147" s="4">
        <f t="shared" si="3"/>
        <v>0.38375000000000004</v>
      </c>
    </row>
    <row r="148" spans="4:9">
      <c r="D148" s="15" t="s">
        <v>821</v>
      </c>
      <c r="E148" s="6" t="s">
        <v>806</v>
      </c>
      <c r="F148" s="6" t="s">
        <v>820</v>
      </c>
      <c r="G148" s="6">
        <v>20</v>
      </c>
      <c r="H148" s="5">
        <v>26.45</v>
      </c>
      <c r="I148" s="4">
        <f t="shared" si="3"/>
        <v>1.3225</v>
      </c>
    </row>
    <row r="149" spans="4:9">
      <c r="D149" s="15" t="s">
        <v>819</v>
      </c>
      <c r="E149" s="6" t="s">
        <v>806</v>
      </c>
      <c r="F149" s="6" t="s">
        <v>818</v>
      </c>
      <c r="G149" s="6">
        <v>20</v>
      </c>
      <c r="H149" s="5">
        <v>26.45</v>
      </c>
      <c r="I149" s="4">
        <f t="shared" si="3"/>
        <v>1.3225</v>
      </c>
    </row>
    <row r="150" spans="4:9">
      <c r="D150" s="15" t="s">
        <v>817</v>
      </c>
      <c r="E150" s="6" t="s">
        <v>806</v>
      </c>
      <c r="F150" s="6" t="s">
        <v>816</v>
      </c>
      <c r="G150" s="6">
        <v>20</v>
      </c>
      <c r="H150" s="5">
        <v>26.45</v>
      </c>
      <c r="I150" s="4">
        <f t="shared" si="3"/>
        <v>1.3225</v>
      </c>
    </row>
    <row r="151" spans="4:9">
      <c r="D151" s="15" t="s">
        <v>18</v>
      </c>
      <c r="E151" s="6" t="s">
        <v>806</v>
      </c>
      <c r="F151" s="6" t="s">
        <v>17</v>
      </c>
      <c r="G151" s="6">
        <v>24</v>
      </c>
      <c r="H151" s="5">
        <v>14</v>
      </c>
      <c r="I151" s="4">
        <f t="shared" si="3"/>
        <v>0.58333333333333337</v>
      </c>
    </row>
    <row r="152" spans="4:9">
      <c r="D152" s="15" t="s">
        <v>16</v>
      </c>
      <c r="E152" s="6" t="s">
        <v>806</v>
      </c>
      <c r="F152" s="6" t="s">
        <v>15</v>
      </c>
      <c r="G152" s="6">
        <v>24</v>
      </c>
      <c r="H152" s="5">
        <v>14</v>
      </c>
      <c r="I152" s="4">
        <f t="shared" si="3"/>
        <v>0.58333333333333337</v>
      </c>
    </row>
    <row r="153" spans="4:9">
      <c r="D153" s="15" t="s">
        <v>815</v>
      </c>
      <c r="E153" s="6" t="s">
        <v>806</v>
      </c>
      <c r="F153" s="6" t="s">
        <v>814</v>
      </c>
      <c r="G153" s="6">
        <v>24</v>
      </c>
      <c r="H153" s="5">
        <v>14</v>
      </c>
      <c r="I153" s="4">
        <f t="shared" si="3"/>
        <v>0.58333333333333337</v>
      </c>
    </row>
    <row r="154" spans="4:9">
      <c r="D154" s="15" t="s">
        <v>813</v>
      </c>
      <c r="E154" s="6" t="s">
        <v>806</v>
      </c>
      <c r="F154" s="6" t="s">
        <v>812</v>
      </c>
      <c r="G154" s="6">
        <v>24</v>
      </c>
      <c r="H154" s="5">
        <v>14</v>
      </c>
      <c r="I154" s="4">
        <f t="shared" si="3"/>
        <v>0.58333333333333337</v>
      </c>
    </row>
    <row r="155" spans="4:9">
      <c r="D155" s="15" t="s">
        <v>811</v>
      </c>
      <c r="E155" s="6" t="s">
        <v>806</v>
      </c>
      <c r="F155" s="6" t="s">
        <v>810</v>
      </c>
      <c r="G155" s="6">
        <v>24</v>
      </c>
      <c r="H155" s="5">
        <v>13.5</v>
      </c>
      <c r="I155" s="4">
        <f t="shared" si="3"/>
        <v>0.5625</v>
      </c>
    </row>
    <row r="156" spans="4:9">
      <c r="D156" s="15" t="s">
        <v>809</v>
      </c>
      <c r="E156" s="6" t="s">
        <v>806</v>
      </c>
      <c r="F156" s="6" t="s">
        <v>808</v>
      </c>
      <c r="G156" s="6">
        <v>12</v>
      </c>
      <c r="H156" s="5">
        <v>15.75</v>
      </c>
      <c r="I156" s="4">
        <f t="shared" si="3"/>
        <v>1.3125</v>
      </c>
    </row>
    <row r="157" spans="4:9">
      <c r="D157" s="15" t="s">
        <v>807</v>
      </c>
      <c r="E157" s="6" t="s">
        <v>806</v>
      </c>
      <c r="F157" s="6" t="s">
        <v>805</v>
      </c>
      <c r="G157" s="6">
        <v>30</v>
      </c>
      <c r="H157" s="5"/>
      <c r="I157" s="4">
        <v>0.88</v>
      </c>
    </row>
    <row r="158" spans="4:9">
      <c r="D158" s="15" t="s">
        <v>804</v>
      </c>
      <c r="E158" s="6" t="s">
        <v>1065</v>
      </c>
      <c r="F158" s="6" t="s">
        <v>803</v>
      </c>
      <c r="G158" s="6">
        <v>36</v>
      </c>
      <c r="H158" s="5">
        <v>1</v>
      </c>
      <c r="I158" s="4">
        <f t="shared" ref="I158:I221" si="4">H158/G158</f>
        <v>2.7777777777777776E-2</v>
      </c>
    </row>
    <row r="159" spans="4:9">
      <c r="D159" s="15">
        <v>7401192400013</v>
      </c>
      <c r="E159" s="6" t="s">
        <v>1066</v>
      </c>
      <c r="F159" s="6" t="s">
        <v>802</v>
      </c>
      <c r="G159" s="6">
        <v>1</v>
      </c>
      <c r="H159" s="5">
        <v>1</v>
      </c>
      <c r="I159" s="4">
        <f t="shared" si="4"/>
        <v>1</v>
      </c>
    </row>
    <row r="160" spans="4:9">
      <c r="D160" s="15">
        <v>7401192400143</v>
      </c>
      <c r="E160" s="6" t="s">
        <v>1066</v>
      </c>
      <c r="F160" s="6" t="s">
        <v>801</v>
      </c>
      <c r="G160" s="6">
        <v>1</v>
      </c>
      <c r="H160" s="5">
        <v>1</v>
      </c>
      <c r="I160" s="4">
        <f t="shared" si="4"/>
        <v>1</v>
      </c>
    </row>
    <row r="161" spans="4:9">
      <c r="D161" s="15">
        <v>7401192400136</v>
      </c>
      <c r="E161" s="6" t="s">
        <v>1066</v>
      </c>
      <c r="F161" s="6" t="s">
        <v>800</v>
      </c>
      <c r="G161" s="6">
        <v>1</v>
      </c>
      <c r="H161" s="5">
        <v>1</v>
      </c>
      <c r="I161" s="4">
        <f t="shared" si="4"/>
        <v>1</v>
      </c>
    </row>
    <row r="162" spans="4:9">
      <c r="D162" s="15" t="s">
        <v>799</v>
      </c>
      <c r="E162" s="6" t="s">
        <v>242</v>
      </c>
      <c r="F162" s="6" t="s">
        <v>798</v>
      </c>
      <c r="G162" s="6">
        <v>144</v>
      </c>
      <c r="H162" s="5">
        <v>7</v>
      </c>
      <c r="I162" s="4">
        <f t="shared" si="4"/>
        <v>4.8611111111111112E-2</v>
      </c>
    </row>
    <row r="163" spans="4:9">
      <c r="D163" s="15" t="s">
        <v>797</v>
      </c>
      <c r="E163" s="6" t="s">
        <v>790</v>
      </c>
      <c r="F163" s="6" t="s">
        <v>796</v>
      </c>
      <c r="G163" s="6">
        <v>6</v>
      </c>
      <c r="H163" s="5">
        <v>1</v>
      </c>
      <c r="I163" s="4">
        <f t="shared" si="4"/>
        <v>0.16666666666666666</v>
      </c>
    </row>
    <row r="164" spans="4:9">
      <c r="D164" s="15" t="s">
        <v>795</v>
      </c>
      <c r="E164" s="6" t="s">
        <v>1067</v>
      </c>
      <c r="F164" s="6" t="s">
        <v>794</v>
      </c>
      <c r="G164" s="6">
        <v>5</v>
      </c>
      <c r="H164" s="5">
        <v>1</v>
      </c>
      <c r="I164" s="4">
        <f t="shared" si="4"/>
        <v>0.2</v>
      </c>
    </row>
    <row r="165" spans="4:9">
      <c r="D165" s="15" t="s">
        <v>793</v>
      </c>
      <c r="E165" s="6" t="s">
        <v>1067</v>
      </c>
      <c r="F165" s="6" t="s">
        <v>792</v>
      </c>
      <c r="G165" s="6">
        <v>24</v>
      </c>
      <c r="H165" s="5">
        <v>1</v>
      </c>
      <c r="I165" s="4">
        <f t="shared" si="4"/>
        <v>4.1666666666666664E-2</v>
      </c>
    </row>
    <row r="166" spans="4:9">
      <c r="D166" s="15" t="s">
        <v>791</v>
      </c>
      <c r="E166" s="6" t="s">
        <v>790</v>
      </c>
      <c r="F166" s="6" t="s">
        <v>789</v>
      </c>
      <c r="G166" s="6">
        <v>24</v>
      </c>
      <c r="H166" s="5">
        <v>1</v>
      </c>
      <c r="I166" s="4">
        <f t="shared" si="4"/>
        <v>4.1666666666666664E-2</v>
      </c>
    </row>
    <row r="167" spans="4:9">
      <c r="D167" s="15" t="s">
        <v>788</v>
      </c>
      <c r="E167" s="6" t="s">
        <v>1067</v>
      </c>
      <c r="F167" s="6" t="s">
        <v>787</v>
      </c>
      <c r="G167" s="6">
        <v>24</v>
      </c>
      <c r="H167" s="5">
        <v>1</v>
      </c>
      <c r="I167" s="4">
        <f t="shared" si="4"/>
        <v>4.1666666666666664E-2</v>
      </c>
    </row>
    <row r="168" spans="4:9">
      <c r="D168" s="15" t="s">
        <v>786</v>
      </c>
      <c r="E168" s="6" t="s">
        <v>1068</v>
      </c>
      <c r="F168" s="6" t="s">
        <v>785</v>
      </c>
      <c r="G168" s="6">
        <v>1</v>
      </c>
      <c r="H168" s="5">
        <v>0.02</v>
      </c>
      <c r="I168" s="4">
        <f t="shared" si="4"/>
        <v>0.02</v>
      </c>
    </row>
    <row r="169" spans="4:9">
      <c r="D169" s="15" t="s">
        <v>784</v>
      </c>
      <c r="E169" s="6" t="s">
        <v>1067</v>
      </c>
      <c r="F169" s="6" t="s">
        <v>783</v>
      </c>
      <c r="G169" s="6">
        <v>6</v>
      </c>
      <c r="H169" s="5">
        <v>12.7</v>
      </c>
      <c r="I169" s="4">
        <f t="shared" si="4"/>
        <v>2.1166666666666667</v>
      </c>
    </row>
    <row r="170" spans="4:9">
      <c r="D170" s="15" t="s">
        <v>782</v>
      </c>
      <c r="E170" s="6" t="s">
        <v>457</v>
      </c>
      <c r="F170" s="6" t="s">
        <v>781</v>
      </c>
      <c r="G170" s="6">
        <v>48</v>
      </c>
      <c r="H170" s="5">
        <v>16.5</v>
      </c>
      <c r="I170" s="4">
        <f t="shared" si="4"/>
        <v>0.34375</v>
      </c>
    </row>
    <row r="171" spans="4:9">
      <c r="D171" s="15" t="s">
        <v>780</v>
      </c>
      <c r="E171" s="6" t="s">
        <v>1069</v>
      </c>
      <c r="F171" s="6" t="s">
        <v>779</v>
      </c>
      <c r="G171" s="6">
        <v>6</v>
      </c>
      <c r="H171" s="5">
        <v>4.8</v>
      </c>
      <c r="I171" s="4">
        <f t="shared" si="4"/>
        <v>0.79999999999999993</v>
      </c>
    </row>
    <row r="172" spans="4:9">
      <c r="D172" s="15" t="s">
        <v>778</v>
      </c>
      <c r="E172" s="6" t="s">
        <v>1069</v>
      </c>
      <c r="F172" s="6" t="s">
        <v>777</v>
      </c>
      <c r="G172" s="6">
        <v>24</v>
      </c>
      <c r="H172" s="5">
        <v>5.85</v>
      </c>
      <c r="I172" s="4">
        <f t="shared" si="4"/>
        <v>0.24374999999999999</v>
      </c>
    </row>
    <row r="173" spans="4:9">
      <c r="D173" s="15" t="s">
        <v>776</v>
      </c>
      <c r="E173" s="6" t="s">
        <v>1070</v>
      </c>
      <c r="F173" s="6" t="s">
        <v>775</v>
      </c>
      <c r="G173" s="6">
        <v>6</v>
      </c>
      <c r="H173" s="5">
        <v>4.8</v>
      </c>
      <c r="I173" s="4">
        <f t="shared" si="4"/>
        <v>0.79999999999999993</v>
      </c>
    </row>
    <row r="174" spans="4:9">
      <c r="D174" s="15" t="s">
        <v>9</v>
      </c>
      <c r="E174" s="6" t="s">
        <v>1066</v>
      </c>
      <c r="F174" s="6" t="s">
        <v>8</v>
      </c>
      <c r="G174" s="6">
        <v>24</v>
      </c>
      <c r="H174" s="5">
        <v>2</v>
      </c>
      <c r="I174" s="4">
        <f t="shared" si="4"/>
        <v>8.3333333333333329E-2</v>
      </c>
    </row>
    <row r="175" spans="4:9">
      <c r="D175" s="15" t="s">
        <v>774</v>
      </c>
      <c r="E175" s="6" t="s">
        <v>1071</v>
      </c>
      <c r="F175" s="6" t="s">
        <v>773</v>
      </c>
      <c r="G175" s="6">
        <v>48</v>
      </c>
      <c r="H175" s="5">
        <v>16.649999999999999</v>
      </c>
      <c r="I175" s="4">
        <f t="shared" si="4"/>
        <v>0.34687499999999999</v>
      </c>
    </row>
    <row r="176" spans="4:9">
      <c r="D176" s="15" t="s">
        <v>772</v>
      </c>
      <c r="E176" s="6" t="s">
        <v>1071</v>
      </c>
      <c r="F176" s="6" t="s">
        <v>771</v>
      </c>
      <c r="G176" s="6">
        <v>48</v>
      </c>
      <c r="H176" s="5">
        <v>16.649999999999999</v>
      </c>
      <c r="I176" s="4">
        <f t="shared" si="4"/>
        <v>0.34687499999999999</v>
      </c>
    </row>
    <row r="177" spans="4:9">
      <c r="D177" s="15" t="s">
        <v>770</v>
      </c>
      <c r="E177" s="6" t="s">
        <v>1071</v>
      </c>
      <c r="F177" s="6" t="s">
        <v>769</v>
      </c>
      <c r="G177" s="6">
        <v>48</v>
      </c>
      <c r="H177" s="5">
        <v>16.649999999999999</v>
      </c>
      <c r="I177" s="4">
        <f t="shared" si="4"/>
        <v>0.34687499999999999</v>
      </c>
    </row>
    <row r="178" spans="4:9">
      <c r="D178" s="15" t="s">
        <v>768</v>
      </c>
      <c r="E178" s="6" t="s">
        <v>1071</v>
      </c>
      <c r="F178" s="6" t="s">
        <v>767</v>
      </c>
      <c r="G178" s="6">
        <v>18</v>
      </c>
      <c r="H178" s="5">
        <v>15.75</v>
      </c>
      <c r="I178" s="4">
        <f t="shared" si="4"/>
        <v>0.875</v>
      </c>
    </row>
    <row r="179" spans="4:9">
      <c r="D179" s="15" t="s">
        <v>766</v>
      </c>
      <c r="E179" s="6" t="s">
        <v>1071</v>
      </c>
      <c r="F179" s="6" t="s">
        <v>765</v>
      </c>
      <c r="G179" s="6">
        <v>24</v>
      </c>
      <c r="H179" s="5">
        <v>12</v>
      </c>
      <c r="I179" s="4">
        <f t="shared" si="4"/>
        <v>0.5</v>
      </c>
    </row>
    <row r="180" spans="4:9">
      <c r="D180" s="15" t="s">
        <v>139</v>
      </c>
      <c r="E180" s="6" t="s">
        <v>1071</v>
      </c>
      <c r="F180" s="6" t="s">
        <v>138</v>
      </c>
      <c r="G180" s="6">
        <v>48</v>
      </c>
      <c r="H180" s="5">
        <v>31.5</v>
      </c>
      <c r="I180" s="4">
        <f t="shared" si="4"/>
        <v>0.65625</v>
      </c>
    </row>
    <row r="181" spans="4:9">
      <c r="D181" s="15" t="s">
        <v>764</v>
      </c>
      <c r="E181" s="6" t="s">
        <v>1071</v>
      </c>
      <c r="F181" s="6" t="s">
        <v>763</v>
      </c>
      <c r="G181" s="6">
        <v>24</v>
      </c>
      <c r="H181" s="5">
        <v>22.5</v>
      </c>
      <c r="I181" s="4">
        <f t="shared" si="4"/>
        <v>0.9375</v>
      </c>
    </row>
    <row r="182" spans="4:9">
      <c r="D182" s="15" t="s">
        <v>762</v>
      </c>
      <c r="E182" s="6" t="s">
        <v>1071</v>
      </c>
      <c r="F182" s="6" t="s">
        <v>761</v>
      </c>
      <c r="G182" s="6">
        <v>48</v>
      </c>
      <c r="H182" s="5">
        <v>16.5</v>
      </c>
      <c r="I182" s="4">
        <f t="shared" si="4"/>
        <v>0.34375</v>
      </c>
    </row>
    <row r="183" spans="4:9">
      <c r="D183" s="15" t="s">
        <v>760</v>
      </c>
      <c r="E183" s="6" t="s">
        <v>1071</v>
      </c>
      <c r="F183" s="6" t="s">
        <v>759</v>
      </c>
      <c r="G183" s="6">
        <v>18</v>
      </c>
      <c r="H183" s="5">
        <v>15.75</v>
      </c>
      <c r="I183" s="4">
        <f t="shared" si="4"/>
        <v>0.875</v>
      </c>
    </row>
    <row r="184" spans="4:9">
      <c r="D184" s="15" t="s">
        <v>758</v>
      </c>
      <c r="E184" s="6" t="s">
        <v>1071</v>
      </c>
      <c r="F184" s="6" t="s">
        <v>757</v>
      </c>
      <c r="G184" s="6">
        <v>12</v>
      </c>
      <c r="H184" s="5">
        <v>21</v>
      </c>
      <c r="I184" s="4">
        <f t="shared" si="4"/>
        <v>1.75</v>
      </c>
    </row>
    <row r="185" spans="4:9">
      <c r="D185" s="15" t="s">
        <v>137</v>
      </c>
      <c r="E185" s="6" t="s">
        <v>457</v>
      </c>
      <c r="F185" s="6" t="s">
        <v>136</v>
      </c>
      <c r="G185" s="6">
        <v>24</v>
      </c>
      <c r="H185" s="5">
        <v>12</v>
      </c>
      <c r="I185" s="4">
        <f t="shared" si="4"/>
        <v>0.5</v>
      </c>
    </row>
    <row r="186" spans="4:9">
      <c r="D186" s="15" t="s">
        <v>756</v>
      </c>
      <c r="E186" s="6" t="s">
        <v>457</v>
      </c>
      <c r="F186" s="6" t="s">
        <v>755</v>
      </c>
      <c r="G186" s="6">
        <v>24</v>
      </c>
      <c r="H186" s="5">
        <v>17.5</v>
      </c>
      <c r="I186" s="4">
        <f t="shared" si="4"/>
        <v>0.72916666666666663</v>
      </c>
    </row>
    <row r="187" spans="4:9">
      <c r="D187" s="15" t="s">
        <v>754</v>
      </c>
      <c r="E187" s="6" t="s">
        <v>457</v>
      </c>
      <c r="F187" s="6" t="s">
        <v>753</v>
      </c>
      <c r="G187" s="6">
        <v>48</v>
      </c>
      <c r="H187" s="5">
        <v>16.649999999999999</v>
      </c>
      <c r="I187" s="4">
        <f t="shared" si="4"/>
        <v>0.34687499999999999</v>
      </c>
    </row>
    <row r="188" spans="4:9">
      <c r="D188" s="15" t="s">
        <v>135</v>
      </c>
      <c r="E188" s="6" t="s">
        <v>1071</v>
      </c>
      <c r="F188" s="6" t="s">
        <v>134</v>
      </c>
      <c r="G188" s="6">
        <v>24</v>
      </c>
      <c r="H188" s="5">
        <v>10.6</v>
      </c>
      <c r="I188" s="4">
        <f t="shared" si="4"/>
        <v>0.44166666666666665</v>
      </c>
    </row>
    <row r="189" spans="4:9">
      <c r="D189" s="15" t="s">
        <v>133</v>
      </c>
      <c r="E189" s="6" t="s">
        <v>1071</v>
      </c>
      <c r="F189" s="6" t="s">
        <v>132</v>
      </c>
      <c r="G189" s="6">
        <v>24</v>
      </c>
      <c r="H189" s="5">
        <v>10.6</v>
      </c>
      <c r="I189" s="4">
        <f t="shared" si="4"/>
        <v>0.44166666666666665</v>
      </c>
    </row>
    <row r="190" spans="4:9">
      <c r="D190" s="15" t="s">
        <v>752</v>
      </c>
      <c r="E190" s="6" t="s">
        <v>457</v>
      </c>
      <c r="F190" s="6" t="s">
        <v>751</v>
      </c>
      <c r="G190" s="6">
        <v>24</v>
      </c>
      <c r="H190" s="5">
        <v>17.5</v>
      </c>
      <c r="I190" s="4">
        <f t="shared" si="4"/>
        <v>0.72916666666666663</v>
      </c>
    </row>
    <row r="191" spans="4:9">
      <c r="D191" s="15" t="s">
        <v>750</v>
      </c>
      <c r="E191" s="6" t="s">
        <v>1071</v>
      </c>
      <c r="F191" s="6" t="s">
        <v>749</v>
      </c>
      <c r="G191" s="6">
        <v>24</v>
      </c>
      <c r="H191" s="5">
        <v>17.5</v>
      </c>
      <c r="I191" s="4">
        <f t="shared" si="4"/>
        <v>0.72916666666666663</v>
      </c>
    </row>
    <row r="192" spans="4:9">
      <c r="D192" s="15" t="s">
        <v>748</v>
      </c>
      <c r="E192" s="6" t="s">
        <v>1071</v>
      </c>
      <c r="F192" s="6" t="s">
        <v>747</v>
      </c>
      <c r="G192" s="6">
        <v>12</v>
      </c>
      <c r="H192" s="5">
        <v>26.5</v>
      </c>
      <c r="I192" s="4">
        <f t="shared" si="4"/>
        <v>2.2083333333333335</v>
      </c>
    </row>
    <row r="193" spans="4:9">
      <c r="D193" s="15" t="s">
        <v>746</v>
      </c>
      <c r="E193" s="6" t="s">
        <v>1071</v>
      </c>
      <c r="F193" s="6" t="s">
        <v>745</v>
      </c>
      <c r="G193" s="6">
        <v>48</v>
      </c>
      <c r="H193" s="5">
        <v>16.649999999999999</v>
      </c>
      <c r="I193" s="4">
        <f t="shared" si="4"/>
        <v>0.34687499999999999</v>
      </c>
    </row>
    <row r="194" spans="4:9">
      <c r="D194" s="15" t="s">
        <v>744</v>
      </c>
      <c r="E194" s="6" t="s">
        <v>1071</v>
      </c>
      <c r="F194" s="6" t="s">
        <v>743</v>
      </c>
      <c r="G194" s="6">
        <v>12</v>
      </c>
      <c r="H194" s="5">
        <v>26.5</v>
      </c>
      <c r="I194" s="4">
        <f t="shared" si="4"/>
        <v>2.2083333333333335</v>
      </c>
    </row>
    <row r="195" spans="4:9">
      <c r="D195" s="15" t="s">
        <v>742</v>
      </c>
      <c r="E195" s="6" t="s">
        <v>1071</v>
      </c>
      <c r="F195" s="6" t="s">
        <v>741</v>
      </c>
      <c r="G195" s="6">
        <v>24</v>
      </c>
      <c r="H195" s="5">
        <v>10.6</v>
      </c>
      <c r="I195" s="4">
        <f t="shared" si="4"/>
        <v>0.44166666666666665</v>
      </c>
    </row>
    <row r="196" spans="4:9">
      <c r="D196" s="15" t="s">
        <v>740</v>
      </c>
      <c r="E196" s="6" t="s">
        <v>1071</v>
      </c>
      <c r="F196" s="6" t="s">
        <v>739</v>
      </c>
      <c r="G196" s="6">
        <v>24</v>
      </c>
      <c r="H196" s="5">
        <v>10.6</v>
      </c>
      <c r="I196" s="4">
        <f t="shared" si="4"/>
        <v>0.44166666666666665</v>
      </c>
    </row>
    <row r="197" spans="4:9">
      <c r="D197" s="15" t="s">
        <v>738</v>
      </c>
      <c r="E197" s="6" t="s">
        <v>1071</v>
      </c>
      <c r="F197" s="6" t="s">
        <v>737</v>
      </c>
      <c r="G197" s="6">
        <v>24</v>
      </c>
      <c r="H197" s="5">
        <v>10.6</v>
      </c>
      <c r="I197" s="4">
        <f t="shared" si="4"/>
        <v>0.44166666666666665</v>
      </c>
    </row>
    <row r="198" spans="4:9">
      <c r="D198" s="15" t="s">
        <v>736</v>
      </c>
      <c r="E198" s="6" t="s">
        <v>1071</v>
      </c>
      <c r="F198" s="6" t="s">
        <v>735</v>
      </c>
      <c r="G198" s="6">
        <v>24</v>
      </c>
      <c r="H198" s="5">
        <v>10.6</v>
      </c>
      <c r="I198" s="4">
        <f t="shared" si="4"/>
        <v>0.44166666666666665</v>
      </c>
    </row>
    <row r="199" spans="4:9">
      <c r="D199" s="15" t="s">
        <v>734</v>
      </c>
      <c r="E199" s="6" t="s">
        <v>1071</v>
      </c>
      <c r="F199" s="6" t="s">
        <v>733</v>
      </c>
      <c r="G199" s="6">
        <v>12</v>
      </c>
      <c r="H199" s="5">
        <v>26.5</v>
      </c>
      <c r="I199" s="4">
        <f t="shared" si="4"/>
        <v>2.2083333333333335</v>
      </c>
    </row>
    <row r="200" spans="4:9">
      <c r="D200" s="15" t="s">
        <v>732</v>
      </c>
      <c r="E200" s="6" t="s">
        <v>457</v>
      </c>
      <c r="F200" s="6" t="s">
        <v>731</v>
      </c>
      <c r="G200" s="6">
        <v>24</v>
      </c>
      <c r="H200" s="5">
        <v>17.5</v>
      </c>
      <c r="I200" s="4">
        <f t="shared" si="4"/>
        <v>0.72916666666666663</v>
      </c>
    </row>
    <row r="201" spans="4:9">
      <c r="D201" s="15" t="s">
        <v>730</v>
      </c>
      <c r="E201" s="6" t="s">
        <v>1071</v>
      </c>
      <c r="F201" s="6" t="s">
        <v>729</v>
      </c>
      <c r="G201" s="6">
        <v>12</v>
      </c>
      <c r="H201" s="5">
        <v>26.5</v>
      </c>
      <c r="I201" s="4">
        <f t="shared" si="4"/>
        <v>2.2083333333333335</v>
      </c>
    </row>
    <row r="202" spans="4:9">
      <c r="D202" s="15" t="s">
        <v>728</v>
      </c>
      <c r="E202" s="6" t="s">
        <v>457</v>
      </c>
      <c r="F202" s="6" t="s">
        <v>727</v>
      </c>
      <c r="G202" s="6">
        <v>24</v>
      </c>
      <c r="H202" s="5">
        <v>17.5</v>
      </c>
      <c r="I202" s="4">
        <f t="shared" si="4"/>
        <v>0.72916666666666663</v>
      </c>
    </row>
    <row r="203" spans="4:9">
      <c r="D203" s="15" t="s">
        <v>726</v>
      </c>
      <c r="E203" s="6" t="s">
        <v>1071</v>
      </c>
      <c r="F203" s="6" t="s">
        <v>725</v>
      </c>
      <c r="G203" s="6">
        <v>24</v>
      </c>
      <c r="H203" s="5">
        <v>19.850000000000001</v>
      </c>
      <c r="I203" s="4">
        <f t="shared" si="4"/>
        <v>0.82708333333333339</v>
      </c>
    </row>
    <row r="204" spans="4:9">
      <c r="D204" s="15" t="s">
        <v>724</v>
      </c>
      <c r="E204" s="6" t="s">
        <v>1071</v>
      </c>
      <c r="F204" s="6" t="s">
        <v>723</v>
      </c>
      <c r="G204" s="6">
        <v>12</v>
      </c>
      <c r="H204" s="5">
        <v>26.5</v>
      </c>
      <c r="I204" s="4">
        <f t="shared" si="4"/>
        <v>2.2083333333333335</v>
      </c>
    </row>
    <row r="205" spans="4:9">
      <c r="D205" s="15" t="s">
        <v>131</v>
      </c>
      <c r="E205" s="6" t="s">
        <v>1071</v>
      </c>
      <c r="F205" s="6" t="s">
        <v>130</v>
      </c>
      <c r="G205" s="6">
        <v>48</v>
      </c>
      <c r="H205" s="5">
        <v>12</v>
      </c>
      <c r="I205" s="4">
        <f t="shared" si="4"/>
        <v>0.25</v>
      </c>
    </row>
    <row r="206" spans="4:9">
      <c r="D206" s="15" t="s">
        <v>722</v>
      </c>
      <c r="E206" s="6" t="s">
        <v>457</v>
      </c>
      <c r="F206" s="6" t="s">
        <v>721</v>
      </c>
      <c r="G206" s="6">
        <v>6</v>
      </c>
      <c r="H206" s="5">
        <v>33</v>
      </c>
      <c r="I206" s="4">
        <f t="shared" si="4"/>
        <v>5.5</v>
      </c>
    </row>
    <row r="207" spans="4:9">
      <c r="D207" s="15" t="s">
        <v>720</v>
      </c>
      <c r="E207" s="6" t="s">
        <v>457</v>
      </c>
      <c r="F207" s="6" t="s">
        <v>719</v>
      </c>
      <c r="G207" s="6">
        <v>6</v>
      </c>
      <c r="H207" s="5">
        <v>33</v>
      </c>
      <c r="I207" s="4">
        <f t="shared" si="4"/>
        <v>5.5</v>
      </c>
    </row>
    <row r="208" spans="4:9">
      <c r="D208" s="15" t="s">
        <v>718</v>
      </c>
      <c r="E208" s="6" t="s">
        <v>457</v>
      </c>
      <c r="F208" s="6" t="s">
        <v>717</v>
      </c>
      <c r="G208" s="6">
        <v>6</v>
      </c>
      <c r="H208" s="5">
        <v>33</v>
      </c>
      <c r="I208" s="4">
        <f t="shared" si="4"/>
        <v>5.5</v>
      </c>
    </row>
    <row r="209" spans="4:9">
      <c r="D209" s="15" t="s">
        <v>716</v>
      </c>
      <c r="E209" s="6" t="s">
        <v>242</v>
      </c>
      <c r="F209" s="6" t="s">
        <v>715</v>
      </c>
      <c r="G209" s="6">
        <v>144</v>
      </c>
      <c r="H209" s="5">
        <v>7</v>
      </c>
      <c r="I209" s="4">
        <f t="shared" si="4"/>
        <v>4.8611111111111112E-2</v>
      </c>
    </row>
    <row r="210" spans="4:9">
      <c r="D210" s="15" t="s">
        <v>714</v>
      </c>
      <c r="E210" s="6" t="s">
        <v>1066</v>
      </c>
      <c r="F210" s="6" t="s">
        <v>713</v>
      </c>
      <c r="G210" s="6">
        <v>1</v>
      </c>
      <c r="H210" s="5">
        <v>0.1</v>
      </c>
      <c r="I210" s="4">
        <f t="shared" si="4"/>
        <v>0.1</v>
      </c>
    </row>
    <row r="211" spans="4:9">
      <c r="D211" s="15" t="s">
        <v>712</v>
      </c>
      <c r="E211" s="6" t="s">
        <v>1069</v>
      </c>
      <c r="F211" s="6" t="s">
        <v>711</v>
      </c>
      <c r="G211" s="6">
        <v>8</v>
      </c>
      <c r="H211" s="5">
        <v>2.85</v>
      </c>
      <c r="I211" s="4">
        <f t="shared" si="4"/>
        <v>0.35625000000000001</v>
      </c>
    </row>
    <row r="212" spans="4:9">
      <c r="D212" s="15" t="s">
        <v>710</v>
      </c>
      <c r="E212" s="6" t="s">
        <v>1069</v>
      </c>
      <c r="F212" s="6" t="s">
        <v>709</v>
      </c>
      <c r="G212" s="6">
        <v>25</v>
      </c>
      <c r="H212" s="5">
        <v>22.05</v>
      </c>
      <c r="I212" s="4">
        <f t="shared" si="4"/>
        <v>0.88200000000000001</v>
      </c>
    </row>
    <row r="213" spans="4:9">
      <c r="D213" s="15" t="s">
        <v>708</v>
      </c>
      <c r="E213" s="6" t="s">
        <v>242</v>
      </c>
      <c r="F213" s="6" t="s">
        <v>707</v>
      </c>
      <c r="G213" s="6">
        <v>24</v>
      </c>
      <c r="H213" s="5">
        <v>1</v>
      </c>
      <c r="I213" s="4">
        <f t="shared" si="4"/>
        <v>4.1666666666666664E-2</v>
      </c>
    </row>
    <row r="214" spans="4:9">
      <c r="D214" s="15" t="s">
        <v>706</v>
      </c>
      <c r="E214" s="6" t="s">
        <v>305</v>
      </c>
      <c r="F214" s="6" t="s">
        <v>705</v>
      </c>
      <c r="G214" s="6">
        <v>12</v>
      </c>
      <c r="H214" s="5">
        <v>8.5</v>
      </c>
      <c r="I214" s="4">
        <f t="shared" si="4"/>
        <v>0.70833333333333337</v>
      </c>
    </row>
    <row r="215" spans="4:9">
      <c r="D215" s="15" t="s">
        <v>704</v>
      </c>
      <c r="E215" s="6" t="s">
        <v>655</v>
      </c>
      <c r="F215" s="6" t="s">
        <v>703</v>
      </c>
      <c r="G215" s="6">
        <v>6</v>
      </c>
      <c r="H215" s="5">
        <v>12.72</v>
      </c>
      <c r="I215" s="4">
        <f t="shared" si="4"/>
        <v>2.12</v>
      </c>
    </row>
    <row r="216" spans="4:9">
      <c r="D216" s="15" t="s">
        <v>702</v>
      </c>
      <c r="E216" s="6" t="s">
        <v>1072</v>
      </c>
      <c r="F216" s="6" t="s">
        <v>701</v>
      </c>
      <c r="G216" s="6">
        <v>12</v>
      </c>
      <c r="H216" s="5"/>
      <c r="I216" s="4">
        <f t="shared" si="4"/>
        <v>0</v>
      </c>
    </row>
    <row r="217" spans="4:9">
      <c r="D217" s="15" t="s">
        <v>700</v>
      </c>
      <c r="E217" s="6" t="s">
        <v>1072</v>
      </c>
      <c r="F217" s="6" t="s">
        <v>699</v>
      </c>
      <c r="G217" s="6">
        <v>48</v>
      </c>
      <c r="H217" s="5"/>
      <c r="I217" s="4">
        <f t="shared" si="4"/>
        <v>0</v>
      </c>
    </row>
    <row r="218" spans="4:9">
      <c r="D218" s="15" t="s">
        <v>698</v>
      </c>
      <c r="E218" s="6" t="s">
        <v>1072</v>
      </c>
      <c r="F218" s="6" t="s">
        <v>697</v>
      </c>
      <c r="G218" s="6">
        <v>72</v>
      </c>
      <c r="H218" s="5"/>
      <c r="I218" s="4">
        <f t="shared" si="4"/>
        <v>0</v>
      </c>
    </row>
    <row r="219" spans="4:9">
      <c r="D219" s="15" t="s">
        <v>696</v>
      </c>
      <c r="E219" s="6" t="s">
        <v>1073</v>
      </c>
      <c r="F219" s="6" t="s">
        <v>695</v>
      </c>
      <c r="G219" s="6">
        <v>72</v>
      </c>
      <c r="H219" s="5">
        <v>15.9</v>
      </c>
      <c r="I219" s="4">
        <f t="shared" si="4"/>
        <v>0.22083333333333333</v>
      </c>
    </row>
    <row r="220" spans="4:9">
      <c r="D220" s="15" t="s">
        <v>694</v>
      </c>
      <c r="E220" s="6" t="s">
        <v>1073</v>
      </c>
      <c r="F220" s="6" t="s">
        <v>693</v>
      </c>
      <c r="G220" s="6">
        <v>24</v>
      </c>
      <c r="H220" s="5">
        <v>5.6</v>
      </c>
      <c r="I220" s="4">
        <f t="shared" si="4"/>
        <v>0.23333333333333331</v>
      </c>
    </row>
    <row r="221" spans="4:9">
      <c r="D221" s="15" t="s">
        <v>692</v>
      </c>
      <c r="E221" s="6" t="s">
        <v>242</v>
      </c>
      <c r="F221" s="6" t="s">
        <v>691</v>
      </c>
      <c r="G221" s="6">
        <v>16</v>
      </c>
      <c r="H221" s="5"/>
      <c r="I221" s="4">
        <f t="shared" si="4"/>
        <v>0</v>
      </c>
    </row>
    <row r="222" spans="4:9">
      <c r="D222" s="15" t="s">
        <v>690</v>
      </c>
      <c r="E222" s="6" t="s">
        <v>438</v>
      </c>
      <c r="F222" s="6" t="s">
        <v>689</v>
      </c>
      <c r="G222" s="6">
        <v>48</v>
      </c>
      <c r="H222" s="5">
        <v>15.03</v>
      </c>
      <c r="I222" s="4">
        <f t="shared" ref="I222:I285" si="5">H222/G222</f>
        <v>0.31312499999999999</v>
      </c>
    </row>
    <row r="223" spans="4:9">
      <c r="D223" s="15" t="s">
        <v>688</v>
      </c>
      <c r="E223" s="6" t="s">
        <v>438</v>
      </c>
      <c r="F223" s="6" t="s">
        <v>687</v>
      </c>
      <c r="G223" s="6">
        <v>48</v>
      </c>
      <c r="H223" s="5">
        <v>15.03</v>
      </c>
      <c r="I223" s="4">
        <f t="shared" si="5"/>
        <v>0.31312499999999999</v>
      </c>
    </row>
    <row r="224" spans="4:9">
      <c r="D224" s="15">
        <v>21964</v>
      </c>
      <c r="E224" s="6" t="s">
        <v>438</v>
      </c>
      <c r="F224" s="6" t="s">
        <v>686</v>
      </c>
      <c r="G224" s="6">
        <v>36</v>
      </c>
      <c r="H224" s="5">
        <v>33.729999999999997</v>
      </c>
      <c r="I224" s="4">
        <f t="shared" si="5"/>
        <v>0.93694444444444436</v>
      </c>
    </row>
    <row r="225" spans="4:9">
      <c r="D225" s="15" t="s">
        <v>685</v>
      </c>
      <c r="E225" s="6" t="s">
        <v>666</v>
      </c>
      <c r="F225" s="6" t="s">
        <v>684</v>
      </c>
      <c r="G225" s="6">
        <v>25</v>
      </c>
      <c r="H225" s="5">
        <v>24.8</v>
      </c>
      <c r="I225" s="4">
        <f t="shared" si="5"/>
        <v>0.99199999999999999</v>
      </c>
    </row>
    <row r="226" spans="4:9">
      <c r="D226" s="15" t="s">
        <v>683</v>
      </c>
      <c r="E226" s="6" t="s">
        <v>666</v>
      </c>
      <c r="F226" s="6" t="s">
        <v>682</v>
      </c>
      <c r="G226" s="6">
        <v>25</v>
      </c>
      <c r="H226" s="5">
        <v>24.8</v>
      </c>
      <c r="I226" s="4">
        <f t="shared" si="5"/>
        <v>0.99199999999999999</v>
      </c>
    </row>
    <row r="227" spans="4:9">
      <c r="D227" s="15" t="s">
        <v>681</v>
      </c>
      <c r="E227" s="6" t="s">
        <v>666</v>
      </c>
      <c r="F227" s="6" t="s">
        <v>680</v>
      </c>
      <c r="G227" s="6">
        <v>25</v>
      </c>
      <c r="H227" s="5">
        <v>24.8</v>
      </c>
      <c r="I227" s="4">
        <f t="shared" si="5"/>
        <v>0.99199999999999999</v>
      </c>
    </row>
    <row r="228" spans="4:9">
      <c r="D228" s="15" t="s">
        <v>679</v>
      </c>
      <c r="E228" s="6" t="s">
        <v>666</v>
      </c>
      <c r="F228" s="6" t="s">
        <v>678</v>
      </c>
      <c r="G228" s="6">
        <v>25</v>
      </c>
      <c r="H228" s="5">
        <v>24.8</v>
      </c>
      <c r="I228" s="4">
        <f t="shared" si="5"/>
        <v>0.99199999999999999</v>
      </c>
    </row>
    <row r="229" spans="4:9">
      <c r="D229" s="15" t="s">
        <v>677</v>
      </c>
      <c r="E229" s="6" t="s">
        <v>666</v>
      </c>
      <c r="F229" s="6" t="s">
        <v>676</v>
      </c>
      <c r="G229" s="6">
        <v>25</v>
      </c>
      <c r="H229" s="5">
        <v>24.8</v>
      </c>
      <c r="I229" s="4">
        <f t="shared" si="5"/>
        <v>0.99199999999999999</v>
      </c>
    </row>
    <row r="230" spans="4:9">
      <c r="D230" s="15" t="s">
        <v>675</v>
      </c>
      <c r="E230" s="6" t="s">
        <v>666</v>
      </c>
      <c r="F230" s="6" t="s">
        <v>674</v>
      </c>
      <c r="G230" s="6">
        <v>25</v>
      </c>
      <c r="H230" s="5">
        <v>24.8</v>
      </c>
      <c r="I230" s="4">
        <f t="shared" si="5"/>
        <v>0.99199999999999999</v>
      </c>
    </row>
    <row r="231" spans="4:9">
      <c r="D231" s="15" t="s">
        <v>27</v>
      </c>
      <c r="E231" s="6" t="s">
        <v>666</v>
      </c>
      <c r="F231" s="6" t="s">
        <v>26</v>
      </c>
      <c r="G231" s="6">
        <v>24</v>
      </c>
      <c r="H231" s="5">
        <v>6</v>
      </c>
      <c r="I231" s="4">
        <f t="shared" si="5"/>
        <v>0.25</v>
      </c>
    </row>
    <row r="232" spans="4:9">
      <c r="D232" s="15" t="s">
        <v>673</v>
      </c>
      <c r="E232" s="6" t="s">
        <v>666</v>
      </c>
      <c r="F232" s="6" t="s">
        <v>672</v>
      </c>
      <c r="G232" s="6">
        <v>24</v>
      </c>
      <c r="H232" s="5">
        <v>6</v>
      </c>
      <c r="I232" s="4">
        <f t="shared" si="5"/>
        <v>0.25</v>
      </c>
    </row>
    <row r="233" spans="4:9">
      <c r="D233" s="15" t="s">
        <v>25</v>
      </c>
      <c r="E233" s="6" t="s">
        <v>666</v>
      </c>
      <c r="F233" s="6" t="s">
        <v>24</v>
      </c>
      <c r="G233" s="6">
        <v>24</v>
      </c>
      <c r="H233" s="5">
        <v>6</v>
      </c>
      <c r="I233" s="4">
        <f t="shared" si="5"/>
        <v>0.25</v>
      </c>
    </row>
    <row r="234" spans="4:9">
      <c r="D234" s="15" t="s">
        <v>671</v>
      </c>
      <c r="E234" s="6" t="s">
        <v>666</v>
      </c>
      <c r="F234" s="6" t="s">
        <v>670</v>
      </c>
      <c r="G234" s="6">
        <v>24</v>
      </c>
      <c r="H234" s="5">
        <v>6</v>
      </c>
      <c r="I234" s="4">
        <f t="shared" si="5"/>
        <v>0.25</v>
      </c>
    </row>
    <row r="235" spans="4:9">
      <c r="D235" s="15" t="s">
        <v>23</v>
      </c>
      <c r="E235" s="6" t="s">
        <v>666</v>
      </c>
      <c r="F235" s="6" t="s">
        <v>22</v>
      </c>
      <c r="G235" s="6">
        <v>24</v>
      </c>
      <c r="H235" s="5">
        <v>6</v>
      </c>
      <c r="I235" s="4">
        <f t="shared" si="5"/>
        <v>0.25</v>
      </c>
    </row>
    <row r="236" spans="4:9">
      <c r="D236" s="15" t="s">
        <v>669</v>
      </c>
      <c r="E236" s="6" t="s">
        <v>666</v>
      </c>
      <c r="F236" s="6" t="s">
        <v>668</v>
      </c>
      <c r="G236" s="6">
        <v>24</v>
      </c>
      <c r="H236" s="5">
        <v>6</v>
      </c>
      <c r="I236" s="4">
        <f t="shared" si="5"/>
        <v>0.25</v>
      </c>
    </row>
    <row r="237" spans="4:9">
      <c r="D237" s="15" t="s">
        <v>21</v>
      </c>
      <c r="E237" s="6" t="s">
        <v>666</v>
      </c>
      <c r="F237" s="6" t="s">
        <v>20</v>
      </c>
      <c r="G237" s="6">
        <v>24</v>
      </c>
      <c r="H237" s="5">
        <v>21.2</v>
      </c>
      <c r="I237" s="4">
        <f t="shared" si="5"/>
        <v>0.8833333333333333</v>
      </c>
    </row>
    <row r="238" spans="4:9">
      <c r="D238" s="15" t="s">
        <v>667</v>
      </c>
      <c r="E238" s="6" t="s">
        <v>666</v>
      </c>
      <c r="F238" s="6" t="s">
        <v>665</v>
      </c>
      <c r="G238" s="6">
        <v>36</v>
      </c>
      <c r="H238" s="5">
        <v>38.1</v>
      </c>
      <c r="I238" s="4">
        <f t="shared" si="5"/>
        <v>1.0583333333333333</v>
      </c>
    </row>
    <row r="239" spans="4:9">
      <c r="D239" s="15" t="s">
        <v>664</v>
      </c>
      <c r="E239" s="6" t="s">
        <v>666</v>
      </c>
      <c r="F239" s="6" t="s">
        <v>663</v>
      </c>
      <c r="G239" s="6">
        <v>6</v>
      </c>
      <c r="H239" s="5">
        <v>28.6</v>
      </c>
      <c r="I239" s="4">
        <f t="shared" si="5"/>
        <v>4.7666666666666666</v>
      </c>
    </row>
    <row r="240" spans="4:9">
      <c r="D240" s="15" t="s">
        <v>662</v>
      </c>
      <c r="E240" s="6" t="s">
        <v>666</v>
      </c>
      <c r="F240" s="6" t="s">
        <v>661</v>
      </c>
      <c r="G240" s="6">
        <v>12</v>
      </c>
      <c r="H240" s="5">
        <v>1</v>
      </c>
      <c r="I240" s="4">
        <f t="shared" si="5"/>
        <v>8.3333333333333329E-2</v>
      </c>
    </row>
    <row r="241" spans="4:9">
      <c r="D241" s="15">
        <v>680214</v>
      </c>
      <c r="E241" s="6" t="s">
        <v>655</v>
      </c>
      <c r="F241" s="6" t="s">
        <v>660</v>
      </c>
      <c r="G241" s="6">
        <v>96</v>
      </c>
      <c r="H241" s="5">
        <v>21.2</v>
      </c>
      <c r="I241" s="4">
        <f t="shared" si="5"/>
        <v>0.22083333333333333</v>
      </c>
    </row>
    <row r="242" spans="4:9">
      <c r="D242" s="15">
        <v>620760</v>
      </c>
      <c r="E242" s="6" t="s">
        <v>655</v>
      </c>
      <c r="F242" s="6" t="s">
        <v>659</v>
      </c>
      <c r="G242" s="6">
        <v>1</v>
      </c>
      <c r="H242" s="5">
        <v>50</v>
      </c>
      <c r="I242" s="4">
        <f t="shared" si="5"/>
        <v>50</v>
      </c>
    </row>
    <row r="243" spans="4:9">
      <c r="D243" s="15">
        <v>620500</v>
      </c>
      <c r="E243" s="6" t="s">
        <v>655</v>
      </c>
      <c r="F243" s="6" t="s">
        <v>658</v>
      </c>
      <c r="G243" s="6">
        <v>12</v>
      </c>
      <c r="H243" s="5">
        <v>24</v>
      </c>
      <c r="I243" s="4">
        <f t="shared" si="5"/>
        <v>2</v>
      </c>
    </row>
    <row r="244" spans="4:9">
      <c r="D244" s="15">
        <v>620821</v>
      </c>
      <c r="E244" s="6" t="s">
        <v>655</v>
      </c>
      <c r="F244" s="6" t="s">
        <v>657</v>
      </c>
      <c r="G244" s="6">
        <v>24</v>
      </c>
      <c r="H244" s="5">
        <v>23.45</v>
      </c>
      <c r="I244" s="4">
        <f t="shared" si="5"/>
        <v>0.9770833333333333</v>
      </c>
    </row>
    <row r="245" spans="4:9">
      <c r="D245" s="15">
        <v>620845</v>
      </c>
      <c r="E245" s="6" t="s">
        <v>655</v>
      </c>
      <c r="F245" s="6" t="s">
        <v>656</v>
      </c>
      <c r="G245" s="6">
        <v>18</v>
      </c>
      <c r="H245" s="5">
        <v>29.8</v>
      </c>
      <c r="I245" s="4">
        <f t="shared" si="5"/>
        <v>1.6555555555555557</v>
      </c>
    </row>
    <row r="246" spans="4:9">
      <c r="D246" s="15">
        <v>620678</v>
      </c>
      <c r="E246" s="6" t="s">
        <v>655</v>
      </c>
      <c r="F246" s="6" t="s">
        <v>654</v>
      </c>
      <c r="G246" s="6">
        <v>50</v>
      </c>
      <c r="H246" s="5">
        <v>50</v>
      </c>
      <c r="I246" s="4">
        <f t="shared" si="5"/>
        <v>1</v>
      </c>
    </row>
    <row r="247" spans="4:9">
      <c r="D247" s="15">
        <v>621491</v>
      </c>
      <c r="E247" s="6" t="s">
        <v>655</v>
      </c>
      <c r="F247" s="6" t="s">
        <v>653</v>
      </c>
      <c r="G247" s="6">
        <v>24</v>
      </c>
      <c r="H247" s="5">
        <v>21.2</v>
      </c>
      <c r="I247" s="4">
        <f t="shared" si="5"/>
        <v>0.8833333333333333</v>
      </c>
    </row>
    <row r="248" spans="4:9">
      <c r="D248" s="15">
        <v>621330</v>
      </c>
      <c r="E248" s="6" t="s">
        <v>655</v>
      </c>
      <c r="F248" s="6" t="s">
        <v>652</v>
      </c>
      <c r="G248" s="6">
        <v>24</v>
      </c>
      <c r="H248" s="5">
        <v>21.2</v>
      </c>
      <c r="I248" s="4">
        <f t="shared" si="5"/>
        <v>0.8833333333333333</v>
      </c>
    </row>
    <row r="249" spans="4:9">
      <c r="D249" s="15">
        <v>621439</v>
      </c>
      <c r="E249" s="6" t="s">
        <v>655</v>
      </c>
      <c r="F249" s="6" t="s">
        <v>651</v>
      </c>
      <c r="G249" s="6">
        <v>24</v>
      </c>
      <c r="H249" s="5">
        <v>21.2</v>
      </c>
      <c r="I249" s="4">
        <f t="shared" si="5"/>
        <v>0.8833333333333333</v>
      </c>
    </row>
    <row r="250" spans="4:9">
      <c r="D250" s="15">
        <v>680672</v>
      </c>
      <c r="E250" s="6" t="s">
        <v>655</v>
      </c>
      <c r="F250" s="6" t="s">
        <v>650</v>
      </c>
      <c r="G250" s="6">
        <v>12</v>
      </c>
      <c r="H250" s="5">
        <v>1</v>
      </c>
      <c r="I250" s="4">
        <f t="shared" si="5"/>
        <v>8.3333333333333329E-2</v>
      </c>
    </row>
    <row r="251" spans="4:9">
      <c r="D251" s="15">
        <v>588520</v>
      </c>
      <c r="E251" s="6" t="s">
        <v>247</v>
      </c>
      <c r="F251" s="6" t="s">
        <v>649</v>
      </c>
      <c r="G251" s="6">
        <v>12</v>
      </c>
      <c r="H251" s="5">
        <v>2.35</v>
      </c>
      <c r="I251" s="4">
        <f t="shared" si="5"/>
        <v>0.19583333333333333</v>
      </c>
    </row>
    <row r="252" spans="4:9">
      <c r="D252" s="15">
        <v>84168062</v>
      </c>
      <c r="E252" s="6" t="s">
        <v>247</v>
      </c>
      <c r="F252" s="6" t="s">
        <v>648</v>
      </c>
      <c r="G252" s="6">
        <v>12</v>
      </c>
      <c r="H252" s="5">
        <v>2.35</v>
      </c>
      <c r="I252" s="4">
        <f t="shared" si="5"/>
        <v>0.19583333333333333</v>
      </c>
    </row>
    <row r="253" spans="4:9">
      <c r="D253" s="15">
        <v>579213</v>
      </c>
      <c r="E253" s="6" t="s">
        <v>247</v>
      </c>
      <c r="F253" s="6" t="s">
        <v>85</v>
      </c>
      <c r="G253" s="6">
        <v>12</v>
      </c>
      <c r="H253" s="5">
        <v>2.35</v>
      </c>
      <c r="I253" s="4">
        <f t="shared" si="5"/>
        <v>0.19583333333333333</v>
      </c>
    </row>
    <row r="254" spans="4:9">
      <c r="D254" s="15">
        <v>565574</v>
      </c>
      <c r="E254" s="6" t="s">
        <v>247</v>
      </c>
      <c r="F254" s="6" t="s">
        <v>647</v>
      </c>
      <c r="G254" s="6">
        <v>12</v>
      </c>
      <c r="H254" s="5">
        <v>2.35</v>
      </c>
      <c r="I254" s="4">
        <f t="shared" si="5"/>
        <v>0.19583333333333333</v>
      </c>
    </row>
    <row r="255" spans="4:9">
      <c r="D255" s="15">
        <v>84168064</v>
      </c>
      <c r="E255" s="6" t="s">
        <v>247</v>
      </c>
      <c r="F255" s="6" t="s">
        <v>646</v>
      </c>
      <c r="G255" s="6">
        <v>12</v>
      </c>
      <c r="H255" s="5">
        <v>2.35</v>
      </c>
      <c r="I255" s="4">
        <f t="shared" si="5"/>
        <v>0.19583333333333333</v>
      </c>
    </row>
    <row r="256" spans="4:9">
      <c r="D256" s="15">
        <v>565119</v>
      </c>
      <c r="E256" s="6" t="s">
        <v>247</v>
      </c>
      <c r="F256" s="6" t="s">
        <v>645</v>
      </c>
      <c r="G256" s="6">
        <v>12</v>
      </c>
      <c r="H256" s="5">
        <v>2.35</v>
      </c>
      <c r="I256" s="4">
        <f t="shared" si="5"/>
        <v>0.19583333333333333</v>
      </c>
    </row>
    <row r="257" spans="4:9">
      <c r="D257" s="15">
        <v>583415</v>
      </c>
      <c r="E257" s="6" t="s">
        <v>247</v>
      </c>
      <c r="F257" s="6" t="s">
        <v>644</v>
      </c>
      <c r="G257" s="6">
        <v>12</v>
      </c>
      <c r="H257" s="5">
        <v>2.35</v>
      </c>
      <c r="I257" s="4">
        <f t="shared" si="5"/>
        <v>0.19583333333333333</v>
      </c>
    </row>
    <row r="258" spans="4:9">
      <c r="D258" s="15">
        <v>67190950</v>
      </c>
      <c r="E258" s="6" t="s">
        <v>247</v>
      </c>
      <c r="F258" s="6" t="s">
        <v>643</v>
      </c>
      <c r="G258" s="6">
        <v>6</v>
      </c>
      <c r="H258" s="5">
        <v>0.4</v>
      </c>
      <c r="I258" s="4">
        <f t="shared" si="5"/>
        <v>6.6666666666666666E-2</v>
      </c>
    </row>
    <row r="259" spans="4:9">
      <c r="D259" s="15">
        <v>578086</v>
      </c>
      <c r="E259" s="6" t="s">
        <v>247</v>
      </c>
      <c r="F259" s="6" t="s">
        <v>642</v>
      </c>
      <c r="G259" s="6">
        <v>6</v>
      </c>
      <c r="H259" s="5">
        <v>0.4</v>
      </c>
      <c r="I259" s="4">
        <f t="shared" si="5"/>
        <v>6.6666666666666666E-2</v>
      </c>
    </row>
    <row r="260" spans="4:9">
      <c r="D260" s="15">
        <v>588524</v>
      </c>
      <c r="E260" s="6" t="s">
        <v>247</v>
      </c>
      <c r="F260" s="6" t="s">
        <v>641</v>
      </c>
      <c r="G260" s="6">
        <v>12</v>
      </c>
      <c r="H260" s="5">
        <v>1.35</v>
      </c>
      <c r="I260" s="4">
        <f t="shared" si="5"/>
        <v>0.1125</v>
      </c>
    </row>
    <row r="261" spans="4:9">
      <c r="D261" s="15">
        <v>84154860</v>
      </c>
      <c r="E261" s="6" t="s">
        <v>247</v>
      </c>
      <c r="F261" s="6" t="s">
        <v>641</v>
      </c>
      <c r="G261" s="6">
        <v>12</v>
      </c>
      <c r="H261" s="5">
        <v>1.35</v>
      </c>
      <c r="I261" s="4">
        <f t="shared" si="5"/>
        <v>0.1125</v>
      </c>
    </row>
    <row r="262" spans="4:9">
      <c r="D262" s="15">
        <v>84168418</v>
      </c>
      <c r="E262" s="6" t="s">
        <v>247</v>
      </c>
      <c r="F262" s="6" t="s">
        <v>640</v>
      </c>
      <c r="G262" s="6">
        <v>12</v>
      </c>
      <c r="H262" s="5">
        <v>1.35</v>
      </c>
      <c r="I262" s="4">
        <f t="shared" si="5"/>
        <v>0.1125</v>
      </c>
    </row>
    <row r="263" spans="4:9">
      <c r="D263" s="15">
        <v>579308</v>
      </c>
      <c r="E263" s="6" t="s">
        <v>247</v>
      </c>
      <c r="F263" s="6" t="s">
        <v>639</v>
      </c>
      <c r="G263" s="6">
        <v>12</v>
      </c>
      <c r="H263" s="5">
        <v>1.35</v>
      </c>
      <c r="I263" s="4">
        <f t="shared" si="5"/>
        <v>0.1125</v>
      </c>
    </row>
    <row r="264" spans="4:9">
      <c r="D264" s="15">
        <v>84168484</v>
      </c>
      <c r="E264" s="6" t="s">
        <v>247</v>
      </c>
      <c r="F264" s="6" t="s">
        <v>638</v>
      </c>
      <c r="G264" s="6">
        <v>12</v>
      </c>
      <c r="H264" s="5">
        <v>1.35</v>
      </c>
      <c r="I264" s="4">
        <f t="shared" si="5"/>
        <v>0.1125</v>
      </c>
    </row>
    <row r="265" spans="4:9">
      <c r="D265" s="15">
        <v>567647</v>
      </c>
      <c r="E265" s="6" t="s">
        <v>247</v>
      </c>
      <c r="F265" s="6" t="s">
        <v>637</v>
      </c>
      <c r="G265" s="6">
        <v>12</v>
      </c>
      <c r="H265" s="5">
        <v>1.35</v>
      </c>
      <c r="I265" s="4">
        <f t="shared" si="5"/>
        <v>0.1125</v>
      </c>
    </row>
    <row r="266" spans="4:9">
      <c r="D266" s="15">
        <v>588521</v>
      </c>
      <c r="E266" s="6" t="s">
        <v>247</v>
      </c>
      <c r="F266" s="6" t="s">
        <v>636</v>
      </c>
      <c r="G266" s="6">
        <v>12</v>
      </c>
      <c r="H266" s="5">
        <v>1.35</v>
      </c>
      <c r="I266" s="4">
        <f t="shared" si="5"/>
        <v>0.1125</v>
      </c>
    </row>
    <row r="267" spans="4:9">
      <c r="D267" s="15">
        <v>67409938</v>
      </c>
      <c r="E267" s="6" t="s">
        <v>623</v>
      </c>
      <c r="F267" s="6" t="s">
        <v>635</v>
      </c>
      <c r="G267" s="6">
        <v>12</v>
      </c>
      <c r="H267" s="5">
        <v>11.95</v>
      </c>
      <c r="I267" s="4">
        <f t="shared" si="5"/>
        <v>0.99583333333333324</v>
      </c>
    </row>
    <row r="268" spans="4:9">
      <c r="D268" s="15">
        <v>67409922</v>
      </c>
      <c r="E268" s="6" t="s">
        <v>623</v>
      </c>
      <c r="F268" s="6" t="s">
        <v>84</v>
      </c>
      <c r="G268" s="6">
        <v>4</v>
      </c>
      <c r="H268" s="5">
        <v>5.85</v>
      </c>
      <c r="I268" s="4">
        <f t="shared" si="5"/>
        <v>1.4624999999999999</v>
      </c>
    </row>
    <row r="269" spans="4:9">
      <c r="D269" s="15">
        <v>67611016</v>
      </c>
      <c r="E269" s="6" t="s">
        <v>623</v>
      </c>
      <c r="F269" s="6" t="s">
        <v>634</v>
      </c>
      <c r="G269" s="6">
        <v>4</v>
      </c>
      <c r="H269" s="5">
        <v>10.6</v>
      </c>
      <c r="I269" s="4">
        <f t="shared" si="5"/>
        <v>2.65</v>
      </c>
    </row>
    <row r="270" spans="4:9">
      <c r="D270" s="15">
        <v>67409941</v>
      </c>
      <c r="E270" s="6" t="s">
        <v>623</v>
      </c>
      <c r="F270" s="6" t="s">
        <v>633</v>
      </c>
      <c r="G270" s="6">
        <v>6</v>
      </c>
      <c r="H270" s="5">
        <v>13.25</v>
      </c>
      <c r="I270" s="4">
        <f t="shared" si="5"/>
        <v>2.2083333333333335</v>
      </c>
    </row>
    <row r="271" spans="4:9">
      <c r="D271" s="15">
        <v>67409831</v>
      </c>
      <c r="E271" s="6" t="s">
        <v>623</v>
      </c>
      <c r="F271" s="6" t="s">
        <v>83</v>
      </c>
      <c r="G271" s="6">
        <v>6</v>
      </c>
      <c r="H271" s="5">
        <v>4.8</v>
      </c>
      <c r="I271" s="4">
        <f t="shared" si="5"/>
        <v>0.79999999999999993</v>
      </c>
    </row>
    <row r="272" spans="4:9">
      <c r="D272" s="15">
        <v>68170124</v>
      </c>
      <c r="E272" s="6" t="s">
        <v>623</v>
      </c>
      <c r="F272" s="6" t="s">
        <v>632</v>
      </c>
      <c r="G272" s="6">
        <v>12</v>
      </c>
      <c r="H272" s="5">
        <v>11.9</v>
      </c>
      <c r="I272" s="4">
        <f t="shared" si="5"/>
        <v>0.9916666666666667</v>
      </c>
    </row>
    <row r="273" spans="4:9">
      <c r="D273" s="15">
        <v>68170129</v>
      </c>
      <c r="E273" s="6" t="s">
        <v>623</v>
      </c>
      <c r="F273" s="6" t="s">
        <v>631</v>
      </c>
      <c r="G273" s="6">
        <v>2</v>
      </c>
      <c r="H273" s="5">
        <v>5.3</v>
      </c>
      <c r="I273" s="4">
        <f t="shared" si="5"/>
        <v>2.65</v>
      </c>
    </row>
    <row r="274" spans="4:9">
      <c r="D274" s="15">
        <v>68661570</v>
      </c>
      <c r="E274" s="6" t="s">
        <v>623</v>
      </c>
      <c r="F274" s="6" t="s">
        <v>630</v>
      </c>
      <c r="G274" s="6">
        <v>3</v>
      </c>
      <c r="H274" s="5">
        <v>5.85</v>
      </c>
      <c r="I274" s="4">
        <f t="shared" si="5"/>
        <v>1.95</v>
      </c>
    </row>
    <row r="275" spans="4:9">
      <c r="D275" s="15">
        <v>67805300</v>
      </c>
      <c r="E275" s="6" t="s">
        <v>623</v>
      </c>
      <c r="F275" s="6" t="s">
        <v>629</v>
      </c>
      <c r="G275" s="6">
        <v>4</v>
      </c>
      <c r="H275" s="5">
        <v>5.85</v>
      </c>
      <c r="I275" s="4">
        <f t="shared" si="5"/>
        <v>1.4624999999999999</v>
      </c>
    </row>
    <row r="276" spans="4:9">
      <c r="D276" s="15">
        <v>68373475</v>
      </c>
      <c r="E276" s="6" t="s">
        <v>623</v>
      </c>
      <c r="F276" s="6" t="s">
        <v>82</v>
      </c>
      <c r="G276" s="6">
        <v>6</v>
      </c>
      <c r="H276" s="5">
        <v>4.8</v>
      </c>
      <c r="I276" s="4">
        <f t="shared" si="5"/>
        <v>0.79999999999999993</v>
      </c>
    </row>
    <row r="277" spans="4:9">
      <c r="D277" s="15">
        <v>68285450</v>
      </c>
      <c r="E277" s="6" t="s">
        <v>623</v>
      </c>
      <c r="F277" s="6" t="s">
        <v>82</v>
      </c>
      <c r="G277" s="6">
        <v>6</v>
      </c>
      <c r="H277" s="5">
        <v>4.8</v>
      </c>
      <c r="I277" s="4">
        <f t="shared" si="5"/>
        <v>0.79999999999999993</v>
      </c>
    </row>
    <row r="278" spans="4:9">
      <c r="D278" s="15">
        <v>68170130</v>
      </c>
      <c r="E278" s="6" t="s">
        <v>623</v>
      </c>
      <c r="F278" s="6" t="s">
        <v>628</v>
      </c>
      <c r="G278" s="6">
        <v>6</v>
      </c>
      <c r="H278" s="5">
        <v>13.25</v>
      </c>
      <c r="I278" s="4">
        <f t="shared" si="5"/>
        <v>2.2083333333333335</v>
      </c>
    </row>
    <row r="279" spans="4:9">
      <c r="D279" s="15">
        <v>67409937</v>
      </c>
      <c r="E279" s="6" t="s">
        <v>623</v>
      </c>
      <c r="F279" s="6" t="s">
        <v>627</v>
      </c>
      <c r="G279" s="6">
        <v>12</v>
      </c>
      <c r="H279" s="5">
        <v>11.9</v>
      </c>
      <c r="I279" s="4">
        <f t="shared" si="5"/>
        <v>0.9916666666666667</v>
      </c>
    </row>
    <row r="280" spans="4:9">
      <c r="D280" s="15">
        <v>67611014</v>
      </c>
      <c r="E280" s="6" t="s">
        <v>623</v>
      </c>
      <c r="F280" s="6" t="s">
        <v>81</v>
      </c>
      <c r="G280" s="6">
        <v>4</v>
      </c>
      <c r="H280" s="5">
        <v>5.85</v>
      </c>
      <c r="I280" s="4">
        <f t="shared" si="5"/>
        <v>1.4624999999999999</v>
      </c>
    </row>
    <row r="281" spans="4:9">
      <c r="D281" s="15">
        <v>67611015</v>
      </c>
      <c r="E281" s="6" t="s">
        <v>623</v>
      </c>
      <c r="F281" s="6" t="s">
        <v>626</v>
      </c>
      <c r="G281" s="6">
        <v>4</v>
      </c>
      <c r="H281" s="5">
        <v>10.6</v>
      </c>
      <c r="I281" s="4">
        <f t="shared" si="5"/>
        <v>2.65</v>
      </c>
    </row>
    <row r="282" spans="4:9">
      <c r="D282" s="15">
        <v>67409940</v>
      </c>
      <c r="E282" s="6" t="s">
        <v>623</v>
      </c>
      <c r="F282" s="6" t="s">
        <v>625</v>
      </c>
      <c r="G282" s="6">
        <v>6</v>
      </c>
      <c r="H282" s="5">
        <v>13.25</v>
      </c>
      <c r="I282" s="4">
        <f t="shared" si="5"/>
        <v>2.2083333333333335</v>
      </c>
    </row>
    <row r="283" spans="4:9">
      <c r="D283" s="15">
        <v>67409830</v>
      </c>
      <c r="E283" s="6" t="s">
        <v>623</v>
      </c>
      <c r="F283" s="6" t="s">
        <v>624</v>
      </c>
      <c r="G283" s="6">
        <v>6</v>
      </c>
      <c r="H283" s="5">
        <v>4.8</v>
      </c>
      <c r="I283" s="4">
        <f t="shared" si="5"/>
        <v>0.79999999999999993</v>
      </c>
    </row>
    <row r="284" spans="4:9">
      <c r="D284" s="15">
        <v>67721092</v>
      </c>
      <c r="E284" s="6" t="s">
        <v>623</v>
      </c>
      <c r="F284" s="6" t="s">
        <v>622</v>
      </c>
      <c r="G284" s="6">
        <v>6</v>
      </c>
      <c r="H284" s="5">
        <v>4.8</v>
      </c>
      <c r="I284" s="4">
        <f t="shared" si="5"/>
        <v>0.79999999999999993</v>
      </c>
    </row>
    <row r="285" spans="4:9">
      <c r="D285" s="15">
        <v>67611005</v>
      </c>
      <c r="E285" s="6" t="s">
        <v>623</v>
      </c>
      <c r="F285" s="6" t="s">
        <v>621</v>
      </c>
      <c r="G285" s="6">
        <v>4</v>
      </c>
      <c r="H285" s="5">
        <v>5.85</v>
      </c>
      <c r="I285" s="4">
        <f t="shared" si="5"/>
        <v>1.4624999999999999</v>
      </c>
    </row>
    <row r="286" spans="4:9">
      <c r="D286" s="15">
        <v>574983</v>
      </c>
      <c r="E286" s="6" t="s">
        <v>435</v>
      </c>
      <c r="F286" s="6" t="s">
        <v>620</v>
      </c>
      <c r="G286" s="6">
        <v>12</v>
      </c>
      <c r="H286" s="5">
        <v>2.65</v>
      </c>
      <c r="I286" s="4">
        <f t="shared" ref="I286:I303" si="6">H286/G286</f>
        <v>0.22083333333333333</v>
      </c>
    </row>
    <row r="287" spans="4:9">
      <c r="D287" s="15">
        <v>574982</v>
      </c>
      <c r="E287" s="6" t="s">
        <v>435</v>
      </c>
      <c r="F287" s="6" t="s">
        <v>619</v>
      </c>
      <c r="G287" s="6">
        <v>12</v>
      </c>
      <c r="H287" s="5">
        <v>5.3</v>
      </c>
      <c r="I287" s="4">
        <f t="shared" si="6"/>
        <v>0.44166666666666665</v>
      </c>
    </row>
    <row r="288" spans="4:9">
      <c r="D288" s="15">
        <v>574978</v>
      </c>
      <c r="E288" s="6" t="s">
        <v>435</v>
      </c>
      <c r="F288" s="6" t="s">
        <v>618</v>
      </c>
      <c r="G288" s="6">
        <v>12</v>
      </c>
      <c r="H288" s="5">
        <v>10.6</v>
      </c>
      <c r="I288" s="4">
        <f t="shared" si="6"/>
        <v>0.8833333333333333</v>
      </c>
    </row>
    <row r="289" spans="4:9">
      <c r="D289" s="15">
        <v>574986</v>
      </c>
      <c r="E289" s="6" t="s">
        <v>435</v>
      </c>
      <c r="F289" s="6" t="s">
        <v>617</v>
      </c>
      <c r="G289" s="6">
        <v>12</v>
      </c>
      <c r="H289" s="5">
        <v>2.65</v>
      </c>
      <c r="I289" s="4">
        <f t="shared" si="6"/>
        <v>0.22083333333333333</v>
      </c>
    </row>
    <row r="290" spans="4:9">
      <c r="D290" s="15">
        <v>575998</v>
      </c>
      <c r="E290" s="6" t="s">
        <v>435</v>
      </c>
      <c r="F290" s="6" t="s">
        <v>616</v>
      </c>
      <c r="G290" s="6">
        <v>144</v>
      </c>
      <c r="H290" s="5">
        <v>17.2</v>
      </c>
      <c r="I290" s="4">
        <f t="shared" si="6"/>
        <v>0.11944444444444444</v>
      </c>
    </row>
    <row r="291" spans="4:9">
      <c r="D291" s="15">
        <v>575996</v>
      </c>
      <c r="E291" s="6" t="s">
        <v>435</v>
      </c>
      <c r="F291" s="6" t="s">
        <v>615</v>
      </c>
      <c r="G291" s="6">
        <v>144</v>
      </c>
      <c r="H291" s="5">
        <v>17.2</v>
      </c>
      <c r="I291" s="4">
        <f t="shared" si="6"/>
        <v>0.11944444444444444</v>
      </c>
    </row>
    <row r="292" spans="4:9">
      <c r="D292" s="15">
        <v>84157033</v>
      </c>
      <c r="E292" s="6" t="s">
        <v>435</v>
      </c>
      <c r="F292" s="6" t="s">
        <v>80</v>
      </c>
      <c r="G292" s="6">
        <v>144</v>
      </c>
      <c r="H292" s="5">
        <v>17.2</v>
      </c>
      <c r="I292" s="4">
        <f t="shared" si="6"/>
        <v>0.11944444444444444</v>
      </c>
    </row>
    <row r="293" spans="4:9">
      <c r="D293" s="15">
        <v>576004</v>
      </c>
      <c r="E293" s="6" t="s">
        <v>435</v>
      </c>
      <c r="F293" s="6" t="s">
        <v>79</v>
      </c>
      <c r="G293" s="6">
        <v>144</v>
      </c>
      <c r="H293" s="5">
        <v>17.2</v>
      </c>
      <c r="I293" s="4">
        <f t="shared" si="6"/>
        <v>0.11944444444444444</v>
      </c>
    </row>
    <row r="294" spans="4:9">
      <c r="D294" s="15">
        <v>576006</v>
      </c>
      <c r="E294" s="6" t="s">
        <v>435</v>
      </c>
      <c r="F294" s="6" t="s">
        <v>78</v>
      </c>
      <c r="G294" s="6">
        <v>144</v>
      </c>
      <c r="H294" s="5">
        <v>17.2</v>
      </c>
      <c r="I294" s="4">
        <f t="shared" si="6"/>
        <v>0.11944444444444444</v>
      </c>
    </row>
    <row r="295" spans="4:9">
      <c r="D295" s="15">
        <v>84157012</v>
      </c>
      <c r="E295" s="6" t="s">
        <v>435</v>
      </c>
      <c r="F295" s="6" t="s">
        <v>77</v>
      </c>
      <c r="G295" s="6">
        <v>144</v>
      </c>
      <c r="H295" s="5">
        <v>17.2</v>
      </c>
      <c r="I295" s="4">
        <f t="shared" si="6"/>
        <v>0.11944444444444444</v>
      </c>
    </row>
    <row r="296" spans="4:9">
      <c r="D296" s="15">
        <v>575997</v>
      </c>
      <c r="E296" s="6" t="s">
        <v>435</v>
      </c>
      <c r="F296" s="6" t="s">
        <v>614</v>
      </c>
      <c r="G296" s="6">
        <v>144</v>
      </c>
      <c r="H296" s="5">
        <v>17.2</v>
      </c>
      <c r="I296" s="4">
        <f t="shared" si="6"/>
        <v>0.11944444444444444</v>
      </c>
    </row>
    <row r="297" spans="4:9">
      <c r="D297" s="15">
        <v>576000</v>
      </c>
      <c r="E297" s="6" t="s">
        <v>435</v>
      </c>
      <c r="F297" s="6" t="s">
        <v>76</v>
      </c>
      <c r="G297" s="6">
        <v>144</v>
      </c>
      <c r="H297" s="5">
        <v>17.2</v>
      </c>
      <c r="I297" s="4">
        <f t="shared" si="6"/>
        <v>0.11944444444444444</v>
      </c>
    </row>
    <row r="298" spans="4:9">
      <c r="D298" s="15">
        <v>576003</v>
      </c>
      <c r="E298" s="6" t="s">
        <v>435</v>
      </c>
      <c r="F298" s="6" t="s">
        <v>613</v>
      </c>
      <c r="G298" s="6">
        <v>144</v>
      </c>
      <c r="H298" s="5">
        <v>17.2</v>
      </c>
      <c r="I298" s="4">
        <f t="shared" si="6"/>
        <v>0.11944444444444444</v>
      </c>
    </row>
    <row r="299" spans="4:9">
      <c r="D299" s="15">
        <v>67551222</v>
      </c>
      <c r="E299" s="6" t="s">
        <v>435</v>
      </c>
      <c r="F299" s="6" t="s">
        <v>612</v>
      </c>
      <c r="G299" s="6">
        <v>24</v>
      </c>
      <c r="H299" s="5">
        <v>1.27</v>
      </c>
      <c r="I299" s="4">
        <f t="shared" si="6"/>
        <v>5.2916666666666667E-2</v>
      </c>
    </row>
    <row r="300" spans="4:9">
      <c r="D300" s="15">
        <v>67663498</v>
      </c>
      <c r="E300" s="6" t="s">
        <v>435</v>
      </c>
      <c r="F300" s="6" t="s">
        <v>611</v>
      </c>
      <c r="G300" s="6">
        <v>24</v>
      </c>
      <c r="H300" s="5">
        <v>1.27</v>
      </c>
      <c r="I300" s="4">
        <f t="shared" si="6"/>
        <v>5.2916666666666667E-2</v>
      </c>
    </row>
    <row r="301" spans="4:9">
      <c r="D301" s="15">
        <v>67631819</v>
      </c>
      <c r="E301" s="6" t="s">
        <v>435</v>
      </c>
      <c r="F301" s="6" t="s">
        <v>610</v>
      </c>
      <c r="G301" s="6">
        <v>24</v>
      </c>
      <c r="H301" s="5">
        <v>1.27</v>
      </c>
      <c r="I301" s="4">
        <f t="shared" si="6"/>
        <v>5.2916666666666667E-2</v>
      </c>
    </row>
    <row r="302" spans="4:9">
      <c r="D302" s="15">
        <v>67140989</v>
      </c>
      <c r="E302" s="6" t="s">
        <v>435</v>
      </c>
      <c r="F302" s="6" t="s">
        <v>609</v>
      </c>
      <c r="G302" s="6">
        <v>20</v>
      </c>
      <c r="H302" s="5">
        <v>1.23</v>
      </c>
      <c r="I302" s="4">
        <f t="shared" si="6"/>
        <v>6.1499999999999999E-2</v>
      </c>
    </row>
    <row r="303" spans="4:9">
      <c r="D303" s="15">
        <v>67140992</v>
      </c>
      <c r="E303" s="6" t="s">
        <v>435</v>
      </c>
      <c r="F303" s="6" t="s">
        <v>608</v>
      </c>
      <c r="G303" s="6">
        <v>20</v>
      </c>
      <c r="H303" s="5">
        <v>1.23</v>
      </c>
      <c r="I303" s="4">
        <f t="shared" si="6"/>
        <v>6.1499999999999999E-2</v>
      </c>
    </row>
    <row r="304" spans="4:9">
      <c r="D304" s="15">
        <v>573812</v>
      </c>
      <c r="E304" s="6" t="s">
        <v>435</v>
      </c>
      <c r="F304" s="6" t="s">
        <v>607</v>
      </c>
      <c r="G304" s="6">
        <v>40</v>
      </c>
      <c r="H304" s="5">
        <v>33.6</v>
      </c>
      <c r="I304" s="4">
        <f t="shared" ref="I304:I335" si="7">H304/G304</f>
        <v>0.84000000000000008</v>
      </c>
    </row>
    <row r="305" spans="4:9">
      <c r="D305" s="49">
        <v>69584483</v>
      </c>
      <c r="E305" s="6" t="s">
        <v>435</v>
      </c>
      <c r="F305" s="13" t="s">
        <v>1553</v>
      </c>
      <c r="G305" s="6">
        <v>80</v>
      </c>
      <c r="H305" s="5">
        <v>32.6</v>
      </c>
      <c r="I305" s="4">
        <f t="shared" si="7"/>
        <v>0.40750000000000003</v>
      </c>
    </row>
    <row r="306" spans="4:9">
      <c r="D306" s="15">
        <v>573811</v>
      </c>
      <c r="E306" s="6" t="s">
        <v>435</v>
      </c>
      <c r="F306" s="6" t="s">
        <v>606</v>
      </c>
      <c r="G306" s="6">
        <v>80</v>
      </c>
      <c r="H306" s="5">
        <v>33.6</v>
      </c>
      <c r="I306" s="4">
        <f t="shared" si="7"/>
        <v>0.42000000000000004</v>
      </c>
    </row>
    <row r="307" spans="4:9">
      <c r="D307" s="15">
        <v>573819</v>
      </c>
      <c r="E307" s="6" t="s">
        <v>435</v>
      </c>
      <c r="F307" s="6" t="s">
        <v>75</v>
      </c>
      <c r="G307" s="6">
        <v>16</v>
      </c>
      <c r="H307" s="5">
        <v>19.899999999999999</v>
      </c>
      <c r="I307" s="4">
        <f t="shared" si="7"/>
        <v>1.2437499999999999</v>
      </c>
    </row>
    <row r="308" spans="4:9">
      <c r="D308" s="49">
        <v>69584482</v>
      </c>
      <c r="E308" s="6"/>
      <c r="F308" s="13" t="s">
        <v>1593</v>
      </c>
      <c r="G308" s="6">
        <v>192</v>
      </c>
      <c r="H308" s="5">
        <v>19.04</v>
      </c>
      <c r="I308" s="4">
        <f t="shared" si="7"/>
        <v>9.9166666666666667E-2</v>
      </c>
    </row>
    <row r="309" spans="4:9">
      <c r="D309" s="15">
        <v>573817</v>
      </c>
      <c r="E309" s="6" t="s">
        <v>435</v>
      </c>
      <c r="F309" s="6" t="s">
        <v>605</v>
      </c>
      <c r="G309" s="6">
        <v>192</v>
      </c>
      <c r="H309" s="5">
        <v>19.899999999999999</v>
      </c>
      <c r="I309" s="4">
        <f t="shared" si="7"/>
        <v>0.10364583333333333</v>
      </c>
    </row>
    <row r="310" spans="4:9">
      <c r="D310" s="15">
        <v>84156662</v>
      </c>
      <c r="E310" s="6" t="s">
        <v>435</v>
      </c>
      <c r="F310" s="6" t="s">
        <v>603</v>
      </c>
      <c r="G310" s="6">
        <v>24</v>
      </c>
      <c r="H310" s="5">
        <v>11.12</v>
      </c>
      <c r="I310" s="4">
        <f t="shared" si="7"/>
        <v>0.46333333333333332</v>
      </c>
    </row>
    <row r="311" spans="4:9">
      <c r="D311" s="15">
        <v>84156604</v>
      </c>
      <c r="E311" s="6" t="s">
        <v>435</v>
      </c>
      <c r="F311" s="6" t="s">
        <v>602</v>
      </c>
      <c r="G311" s="6">
        <v>24</v>
      </c>
      <c r="H311" s="5">
        <v>21.17</v>
      </c>
      <c r="I311" s="4">
        <f t="shared" si="7"/>
        <v>0.88208333333333344</v>
      </c>
    </row>
    <row r="312" spans="4:9">
      <c r="D312" s="15">
        <v>68292926</v>
      </c>
      <c r="E312" s="6" t="s">
        <v>435</v>
      </c>
      <c r="F312" s="6" t="s">
        <v>601</v>
      </c>
      <c r="G312" s="6">
        <v>24</v>
      </c>
      <c r="H312" s="5">
        <v>5.3</v>
      </c>
      <c r="I312" s="4">
        <f t="shared" si="7"/>
        <v>0.22083333333333333</v>
      </c>
    </row>
    <row r="313" spans="4:9">
      <c r="D313" s="15">
        <v>68647721</v>
      </c>
      <c r="E313" s="6" t="s">
        <v>435</v>
      </c>
      <c r="F313" s="6" t="s">
        <v>73</v>
      </c>
      <c r="G313" s="6">
        <v>24</v>
      </c>
      <c r="H313" s="5">
        <v>5.3</v>
      </c>
      <c r="I313" s="4">
        <f t="shared" si="7"/>
        <v>0.22083333333333333</v>
      </c>
    </row>
    <row r="314" spans="4:9">
      <c r="D314" s="15">
        <v>68645445</v>
      </c>
      <c r="E314" s="6" t="s">
        <v>435</v>
      </c>
      <c r="F314" s="6" t="s">
        <v>600</v>
      </c>
      <c r="G314" s="6">
        <v>96</v>
      </c>
      <c r="H314" s="5">
        <v>21.2</v>
      </c>
      <c r="I314" s="4">
        <f t="shared" si="7"/>
        <v>0.22083333333333333</v>
      </c>
    </row>
    <row r="315" spans="4:9">
      <c r="D315" s="15">
        <v>68646675</v>
      </c>
      <c r="E315" s="6" t="s">
        <v>435</v>
      </c>
      <c r="F315" s="6" t="s">
        <v>72</v>
      </c>
      <c r="G315" s="6">
        <v>96</v>
      </c>
      <c r="H315" s="5">
        <v>21.2</v>
      </c>
      <c r="I315" s="4">
        <f t="shared" si="7"/>
        <v>0.22083333333333333</v>
      </c>
    </row>
    <row r="316" spans="4:9">
      <c r="D316" s="15">
        <v>68647714</v>
      </c>
      <c r="E316" s="6" t="s">
        <v>435</v>
      </c>
      <c r="F316" s="6" t="s">
        <v>599</v>
      </c>
      <c r="G316" s="6">
        <v>96</v>
      </c>
      <c r="H316" s="5">
        <v>21.2</v>
      </c>
      <c r="I316" s="4">
        <f t="shared" si="7"/>
        <v>0.22083333333333333</v>
      </c>
    </row>
    <row r="317" spans="4:9">
      <c r="D317" s="15">
        <v>68646674</v>
      </c>
      <c r="E317" s="6" t="s">
        <v>435</v>
      </c>
      <c r="F317" s="6" t="s">
        <v>71</v>
      </c>
      <c r="G317" s="6">
        <v>96</v>
      </c>
      <c r="H317" s="5">
        <v>21.2</v>
      </c>
      <c r="I317" s="4">
        <f t="shared" si="7"/>
        <v>0.22083333333333333</v>
      </c>
    </row>
    <row r="318" spans="4:9">
      <c r="D318" s="15">
        <v>575167</v>
      </c>
      <c r="E318" s="6" t="s">
        <v>435</v>
      </c>
      <c r="F318" s="6" t="s">
        <v>598</v>
      </c>
      <c r="G318" s="6">
        <v>96</v>
      </c>
      <c r="H318" s="5">
        <v>21.2</v>
      </c>
      <c r="I318" s="4">
        <f t="shared" si="7"/>
        <v>0.22083333333333333</v>
      </c>
    </row>
    <row r="319" spans="4:9">
      <c r="D319" s="15">
        <v>68646586</v>
      </c>
      <c r="E319" s="6" t="s">
        <v>435</v>
      </c>
      <c r="F319" s="6" t="s">
        <v>70</v>
      </c>
      <c r="G319" s="6">
        <v>96</v>
      </c>
      <c r="H319" s="5">
        <v>21.2</v>
      </c>
      <c r="I319" s="4">
        <f t="shared" si="7"/>
        <v>0.22083333333333333</v>
      </c>
    </row>
    <row r="320" spans="4:9">
      <c r="D320" s="15">
        <v>68647716</v>
      </c>
      <c r="E320" s="6" t="s">
        <v>435</v>
      </c>
      <c r="F320" s="6" t="s">
        <v>597</v>
      </c>
      <c r="G320" s="6">
        <v>24</v>
      </c>
      <c r="H320" s="5">
        <v>10.6</v>
      </c>
      <c r="I320" s="4">
        <f t="shared" si="7"/>
        <v>0.44166666666666665</v>
      </c>
    </row>
    <row r="321" spans="4:9">
      <c r="D321" s="15">
        <v>400000137</v>
      </c>
      <c r="E321" s="6" t="s">
        <v>583</v>
      </c>
      <c r="F321" s="6" t="s">
        <v>596</v>
      </c>
      <c r="G321" s="6">
        <v>40</v>
      </c>
      <c r="H321" s="5">
        <v>6</v>
      </c>
      <c r="I321" s="4">
        <f t="shared" si="7"/>
        <v>0.15</v>
      </c>
    </row>
    <row r="322" spans="4:9">
      <c r="D322" s="15">
        <v>400000156</v>
      </c>
      <c r="E322" s="6" t="s">
        <v>583</v>
      </c>
      <c r="F322" s="6" t="s">
        <v>595</v>
      </c>
      <c r="G322" s="6">
        <v>40</v>
      </c>
      <c r="H322" s="5">
        <v>6</v>
      </c>
      <c r="I322" s="4">
        <f t="shared" si="7"/>
        <v>0.15</v>
      </c>
    </row>
    <row r="323" spans="4:9">
      <c r="D323" s="15">
        <v>400000161</v>
      </c>
      <c r="E323" s="6" t="s">
        <v>583</v>
      </c>
      <c r="F323" s="6" t="s">
        <v>594</v>
      </c>
      <c r="G323" s="6">
        <v>100</v>
      </c>
      <c r="H323" s="5">
        <v>3</v>
      </c>
      <c r="I323" s="4">
        <f t="shared" si="7"/>
        <v>0.03</v>
      </c>
    </row>
    <row r="324" spans="4:9">
      <c r="D324" s="15">
        <v>400000386</v>
      </c>
      <c r="E324" s="6" t="s">
        <v>583</v>
      </c>
      <c r="F324" s="6" t="s">
        <v>593</v>
      </c>
      <c r="G324" s="6">
        <v>100</v>
      </c>
      <c r="H324" s="5">
        <v>3</v>
      </c>
      <c r="I324" s="4">
        <f t="shared" si="7"/>
        <v>0.03</v>
      </c>
    </row>
    <row r="325" spans="4:9">
      <c r="D325" s="15">
        <v>400000033</v>
      </c>
      <c r="E325" s="6" t="s">
        <v>583</v>
      </c>
      <c r="F325" s="6" t="s">
        <v>592</v>
      </c>
      <c r="G325" s="6">
        <v>40</v>
      </c>
      <c r="H325" s="5">
        <v>25</v>
      </c>
      <c r="I325" s="4">
        <f t="shared" si="7"/>
        <v>0.625</v>
      </c>
    </row>
    <row r="326" spans="4:9">
      <c r="D326" s="15">
        <v>404000084</v>
      </c>
      <c r="E326" s="6" t="s">
        <v>583</v>
      </c>
      <c r="F326" s="6" t="s">
        <v>591</v>
      </c>
      <c r="G326" s="6">
        <v>20</v>
      </c>
      <c r="H326" s="5">
        <v>25</v>
      </c>
      <c r="I326" s="4">
        <f t="shared" si="7"/>
        <v>1.25</v>
      </c>
    </row>
    <row r="327" spans="4:9">
      <c r="D327" s="15">
        <v>4040000841</v>
      </c>
      <c r="E327" s="6" t="s">
        <v>583</v>
      </c>
      <c r="F327" s="6" t="s">
        <v>590</v>
      </c>
      <c r="G327" s="6">
        <v>40</v>
      </c>
      <c r="H327" s="5">
        <v>25</v>
      </c>
      <c r="I327" s="4">
        <f t="shared" si="7"/>
        <v>0.625</v>
      </c>
    </row>
    <row r="328" spans="4:9">
      <c r="D328" s="15">
        <v>404000140</v>
      </c>
      <c r="E328" s="6" t="s">
        <v>583</v>
      </c>
      <c r="F328" s="6" t="s">
        <v>589</v>
      </c>
      <c r="G328" s="6">
        <v>10</v>
      </c>
      <c r="H328" s="5">
        <v>25</v>
      </c>
      <c r="I328" s="4">
        <f t="shared" si="7"/>
        <v>2.5</v>
      </c>
    </row>
    <row r="329" spans="4:9">
      <c r="D329" s="15">
        <v>404000160</v>
      </c>
      <c r="E329" s="6" t="s">
        <v>583</v>
      </c>
      <c r="F329" s="6" t="s">
        <v>588</v>
      </c>
      <c r="G329" s="6">
        <v>8</v>
      </c>
      <c r="H329" s="5">
        <v>6</v>
      </c>
      <c r="I329" s="4">
        <f t="shared" si="7"/>
        <v>0.75</v>
      </c>
    </row>
    <row r="330" spans="4:9">
      <c r="D330" s="15">
        <v>400000221</v>
      </c>
      <c r="E330" s="6" t="s">
        <v>583</v>
      </c>
      <c r="F330" s="6" t="s">
        <v>587</v>
      </c>
      <c r="G330" s="6">
        <v>10</v>
      </c>
      <c r="H330" s="5">
        <v>8</v>
      </c>
      <c r="I330" s="4">
        <f t="shared" si="7"/>
        <v>0.8</v>
      </c>
    </row>
    <row r="331" spans="4:9">
      <c r="D331" s="15">
        <v>400000158</v>
      </c>
      <c r="E331" s="6" t="s">
        <v>583</v>
      </c>
      <c r="F331" s="6" t="s">
        <v>586</v>
      </c>
      <c r="G331" s="6">
        <v>24</v>
      </c>
      <c r="H331" s="5">
        <v>7</v>
      </c>
      <c r="I331" s="4">
        <f t="shared" si="7"/>
        <v>0.29166666666666669</v>
      </c>
    </row>
    <row r="332" spans="4:9">
      <c r="D332" s="15">
        <v>400000127</v>
      </c>
      <c r="E332" s="6" t="s">
        <v>583</v>
      </c>
      <c r="F332" s="6" t="s">
        <v>585</v>
      </c>
      <c r="G332" s="6">
        <v>10</v>
      </c>
      <c r="H332" s="5">
        <v>15.45</v>
      </c>
      <c r="I332" s="4">
        <f t="shared" si="7"/>
        <v>1.5449999999999999</v>
      </c>
    </row>
    <row r="333" spans="4:9">
      <c r="D333" s="15">
        <v>400000160</v>
      </c>
      <c r="E333" s="6" t="s">
        <v>583</v>
      </c>
      <c r="F333" s="6" t="s">
        <v>584</v>
      </c>
      <c r="G333" s="6">
        <v>12</v>
      </c>
      <c r="H333" s="5">
        <v>17</v>
      </c>
      <c r="I333" s="4">
        <f t="shared" si="7"/>
        <v>1.4166666666666667</v>
      </c>
    </row>
    <row r="334" spans="4:9">
      <c r="D334" s="15">
        <v>400000411</v>
      </c>
      <c r="E334" s="6" t="s">
        <v>583</v>
      </c>
      <c r="F334" s="6" t="s">
        <v>582</v>
      </c>
      <c r="G334" s="6">
        <v>10</v>
      </c>
      <c r="H334" s="5">
        <v>5</v>
      </c>
      <c r="I334" s="4">
        <f t="shared" si="7"/>
        <v>0.5</v>
      </c>
    </row>
    <row r="335" spans="4:9">
      <c r="D335" s="15">
        <v>400000412</v>
      </c>
      <c r="E335" s="6" t="s">
        <v>583</v>
      </c>
      <c r="F335" s="6" t="s">
        <v>581</v>
      </c>
      <c r="G335" s="6">
        <v>10</v>
      </c>
      <c r="H335" s="5">
        <v>3</v>
      </c>
      <c r="I335" s="4">
        <f t="shared" si="7"/>
        <v>0.3</v>
      </c>
    </row>
    <row r="336" spans="4:9">
      <c r="D336" s="15">
        <v>400000048</v>
      </c>
      <c r="E336" s="6" t="s">
        <v>583</v>
      </c>
      <c r="F336" s="6" t="s">
        <v>580</v>
      </c>
      <c r="G336" s="6">
        <v>12</v>
      </c>
      <c r="H336" s="5">
        <v>3</v>
      </c>
      <c r="I336" s="4">
        <f t="shared" ref="I336:I367" si="8">H336/G336</f>
        <v>0.25</v>
      </c>
    </row>
    <row r="337" spans="4:9">
      <c r="D337" s="15" t="s">
        <v>579</v>
      </c>
      <c r="E337" s="6" t="s">
        <v>583</v>
      </c>
      <c r="F337" s="6" t="s">
        <v>578</v>
      </c>
      <c r="G337" s="6">
        <v>10</v>
      </c>
      <c r="H337" s="5">
        <v>15.45</v>
      </c>
      <c r="I337" s="4">
        <f t="shared" si="8"/>
        <v>1.5449999999999999</v>
      </c>
    </row>
    <row r="338" spans="4:9">
      <c r="D338" s="15" t="s">
        <v>577</v>
      </c>
      <c r="E338" s="6" t="s">
        <v>1066</v>
      </c>
      <c r="F338" s="6" t="s">
        <v>576</v>
      </c>
      <c r="G338" s="6">
        <v>0</v>
      </c>
      <c r="H338" s="5"/>
      <c r="I338" s="4" t="e">
        <f t="shared" si="8"/>
        <v>#DIV/0!</v>
      </c>
    </row>
    <row r="339" spans="4:9">
      <c r="D339" s="15" t="s">
        <v>575</v>
      </c>
      <c r="E339" s="6" t="s">
        <v>1066</v>
      </c>
      <c r="F339" s="6" t="s">
        <v>574</v>
      </c>
      <c r="G339" s="6">
        <v>0</v>
      </c>
      <c r="H339" s="5"/>
      <c r="I339" s="4" t="e">
        <f t="shared" si="8"/>
        <v>#DIV/0!</v>
      </c>
    </row>
    <row r="340" spans="4:9">
      <c r="D340" s="15" t="s">
        <v>573</v>
      </c>
      <c r="E340" s="6" t="s">
        <v>237</v>
      </c>
      <c r="F340" s="6" t="s">
        <v>572</v>
      </c>
      <c r="G340" s="6">
        <v>12</v>
      </c>
      <c r="H340" s="5">
        <v>0</v>
      </c>
      <c r="I340" s="4">
        <f t="shared" si="8"/>
        <v>0</v>
      </c>
    </row>
    <row r="341" spans="4:9">
      <c r="D341" s="15" t="s">
        <v>571</v>
      </c>
      <c r="E341" s="6" t="s">
        <v>1066</v>
      </c>
      <c r="F341" s="6" t="s">
        <v>570</v>
      </c>
      <c r="G341" s="6">
        <v>60</v>
      </c>
      <c r="H341" s="5">
        <v>5</v>
      </c>
      <c r="I341" s="4">
        <f t="shared" si="8"/>
        <v>8.3333333333333329E-2</v>
      </c>
    </row>
    <row r="342" spans="4:9">
      <c r="D342" s="15" t="s">
        <v>569</v>
      </c>
      <c r="E342" s="6" t="s">
        <v>1066</v>
      </c>
      <c r="F342" s="6" t="s">
        <v>568</v>
      </c>
      <c r="G342" s="6">
        <v>1</v>
      </c>
      <c r="H342" s="5">
        <v>0.6</v>
      </c>
      <c r="I342" s="4">
        <f t="shared" si="8"/>
        <v>0.6</v>
      </c>
    </row>
    <row r="343" spans="4:9">
      <c r="D343" s="15" t="s">
        <v>567</v>
      </c>
      <c r="E343" s="6" t="s">
        <v>1066</v>
      </c>
      <c r="F343" s="6" t="s">
        <v>566</v>
      </c>
      <c r="G343" s="6">
        <v>60</v>
      </c>
      <c r="H343" s="5">
        <v>5</v>
      </c>
      <c r="I343" s="4">
        <f t="shared" si="8"/>
        <v>8.3333333333333329E-2</v>
      </c>
    </row>
    <row r="344" spans="4:9">
      <c r="D344" s="15" t="s">
        <v>565</v>
      </c>
      <c r="E344" s="6" t="s">
        <v>1066</v>
      </c>
      <c r="F344" s="6" t="s">
        <v>564</v>
      </c>
      <c r="G344" s="6">
        <v>1</v>
      </c>
      <c r="H344" s="5">
        <v>0.6</v>
      </c>
      <c r="I344" s="4">
        <f t="shared" si="8"/>
        <v>0.6</v>
      </c>
    </row>
    <row r="345" spans="4:9">
      <c r="D345" s="15" t="s">
        <v>563</v>
      </c>
      <c r="E345" s="6" t="s">
        <v>457</v>
      </c>
      <c r="F345" s="6" t="s">
        <v>562</v>
      </c>
      <c r="G345" s="6">
        <v>24</v>
      </c>
      <c r="H345" s="5">
        <v>18.8</v>
      </c>
      <c r="I345" s="4">
        <f t="shared" si="8"/>
        <v>0.78333333333333333</v>
      </c>
    </row>
    <row r="346" spans="4:9">
      <c r="D346" s="15" t="s">
        <v>561</v>
      </c>
      <c r="E346" s="6" t="s">
        <v>457</v>
      </c>
      <c r="F346" s="6" t="s">
        <v>560</v>
      </c>
      <c r="G346" s="6">
        <v>24</v>
      </c>
      <c r="H346" s="5">
        <v>18.8</v>
      </c>
      <c r="I346" s="4">
        <f t="shared" si="8"/>
        <v>0.78333333333333333</v>
      </c>
    </row>
    <row r="347" spans="4:9">
      <c r="D347" s="15" t="s">
        <v>559</v>
      </c>
      <c r="E347" s="6" t="s">
        <v>457</v>
      </c>
      <c r="F347" s="6" t="s">
        <v>558</v>
      </c>
      <c r="G347" s="6">
        <v>24</v>
      </c>
      <c r="H347" s="5">
        <v>18.8</v>
      </c>
      <c r="I347" s="4">
        <f t="shared" si="8"/>
        <v>0.78333333333333333</v>
      </c>
    </row>
    <row r="348" spans="4:9">
      <c r="D348" s="15" t="s">
        <v>557</v>
      </c>
      <c r="E348" s="6" t="s">
        <v>457</v>
      </c>
      <c r="F348" s="6" t="s">
        <v>556</v>
      </c>
      <c r="G348" s="6">
        <v>24</v>
      </c>
      <c r="H348" s="5">
        <v>18.8</v>
      </c>
      <c r="I348" s="4">
        <f t="shared" si="8"/>
        <v>0.78333333333333333</v>
      </c>
    </row>
    <row r="349" spans="4:9">
      <c r="D349" s="15" t="s">
        <v>555</v>
      </c>
      <c r="E349" s="6" t="s">
        <v>457</v>
      </c>
      <c r="F349" s="6" t="s">
        <v>554</v>
      </c>
      <c r="G349" s="6">
        <v>24</v>
      </c>
      <c r="H349" s="5">
        <v>18.55</v>
      </c>
      <c r="I349" s="4">
        <f t="shared" si="8"/>
        <v>0.7729166666666667</v>
      </c>
    </row>
    <row r="350" spans="4:9">
      <c r="D350" s="15" t="s">
        <v>553</v>
      </c>
      <c r="E350" s="6" t="s">
        <v>457</v>
      </c>
      <c r="F350" s="6" t="s">
        <v>552</v>
      </c>
      <c r="G350" s="6">
        <v>24</v>
      </c>
      <c r="H350" s="5">
        <v>18.55</v>
      </c>
      <c r="I350" s="4">
        <f t="shared" si="8"/>
        <v>0.7729166666666667</v>
      </c>
    </row>
    <row r="351" spans="4:9">
      <c r="D351" s="15" t="s">
        <v>551</v>
      </c>
      <c r="E351" s="6" t="s">
        <v>457</v>
      </c>
      <c r="F351" s="6" t="s">
        <v>550</v>
      </c>
      <c r="G351" s="6">
        <v>24</v>
      </c>
      <c r="H351" s="5">
        <v>18.55</v>
      </c>
      <c r="I351" s="4">
        <f t="shared" si="8"/>
        <v>0.7729166666666667</v>
      </c>
    </row>
    <row r="352" spans="4:9">
      <c r="D352" s="15" t="s">
        <v>129</v>
      </c>
      <c r="E352" s="6" t="s">
        <v>457</v>
      </c>
      <c r="F352" s="6" t="s">
        <v>128</v>
      </c>
      <c r="G352" s="6">
        <v>24</v>
      </c>
      <c r="H352" s="5">
        <v>17.5</v>
      </c>
      <c r="I352" s="4">
        <f t="shared" si="8"/>
        <v>0.72916666666666663</v>
      </c>
    </row>
    <row r="353" spans="4:9">
      <c r="D353" s="15" t="s">
        <v>549</v>
      </c>
      <c r="E353" s="6" t="s">
        <v>457</v>
      </c>
      <c r="F353" s="6" t="s">
        <v>548</v>
      </c>
      <c r="G353" s="6">
        <v>24</v>
      </c>
      <c r="H353" s="5">
        <v>17.5</v>
      </c>
      <c r="I353" s="4">
        <f t="shared" si="8"/>
        <v>0.72916666666666663</v>
      </c>
    </row>
    <row r="354" spans="4:9">
      <c r="D354" s="15" t="s">
        <v>547</v>
      </c>
      <c r="E354" s="6" t="s">
        <v>457</v>
      </c>
      <c r="F354" s="6" t="s">
        <v>546</v>
      </c>
      <c r="G354" s="6">
        <v>24</v>
      </c>
      <c r="H354" s="5">
        <v>17.5</v>
      </c>
      <c r="I354" s="4">
        <f t="shared" si="8"/>
        <v>0.72916666666666663</v>
      </c>
    </row>
    <row r="355" spans="4:9">
      <c r="D355" s="15" t="s">
        <v>545</v>
      </c>
      <c r="E355" s="6" t="s">
        <v>457</v>
      </c>
      <c r="F355" s="6" t="s">
        <v>544</v>
      </c>
      <c r="G355" s="6">
        <v>48</v>
      </c>
      <c r="H355" s="5">
        <v>16.649999999999999</v>
      </c>
      <c r="I355" s="4">
        <f t="shared" si="8"/>
        <v>0.34687499999999999</v>
      </c>
    </row>
    <row r="356" spans="4:9">
      <c r="D356" s="15" t="s">
        <v>543</v>
      </c>
      <c r="E356" s="6" t="s">
        <v>457</v>
      </c>
      <c r="F356" s="6" t="s">
        <v>542</v>
      </c>
      <c r="G356" s="6">
        <v>48</v>
      </c>
      <c r="H356" s="5">
        <v>16.649999999999999</v>
      </c>
      <c r="I356" s="4">
        <f t="shared" si="8"/>
        <v>0.34687499999999999</v>
      </c>
    </row>
    <row r="357" spans="4:9">
      <c r="D357" s="15" t="s">
        <v>127</v>
      </c>
      <c r="E357" s="6" t="s">
        <v>457</v>
      </c>
      <c r="F357" s="6" t="s">
        <v>126</v>
      </c>
      <c r="G357" s="6">
        <v>48</v>
      </c>
      <c r="H357" s="5">
        <v>16.649999999999999</v>
      </c>
      <c r="I357" s="4">
        <f t="shared" si="8"/>
        <v>0.34687499999999999</v>
      </c>
    </row>
    <row r="358" spans="4:9">
      <c r="D358" s="15" t="s">
        <v>541</v>
      </c>
      <c r="E358" s="6" t="s">
        <v>457</v>
      </c>
      <c r="F358" s="6" t="s">
        <v>540</v>
      </c>
      <c r="G358" s="6">
        <v>48</v>
      </c>
      <c r="H358" s="5">
        <v>16.649999999999999</v>
      </c>
      <c r="I358" s="4">
        <f t="shared" si="8"/>
        <v>0.34687499999999999</v>
      </c>
    </row>
    <row r="359" spans="4:9">
      <c r="D359" s="15" t="s">
        <v>125</v>
      </c>
      <c r="E359" s="6" t="s">
        <v>457</v>
      </c>
      <c r="F359" s="6" t="s">
        <v>124</v>
      </c>
      <c r="G359" s="6">
        <v>24</v>
      </c>
      <c r="H359" s="5">
        <v>10.6</v>
      </c>
      <c r="I359" s="4">
        <f t="shared" si="8"/>
        <v>0.44166666666666665</v>
      </c>
    </row>
    <row r="360" spans="4:9">
      <c r="D360" s="15" t="s">
        <v>123</v>
      </c>
      <c r="E360" s="6" t="s">
        <v>457</v>
      </c>
      <c r="F360" s="6" t="s">
        <v>122</v>
      </c>
      <c r="G360" s="6">
        <v>24</v>
      </c>
      <c r="H360" s="5">
        <v>10.6</v>
      </c>
      <c r="I360" s="4">
        <f t="shared" si="8"/>
        <v>0.44166666666666665</v>
      </c>
    </row>
    <row r="361" spans="4:9">
      <c r="D361" s="15" t="s">
        <v>539</v>
      </c>
      <c r="E361" s="6" t="s">
        <v>457</v>
      </c>
      <c r="F361" s="6" t="s">
        <v>538</v>
      </c>
      <c r="G361" s="6">
        <v>6</v>
      </c>
      <c r="H361" s="5">
        <v>24</v>
      </c>
      <c r="I361" s="4">
        <f t="shared" si="8"/>
        <v>4</v>
      </c>
    </row>
    <row r="362" spans="4:9">
      <c r="D362" s="15" t="s">
        <v>121</v>
      </c>
      <c r="E362" s="6" t="s">
        <v>457</v>
      </c>
      <c r="F362" s="6" t="s">
        <v>120</v>
      </c>
      <c r="G362" s="6">
        <v>6</v>
      </c>
      <c r="H362" s="5">
        <v>24</v>
      </c>
      <c r="I362" s="4">
        <f t="shared" si="8"/>
        <v>4</v>
      </c>
    </row>
    <row r="363" spans="4:9">
      <c r="D363" s="15" t="s">
        <v>537</v>
      </c>
      <c r="E363" s="6" t="s">
        <v>457</v>
      </c>
      <c r="F363" s="6" t="s">
        <v>536</v>
      </c>
      <c r="G363" s="6">
        <v>6</v>
      </c>
      <c r="H363" s="5">
        <v>39</v>
      </c>
      <c r="I363" s="4">
        <f t="shared" si="8"/>
        <v>6.5</v>
      </c>
    </row>
    <row r="364" spans="4:9">
      <c r="D364" s="15" t="s">
        <v>119</v>
      </c>
      <c r="E364" s="6" t="s">
        <v>457</v>
      </c>
      <c r="F364" s="6" t="s">
        <v>118</v>
      </c>
      <c r="G364" s="6">
        <v>18</v>
      </c>
      <c r="H364" s="5">
        <v>15.75</v>
      </c>
      <c r="I364" s="4">
        <f t="shared" si="8"/>
        <v>0.875</v>
      </c>
    </row>
    <row r="365" spans="4:9">
      <c r="D365" s="15" t="s">
        <v>535</v>
      </c>
      <c r="E365" s="6" t="s">
        <v>457</v>
      </c>
      <c r="F365" s="6" t="s">
        <v>534</v>
      </c>
      <c r="G365" s="6">
        <v>12</v>
      </c>
      <c r="H365" s="5">
        <v>21</v>
      </c>
      <c r="I365" s="4">
        <f t="shared" si="8"/>
        <v>1.75</v>
      </c>
    </row>
    <row r="366" spans="4:9">
      <c r="D366" s="15" t="s">
        <v>117</v>
      </c>
      <c r="E366" s="6" t="s">
        <v>457</v>
      </c>
      <c r="F366" s="6" t="s">
        <v>116</v>
      </c>
      <c r="G366" s="6">
        <v>12</v>
      </c>
      <c r="H366" s="5">
        <v>30</v>
      </c>
      <c r="I366" s="4">
        <f t="shared" si="8"/>
        <v>2.5</v>
      </c>
    </row>
    <row r="367" spans="4:9">
      <c r="D367" s="15" t="s">
        <v>533</v>
      </c>
      <c r="E367" s="6" t="s">
        <v>457</v>
      </c>
      <c r="F367" s="6" t="s">
        <v>532</v>
      </c>
      <c r="G367" s="6">
        <v>24</v>
      </c>
      <c r="H367" s="5">
        <v>12</v>
      </c>
      <c r="I367" s="4">
        <f t="shared" si="8"/>
        <v>0.5</v>
      </c>
    </row>
    <row r="368" spans="4:9">
      <c r="D368" s="15" t="s">
        <v>115</v>
      </c>
      <c r="E368" s="6" t="s">
        <v>457</v>
      </c>
      <c r="F368" s="6" t="s">
        <v>114</v>
      </c>
      <c r="G368" s="6">
        <v>48</v>
      </c>
      <c r="H368" s="5">
        <v>31.5</v>
      </c>
      <c r="I368" s="4">
        <f t="shared" ref="I368:I399" si="9">H368/G368</f>
        <v>0.65625</v>
      </c>
    </row>
    <row r="369" spans="4:9">
      <c r="D369" s="15" t="s">
        <v>113</v>
      </c>
      <c r="E369" s="6" t="s">
        <v>457</v>
      </c>
      <c r="F369" s="6" t="s">
        <v>112</v>
      </c>
      <c r="G369" s="6">
        <v>24</v>
      </c>
      <c r="H369" s="5">
        <v>22.5</v>
      </c>
      <c r="I369" s="4">
        <f t="shared" si="9"/>
        <v>0.9375</v>
      </c>
    </row>
    <row r="370" spans="4:9">
      <c r="D370" s="15" t="s">
        <v>531</v>
      </c>
      <c r="E370" s="6" t="s">
        <v>457</v>
      </c>
      <c r="F370" s="6" t="s">
        <v>530</v>
      </c>
      <c r="G370" s="6">
        <v>12</v>
      </c>
      <c r="H370" s="5">
        <v>21.75</v>
      </c>
      <c r="I370" s="4">
        <f t="shared" si="9"/>
        <v>1.8125</v>
      </c>
    </row>
    <row r="371" spans="4:9">
      <c r="D371" s="15" t="s">
        <v>529</v>
      </c>
      <c r="E371" s="6" t="s">
        <v>457</v>
      </c>
      <c r="F371" s="6" t="s">
        <v>528</v>
      </c>
      <c r="G371" s="6">
        <v>48</v>
      </c>
      <c r="H371" s="5">
        <v>16.5</v>
      </c>
      <c r="I371" s="4">
        <f t="shared" si="9"/>
        <v>0.34375</v>
      </c>
    </row>
    <row r="372" spans="4:9">
      <c r="D372" s="15" t="s">
        <v>527</v>
      </c>
      <c r="E372" s="6" t="s">
        <v>457</v>
      </c>
      <c r="F372" s="6" t="s">
        <v>526</v>
      </c>
      <c r="G372" s="6">
        <v>18</v>
      </c>
      <c r="H372" s="5">
        <v>15.75</v>
      </c>
      <c r="I372" s="4">
        <f t="shared" si="9"/>
        <v>0.875</v>
      </c>
    </row>
    <row r="373" spans="4:9">
      <c r="D373" s="15" t="s">
        <v>525</v>
      </c>
      <c r="E373" s="6" t="s">
        <v>457</v>
      </c>
      <c r="F373" s="6" t="s">
        <v>524</v>
      </c>
      <c r="G373" s="6">
        <v>24</v>
      </c>
      <c r="H373" s="5">
        <v>12</v>
      </c>
      <c r="I373" s="4">
        <f t="shared" si="9"/>
        <v>0.5</v>
      </c>
    </row>
    <row r="374" spans="4:9">
      <c r="D374" s="15" t="s">
        <v>523</v>
      </c>
      <c r="E374" s="6" t="s">
        <v>457</v>
      </c>
      <c r="F374" s="6" t="s">
        <v>522</v>
      </c>
      <c r="G374" s="6">
        <v>12</v>
      </c>
      <c r="H374" s="5">
        <v>21.75</v>
      </c>
      <c r="I374" s="4">
        <f t="shared" si="9"/>
        <v>1.8125</v>
      </c>
    </row>
    <row r="375" spans="4:9">
      <c r="D375" s="15" t="s">
        <v>111</v>
      </c>
      <c r="E375" s="6" t="s">
        <v>457</v>
      </c>
      <c r="F375" s="6" t="s">
        <v>110</v>
      </c>
      <c r="G375" s="6">
        <v>48</v>
      </c>
      <c r="H375" s="5">
        <v>16.5</v>
      </c>
      <c r="I375" s="4">
        <f t="shared" si="9"/>
        <v>0.34375</v>
      </c>
    </row>
    <row r="376" spans="4:9">
      <c r="D376" s="15" t="s">
        <v>521</v>
      </c>
      <c r="E376" s="6" t="s">
        <v>457</v>
      </c>
      <c r="F376" s="6" t="s">
        <v>520</v>
      </c>
      <c r="G376" s="6">
        <v>18</v>
      </c>
      <c r="H376" s="5">
        <v>15.75</v>
      </c>
      <c r="I376" s="4">
        <f t="shared" si="9"/>
        <v>0.875</v>
      </c>
    </row>
    <row r="377" spans="4:9">
      <c r="D377" s="15" t="s">
        <v>519</v>
      </c>
      <c r="E377" s="6" t="s">
        <v>457</v>
      </c>
      <c r="F377" s="6" t="s">
        <v>518</v>
      </c>
      <c r="G377" s="6">
        <v>24</v>
      </c>
      <c r="H377" s="5">
        <v>12</v>
      </c>
      <c r="I377" s="4">
        <f t="shared" si="9"/>
        <v>0.5</v>
      </c>
    </row>
    <row r="378" spans="4:9">
      <c r="D378" s="15" t="s">
        <v>109</v>
      </c>
      <c r="E378" s="6" t="s">
        <v>457</v>
      </c>
      <c r="F378" s="6" t="s">
        <v>108</v>
      </c>
      <c r="G378" s="6">
        <v>24</v>
      </c>
      <c r="H378" s="5">
        <v>10.6</v>
      </c>
      <c r="I378" s="4">
        <f t="shared" si="9"/>
        <v>0.44166666666666665</v>
      </c>
    </row>
    <row r="379" spans="4:9">
      <c r="D379" s="15" t="s">
        <v>107</v>
      </c>
      <c r="E379" s="6" t="s">
        <v>457</v>
      </c>
      <c r="F379" s="6" t="s">
        <v>106</v>
      </c>
      <c r="G379" s="6">
        <v>24</v>
      </c>
      <c r="H379" s="5">
        <v>10.6</v>
      </c>
      <c r="I379" s="4">
        <f t="shared" si="9"/>
        <v>0.44166666666666665</v>
      </c>
    </row>
    <row r="380" spans="4:9">
      <c r="D380" s="15" t="s">
        <v>517</v>
      </c>
      <c r="E380" s="6" t="s">
        <v>457</v>
      </c>
      <c r="F380" s="6" t="s">
        <v>516</v>
      </c>
      <c r="G380" s="6">
        <v>24</v>
      </c>
      <c r="H380" s="5">
        <v>23.25</v>
      </c>
      <c r="I380" s="4">
        <f t="shared" si="9"/>
        <v>0.96875</v>
      </c>
    </row>
    <row r="381" spans="4:9">
      <c r="D381" s="15" t="s">
        <v>515</v>
      </c>
      <c r="E381" s="6" t="s">
        <v>457</v>
      </c>
      <c r="F381" s="6" t="s">
        <v>514</v>
      </c>
      <c r="G381" s="6">
        <v>24</v>
      </c>
      <c r="H381" s="5">
        <v>13.13</v>
      </c>
      <c r="I381" s="4">
        <f t="shared" si="9"/>
        <v>0.54708333333333337</v>
      </c>
    </row>
    <row r="382" spans="4:9">
      <c r="D382" s="15" t="s">
        <v>105</v>
      </c>
      <c r="E382" s="6" t="s">
        <v>457</v>
      </c>
      <c r="F382" s="6" t="s">
        <v>104</v>
      </c>
      <c r="G382" s="6">
        <v>48</v>
      </c>
      <c r="H382" s="5">
        <v>16.649999999999999</v>
      </c>
      <c r="I382" s="4">
        <f t="shared" si="9"/>
        <v>0.34687499999999999</v>
      </c>
    </row>
    <row r="383" spans="4:9">
      <c r="D383" s="15" t="s">
        <v>103</v>
      </c>
      <c r="E383" s="6" t="s">
        <v>457</v>
      </c>
      <c r="F383" s="6" t="s">
        <v>513</v>
      </c>
      <c r="G383" s="6">
        <v>24</v>
      </c>
      <c r="H383" s="5">
        <v>17.5</v>
      </c>
      <c r="I383" s="4">
        <f t="shared" si="9"/>
        <v>0.72916666666666663</v>
      </c>
    </row>
    <row r="384" spans="4:9">
      <c r="D384" s="15" t="s">
        <v>512</v>
      </c>
      <c r="E384" s="6" t="s">
        <v>457</v>
      </c>
      <c r="F384" s="6" t="s">
        <v>511</v>
      </c>
      <c r="G384" s="6">
        <v>24</v>
      </c>
      <c r="H384" s="5">
        <v>17.5</v>
      </c>
      <c r="I384" s="4">
        <f t="shared" si="9"/>
        <v>0.72916666666666663</v>
      </c>
    </row>
    <row r="385" spans="4:9">
      <c r="D385" s="15" t="s">
        <v>510</v>
      </c>
      <c r="E385" s="6" t="s">
        <v>457</v>
      </c>
      <c r="F385" s="6" t="s">
        <v>509</v>
      </c>
      <c r="G385" s="6">
        <v>24</v>
      </c>
      <c r="H385" s="5">
        <v>17.5</v>
      </c>
      <c r="I385" s="4">
        <f t="shared" si="9"/>
        <v>0.72916666666666663</v>
      </c>
    </row>
    <row r="386" spans="4:9">
      <c r="D386" s="15" t="s">
        <v>102</v>
      </c>
      <c r="E386" s="6" t="s">
        <v>457</v>
      </c>
      <c r="F386" s="6" t="s">
        <v>101</v>
      </c>
      <c r="G386" s="6">
        <v>24</v>
      </c>
      <c r="H386" s="5">
        <v>17.5</v>
      </c>
      <c r="I386" s="4">
        <f t="shared" si="9"/>
        <v>0.72916666666666663</v>
      </c>
    </row>
    <row r="387" spans="4:9">
      <c r="D387" s="15" t="s">
        <v>508</v>
      </c>
      <c r="E387" s="6" t="s">
        <v>457</v>
      </c>
      <c r="F387" s="6" t="s">
        <v>507</v>
      </c>
      <c r="G387" s="6">
        <v>24</v>
      </c>
      <c r="H387" s="5">
        <v>17.5</v>
      </c>
      <c r="I387" s="4">
        <f t="shared" si="9"/>
        <v>0.72916666666666663</v>
      </c>
    </row>
    <row r="388" spans="4:9">
      <c r="D388" s="15" t="s">
        <v>506</v>
      </c>
      <c r="E388" s="6" t="s">
        <v>457</v>
      </c>
      <c r="F388" s="6" t="s">
        <v>505</v>
      </c>
      <c r="G388" s="6">
        <v>24</v>
      </c>
      <c r="H388" s="5">
        <v>17.5</v>
      </c>
      <c r="I388" s="4">
        <f t="shared" si="9"/>
        <v>0.72916666666666663</v>
      </c>
    </row>
    <row r="389" spans="4:9">
      <c r="D389" s="15" t="s">
        <v>504</v>
      </c>
      <c r="E389" s="6" t="s">
        <v>457</v>
      </c>
      <c r="F389" s="6" t="s">
        <v>503</v>
      </c>
      <c r="G389" s="6">
        <v>12</v>
      </c>
      <c r="H389" s="5">
        <v>26.5</v>
      </c>
      <c r="I389" s="4">
        <f t="shared" si="9"/>
        <v>2.2083333333333335</v>
      </c>
    </row>
    <row r="390" spans="4:9">
      <c r="D390" s="15" t="s">
        <v>502</v>
      </c>
      <c r="E390" s="6" t="s">
        <v>457</v>
      </c>
      <c r="F390" s="6" t="s">
        <v>501</v>
      </c>
      <c r="G390" s="6">
        <v>12</v>
      </c>
      <c r="H390" s="5">
        <v>26.5</v>
      </c>
      <c r="I390" s="4">
        <f t="shared" si="9"/>
        <v>2.2083333333333335</v>
      </c>
    </row>
    <row r="391" spans="4:9">
      <c r="D391" s="15" t="s">
        <v>500</v>
      </c>
      <c r="E391" s="6" t="s">
        <v>457</v>
      </c>
      <c r="F391" s="6" t="s">
        <v>499</v>
      </c>
      <c r="G391" s="6">
        <v>24</v>
      </c>
      <c r="H391" s="5">
        <v>10.6</v>
      </c>
      <c r="I391" s="4">
        <f t="shared" si="9"/>
        <v>0.44166666666666665</v>
      </c>
    </row>
    <row r="392" spans="4:9">
      <c r="D392" s="15" t="s">
        <v>498</v>
      </c>
      <c r="E392" s="6" t="s">
        <v>457</v>
      </c>
      <c r="F392" s="6" t="s">
        <v>497</v>
      </c>
      <c r="G392" s="6">
        <v>24</v>
      </c>
      <c r="H392" s="5">
        <v>10.6</v>
      </c>
      <c r="I392" s="4">
        <f t="shared" si="9"/>
        <v>0.44166666666666665</v>
      </c>
    </row>
    <row r="393" spans="4:9">
      <c r="D393" s="15" t="s">
        <v>496</v>
      </c>
      <c r="E393" s="6" t="s">
        <v>457</v>
      </c>
      <c r="F393" s="6" t="s">
        <v>495</v>
      </c>
      <c r="G393" s="6">
        <v>24</v>
      </c>
      <c r="H393" s="5">
        <v>10.6</v>
      </c>
      <c r="I393" s="4">
        <f t="shared" si="9"/>
        <v>0.44166666666666665</v>
      </c>
    </row>
    <row r="394" spans="4:9">
      <c r="D394" s="15" t="s">
        <v>494</v>
      </c>
      <c r="E394" s="6" t="s">
        <v>457</v>
      </c>
      <c r="F394" s="6" t="s">
        <v>493</v>
      </c>
      <c r="G394" s="6">
        <v>24</v>
      </c>
      <c r="H394" s="5">
        <v>10.6</v>
      </c>
      <c r="I394" s="4">
        <f t="shared" si="9"/>
        <v>0.44166666666666665</v>
      </c>
    </row>
    <row r="395" spans="4:9">
      <c r="D395" s="15" t="s">
        <v>492</v>
      </c>
      <c r="E395" s="6" t="s">
        <v>457</v>
      </c>
      <c r="F395" s="6" t="s">
        <v>491</v>
      </c>
      <c r="G395" s="6">
        <v>24</v>
      </c>
      <c r="H395" s="5">
        <v>19.850000000000001</v>
      </c>
      <c r="I395" s="4">
        <f t="shared" si="9"/>
        <v>0.82708333333333339</v>
      </c>
    </row>
    <row r="396" spans="4:9">
      <c r="D396" s="15" t="s">
        <v>490</v>
      </c>
      <c r="E396" s="6" t="s">
        <v>457</v>
      </c>
      <c r="F396" s="6" t="s">
        <v>489</v>
      </c>
      <c r="G396" s="6">
        <v>12</v>
      </c>
      <c r="H396" s="5">
        <v>20.55</v>
      </c>
      <c r="I396" s="4">
        <f t="shared" si="9"/>
        <v>1.7125000000000001</v>
      </c>
    </row>
    <row r="397" spans="4:9">
      <c r="D397" s="15" t="s">
        <v>488</v>
      </c>
      <c r="E397" s="6" t="s">
        <v>457</v>
      </c>
      <c r="F397" s="6" t="s">
        <v>487</v>
      </c>
      <c r="G397" s="6">
        <v>1</v>
      </c>
      <c r="H397" s="5">
        <v>17.649999999999999</v>
      </c>
      <c r="I397" s="4">
        <f t="shared" si="9"/>
        <v>17.649999999999999</v>
      </c>
    </row>
    <row r="398" spans="4:9">
      <c r="D398" s="15" t="s">
        <v>486</v>
      </c>
      <c r="E398" s="6" t="s">
        <v>457</v>
      </c>
      <c r="F398" s="6" t="s">
        <v>485</v>
      </c>
      <c r="G398" s="6">
        <v>24</v>
      </c>
      <c r="H398" s="5">
        <v>19.850000000000001</v>
      </c>
      <c r="I398" s="4">
        <f t="shared" si="9"/>
        <v>0.82708333333333339</v>
      </c>
    </row>
    <row r="399" spans="4:9">
      <c r="D399" s="15" t="s">
        <v>484</v>
      </c>
      <c r="E399" s="6" t="s">
        <v>457</v>
      </c>
      <c r="F399" s="6" t="s">
        <v>483</v>
      </c>
      <c r="G399" s="6">
        <v>3</v>
      </c>
      <c r="H399" s="5">
        <v>27.15</v>
      </c>
      <c r="I399" s="4">
        <f t="shared" si="9"/>
        <v>9.0499999999999989</v>
      </c>
    </row>
    <row r="400" spans="4:9">
      <c r="D400" s="15" t="s">
        <v>482</v>
      </c>
      <c r="E400" s="6" t="s">
        <v>457</v>
      </c>
      <c r="F400" s="6" t="s">
        <v>481</v>
      </c>
      <c r="G400" s="6">
        <v>144</v>
      </c>
      <c r="H400" s="5">
        <v>16.55</v>
      </c>
      <c r="I400" s="4">
        <f t="shared" ref="I400:I431" si="10">H400/G400</f>
        <v>0.11493055555555556</v>
      </c>
    </row>
    <row r="401" spans="4:9">
      <c r="D401" s="15" t="s">
        <v>480</v>
      </c>
      <c r="E401" s="6" t="s">
        <v>457</v>
      </c>
      <c r="F401" s="6" t="s">
        <v>479</v>
      </c>
      <c r="G401" s="6">
        <v>24</v>
      </c>
      <c r="H401" s="5">
        <v>13.25</v>
      </c>
      <c r="I401" s="4">
        <f t="shared" si="10"/>
        <v>0.55208333333333337</v>
      </c>
    </row>
    <row r="402" spans="4:9">
      <c r="D402" s="15" t="s">
        <v>100</v>
      </c>
      <c r="E402" s="6" t="s">
        <v>457</v>
      </c>
      <c r="F402" s="6" t="s">
        <v>99</v>
      </c>
      <c r="G402" s="6">
        <v>24</v>
      </c>
      <c r="H402" s="5">
        <v>13.25</v>
      </c>
      <c r="I402" s="4">
        <f t="shared" si="10"/>
        <v>0.55208333333333337</v>
      </c>
    </row>
    <row r="403" spans="4:9">
      <c r="D403" s="15" t="s">
        <v>98</v>
      </c>
      <c r="E403" s="6" t="s">
        <v>457</v>
      </c>
      <c r="F403" s="6" t="s">
        <v>97</v>
      </c>
      <c r="G403" s="6">
        <v>24</v>
      </c>
      <c r="H403" s="5">
        <v>13.25</v>
      </c>
      <c r="I403" s="4">
        <f t="shared" si="10"/>
        <v>0.55208333333333337</v>
      </c>
    </row>
    <row r="404" spans="4:9">
      <c r="D404" s="15" t="s">
        <v>478</v>
      </c>
      <c r="E404" s="6" t="s">
        <v>457</v>
      </c>
      <c r="F404" s="6" t="s">
        <v>477</v>
      </c>
      <c r="G404" s="6">
        <v>12</v>
      </c>
      <c r="H404" s="5">
        <v>26.5</v>
      </c>
      <c r="I404" s="4">
        <f t="shared" si="10"/>
        <v>2.2083333333333335</v>
      </c>
    </row>
    <row r="405" spans="4:9">
      <c r="D405" s="15" t="s">
        <v>96</v>
      </c>
      <c r="E405" s="6" t="s">
        <v>457</v>
      </c>
      <c r="F405" s="6" t="s">
        <v>95</v>
      </c>
      <c r="G405" s="6">
        <v>48</v>
      </c>
      <c r="H405" s="5">
        <v>12</v>
      </c>
      <c r="I405" s="4">
        <f t="shared" si="10"/>
        <v>0.25</v>
      </c>
    </row>
    <row r="406" spans="4:9">
      <c r="D406" s="15" t="s">
        <v>94</v>
      </c>
      <c r="E406" s="6" t="s">
        <v>457</v>
      </c>
      <c r="F406" s="6" t="s">
        <v>93</v>
      </c>
      <c r="G406" s="6">
        <v>48</v>
      </c>
      <c r="H406" s="5">
        <v>18</v>
      </c>
      <c r="I406" s="4">
        <f t="shared" si="10"/>
        <v>0.375</v>
      </c>
    </row>
    <row r="407" spans="4:9">
      <c r="D407" s="15" t="s">
        <v>476</v>
      </c>
      <c r="E407" s="6" t="s">
        <v>457</v>
      </c>
      <c r="F407" s="6" t="s">
        <v>475</v>
      </c>
      <c r="G407" s="6">
        <v>18</v>
      </c>
      <c r="H407" s="5">
        <v>15.75</v>
      </c>
      <c r="I407" s="4">
        <f t="shared" si="10"/>
        <v>0.875</v>
      </c>
    </row>
    <row r="408" spans="4:9">
      <c r="D408" s="15" t="s">
        <v>474</v>
      </c>
      <c r="E408" s="6" t="s">
        <v>457</v>
      </c>
      <c r="F408" s="6" t="s">
        <v>473</v>
      </c>
      <c r="G408" s="6">
        <v>24</v>
      </c>
      <c r="H408" s="5">
        <v>5.61</v>
      </c>
      <c r="I408" s="4">
        <f t="shared" si="10"/>
        <v>0.23375000000000001</v>
      </c>
    </row>
    <row r="409" spans="4:9">
      <c r="D409" s="15" t="s">
        <v>472</v>
      </c>
      <c r="E409" s="6" t="s">
        <v>457</v>
      </c>
      <c r="F409" s="6" t="s">
        <v>471</v>
      </c>
      <c r="G409" s="6">
        <v>24</v>
      </c>
      <c r="H409" s="5">
        <v>5.61</v>
      </c>
      <c r="I409" s="4">
        <f t="shared" si="10"/>
        <v>0.23375000000000001</v>
      </c>
    </row>
    <row r="410" spans="4:9">
      <c r="D410" s="15" t="s">
        <v>470</v>
      </c>
      <c r="E410" s="6" t="s">
        <v>457</v>
      </c>
      <c r="F410" s="6" t="s">
        <v>469</v>
      </c>
      <c r="G410" s="6">
        <v>24</v>
      </c>
      <c r="H410" s="5">
        <v>5.61</v>
      </c>
      <c r="I410" s="4">
        <f t="shared" si="10"/>
        <v>0.23375000000000001</v>
      </c>
    </row>
    <row r="411" spans="4:9">
      <c r="D411" s="15" t="s">
        <v>92</v>
      </c>
      <c r="E411" s="6" t="s">
        <v>457</v>
      </c>
      <c r="F411" s="6" t="s">
        <v>91</v>
      </c>
      <c r="G411" s="6">
        <v>6</v>
      </c>
      <c r="H411" s="5">
        <v>33</v>
      </c>
      <c r="I411" s="4">
        <f t="shared" si="10"/>
        <v>5.5</v>
      </c>
    </row>
    <row r="412" spans="4:9">
      <c r="D412" s="15" t="s">
        <v>468</v>
      </c>
      <c r="E412" s="6" t="s">
        <v>457</v>
      </c>
      <c r="F412" s="6" t="s">
        <v>467</v>
      </c>
      <c r="G412" s="6">
        <v>6</v>
      </c>
      <c r="H412" s="5">
        <v>33</v>
      </c>
      <c r="I412" s="4">
        <f t="shared" si="10"/>
        <v>5.5</v>
      </c>
    </row>
    <row r="413" spans="4:9">
      <c r="D413" s="15" t="s">
        <v>466</v>
      </c>
      <c r="E413" s="6" t="s">
        <v>457</v>
      </c>
      <c r="F413" s="6" t="s">
        <v>465</v>
      </c>
      <c r="G413" s="6">
        <v>6</v>
      </c>
      <c r="H413" s="5">
        <v>33</v>
      </c>
      <c r="I413" s="4">
        <f t="shared" si="10"/>
        <v>5.5</v>
      </c>
    </row>
    <row r="414" spans="4:9">
      <c r="D414" s="15" t="s">
        <v>464</v>
      </c>
      <c r="E414" s="6" t="s">
        <v>457</v>
      </c>
      <c r="F414" s="6" t="s">
        <v>463</v>
      </c>
      <c r="G414" s="6">
        <v>6</v>
      </c>
      <c r="H414" s="5">
        <v>33</v>
      </c>
      <c r="I414" s="4">
        <f t="shared" si="10"/>
        <v>5.5</v>
      </c>
    </row>
    <row r="415" spans="4:9">
      <c r="D415" s="15" t="s">
        <v>462</v>
      </c>
      <c r="E415" s="6" t="s">
        <v>457</v>
      </c>
      <c r="F415" s="6" t="s">
        <v>461</v>
      </c>
      <c r="G415" s="6">
        <v>12</v>
      </c>
      <c r="H415" s="5">
        <v>26.5</v>
      </c>
      <c r="I415" s="4">
        <f t="shared" si="10"/>
        <v>2.2083333333333335</v>
      </c>
    </row>
    <row r="416" spans="4:9">
      <c r="D416" s="15" t="s">
        <v>460</v>
      </c>
      <c r="E416" s="6" t="s">
        <v>457</v>
      </c>
      <c r="F416" s="6" t="s">
        <v>459</v>
      </c>
      <c r="G416" s="6">
        <v>12</v>
      </c>
      <c r="H416" s="5">
        <v>26.5</v>
      </c>
      <c r="I416" s="4">
        <f t="shared" si="10"/>
        <v>2.2083333333333335</v>
      </c>
    </row>
    <row r="417" spans="4:9">
      <c r="D417" s="15" t="s">
        <v>458</v>
      </c>
      <c r="E417" s="6" t="s">
        <v>457</v>
      </c>
      <c r="F417" s="6" t="s">
        <v>456</v>
      </c>
      <c r="G417" s="6">
        <v>12</v>
      </c>
      <c r="H417" s="5">
        <v>26.5</v>
      </c>
      <c r="I417" s="4">
        <f t="shared" si="10"/>
        <v>2.2083333333333335</v>
      </c>
    </row>
    <row r="418" spans="4:9">
      <c r="D418" s="15" t="s">
        <v>455</v>
      </c>
      <c r="E418" s="6" t="s">
        <v>1072</v>
      </c>
      <c r="F418" s="6" t="s">
        <v>454</v>
      </c>
      <c r="G418" s="6">
        <v>6</v>
      </c>
      <c r="H418" s="5">
        <v>27.15</v>
      </c>
      <c r="I418" s="4">
        <f t="shared" si="10"/>
        <v>4.5249999999999995</v>
      </c>
    </row>
    <row r="419" spans="4:9">
      <c r="D419" s="15" t="s">
        <v>453</v>
      </c>
      <c r="E419" s="6" t="s">
        <v>448</v>
      </c>
      <c r="F419" s="6" t="s">
        <v>452</v>
      </c>
      <c r="G419" s="6">
        <v>12</v>
      </c>
      <c r="H419" s="5">
        <v>26.5</v>
      </c>
      <c r="I419" s="4">
        <f t="shared" si="10"/>
        <v>2.2083333333333335</v>
      </c>
    </row>
    <row r="420" spans="4:9">
      <c r="D420" s="15" t="s">
        <v>451</v>
      </c>
      <c r="E420" s="6" t="s">
        <v>448</v>
      </c>
      <c r="F420" s="6" t="s">
        <v>450</v>
      </c>
      <c r="G420" s="6">
        <v>12</v>
      </c>
      <c r="H420" s="5">
        <v>37.31</v>
      </c>
      <c r="I420" s="4">
        <f t="shared" si="10"/>
        <v>3.1091666666666669</v>
      </c>
    </row>
    <row r="421" spans="4:9">
      <c r="D421" s="15" t="s">
        <v>449</v>
      </c>
      <c r="E421" s="6" t="s">
        <v>448</v>
      </c>
      <c r="F421" s="6" t="s">
        <v>447</v>
      </c>
      <c r="G421" s="6">
        <v>4</v>
      </c>
      <c r="H421" s="5">
        <v>23.29</v>
      </c>
      <c r="I421" s="4">
        <f t="shared" si="10"/>
        <v>5.8224999999999998</v>
      </c>
    </row>
    <row r="422" spans="4:9">
      <c r="D422" s="15" t="s">
        <v>13</v>
      </c>
      <c r="E422" s="6" t="s">
        <v>448</v>
      </c>
      <c r="F422" s="6" t="s">
        <v>12</v>
      </c>
      <c r="G422" s="6">
        <v>12</v>
      </c>
      <c r="H422" s="5">
        <v>37.31</v>
      </c>
      <c r="I422" s="4">
        <f t="shared" si="10"/>
        <v>3.1091666666666669</v>
      </c>
    </row>
    <row r="423" spans="4:9">
      <c r="D423" s="15" t="s">
        <v>11</v>
      </c>
      <c r="E423" s="6" t="s">
        <v>448</v>
      </c>
      <c r="F423" s="6" t="s">
        <v>10</v>
      </c>
      <c r="G423" s="6">
        <v>4</v>
      </c>
      <c r="H423" s="5">
        <v>23.29</v>
      </c>
      <c r="I423" s="4">
        <f t="shared" si="10"/>
        <v>5.8224999999999998</v>
      </c>
    </row>
    <row r="424" spans="4:9">
      <c r="D424" s="15">
        <v>1008012355</v>
      </c>
      <c r="E424" s="6" t="s">
        <v>441</v>
      </c>
      <c r="F424" s="6" t="s">
        <v>446</v>
      </c>
      <c r="G424" s="6">
        <v>24</v>
      </c>
      <c r="H424" s="5">
        <v>32.799999999999997</v>
      </c>
      <c r="I424" s="4">
        <f t="shared" si="10"/>
        <v>1.3666666666666665</v>
      </c>
    </row>
    <row r="425" spans="4:9">
      <c r="D425" s="15">
        <v>1008011812</v>
      </c>
      <c r="E425" s="6" t="s">
        <v>441</v>
      </c>
      <c r="F425" s="6" t="s">
        <v>445</v>
      </c>
      <c r="G425" s="6">
        <v>28</v>
      </c>
      <c r="H425" s="5">
        <v>17.899999999999999</v>
      </c>
      <c r="I425" s="4">
        <f t="shared" si="10"/>
        <v>0.63928571428571423</v>
      </c>
    </row>
    <row r="426" spans="4:9">
      <c r="D426" s="15">
        <v>1008013091</v>
      </c>
      <c r="E426" s="6" t="s">
        <v>441</v>
      </c>
      <c r="F426" s="6" t="s">
        <v>14</v>
      </c>
      <c r="G426" s="6">
        <v>5</v>
      </c>
      <c r="H426" s="5">
        <v>2.95</v>
      </c>
      <c r="I426" s="4">
        <f t="shared" si="10"/>
        <v>0.59000000000000008</v>
      </c>
    </row>
    <row r="427" spans="4:9">
      <c r="D427" s="15">
        <v>1008014100</v>
      </c>
      <c r="E427" s="6" t="s">
        <v>441</v>
      </c>
      <c r="F427" s="6" t="s">
        <v>444</v>
      </c>
      <c r="G427" s="6">
        <v>16</v>
      </c>
      <c r="H427" s="5">
        <v>17.649999999999999</v>
      </c>
      <c r="I427" s="4">
        <f t="shared" si="10"/>
        <v>1.1031249999999999</v>
      </c>
    </row>
    <row r="428" spans="4:9">
      <c r="D428" s="15" t="s">
        <v>1388</v>
      </c>
      <c r="E428" s="6" t="s">
        <v>441</v>
      </c>
      <c r="F428" s="6" t="s">
        <v>443</v>
      </c>
      <c r="G428" s="6">
        <v>28</v>
      </c>
      <c r="H428" s="5">
        <v>9.26</v>
      </c>
      <c r="I428" s="4">
        <f t="shared" si="10"/>
        <v>0.33071428571428568</v>
      </c>
    </row>
    <row r="429" spans="4:9">
      <c r="D429" s="15">
        <v>1008071533</v>
      </c>
      <c r="E429" s="6" t="s">
        <v>441</v>
      </c>
      <c r="F429" s="6" t="s">
        <v>442</v>
      </c>
      <c r="G429" s="6">
        <v>28</v>
      </c>
      <c r="H429" s="5">
        <v>11.15</v>
      </c>
      <c r="I429" s="4">
        <f t="shared" si="10"/>
        <v>0.39821428571428574</v>
      </c>
    </row>
    <row r="430" spans="4:9">
      <c r="D430" s="19">
        <v>1008010115</v>
      </c>
      <c r="E430" s="6" t="s">
        <v>441</v>
      </c>
      <c r="F430" s="18" t="s">
        <v>1078</v>
      </c>
      <c r="G430" s="6">
        <v>5</v>
      </c>
      <c r="H430" s="5">
        <v>2.95</v>
      </c>
      <c r="I430" s="4">
        <f t="shared" si="10"/>
        <v>0.59000000000000008</v>
      </c>
    </row>
    <row r="431" spans="4:9">
      <c r="D431" s="15">
        <v>1008010113</v>
      </c>
      <c r="E431" s="6" t="s">
        <v>441</v>
      </c>
      <c r="F431" s="6" t="s">
        <v>440</v>
      </c>
      <c r="G431" s="6">
        <v>5</v>
      </c>
      <c r="H431" s="5">
        <v>1.98</v>
      </c>
      <c r="I431" s="4">
        <f t="shared" si="10"/>
        <v>0.39600000000000002</v>
      </c>
    </row>
    <row r="432" spans="4:9">
      <c r="D432" s="15">
        <v>1008094293</v>
      </c>
      <c r="E432" s="6" t="s">
        <v>441</v>
      </c>
      <c r="F432" s="6" t="s">
        <v>439</v>
      </c>
      <c r="G432" s="6">
        <v>28</v>
      </c>
      <c r="H432" s="5">
        <v>16.05</v>
      </c>
      <c r="I432" s="4">
        <f t="shared" ref="I432:I463" si="11">H432/G432</f>
        <v>0.57321428571428579</v>
      </c>
    </row>
    <row r="433" spans="4:9">
      <c r="D433" s="15">
        <v>21325</v>
      </c>
      <c r="E433" s="6" t="s">
        <v>438</v>
      </c>
      <c r="F433" s="6" t="s">
        <v>437</v>
      </c>
      <c r="G433" s="6">
        <v>24</v>
      </c>
      <c r="H433" s="5">
        <v>12.75</v>
      </c>
      <c r="I433" s="4">
        <f t="shared" si="11"/>
        <v>0.53125</v>
      </c>
    </row>
    <row r="434" spans="4:9">
      <c r="D434" s="15">
        <v>68649837</v>
      </c>
      <c r="E434" s="6" t="s">
        <v>435</v>
      </c>
      <c r="F434" s="6" t="s">
        <v>436</v>
      </c>
      <c r="G434" s="6">
        <v>24</v>
      </c>
      <c r="H434" s="5">
        <v>11.12</v>
      </c>
      <c r="I434" s="4">
        <f t="shared" si="11"/>
        <v>0.46333333333333332</v>
      </c>
    </row>
    <row r="435" spans="4:9">
      <c r="D435" s="15">
        <v>84168937</v>
      </c>
      <c r="E435" s="6" t="s">
        <v>435</v>
      </c>
      <c r="F435" s="6" t="s">
        <v>434</v>
      </c>
      <c r="G435" s="6">
        <v>24</v>
      </c>
      <c r="H435" s="5">
        <v>12.02</v>
      </c>
      <c r="I435" s="4">
        <f t="shared" si="11"/>
        <v>0.50083333333333335</v>
      </c>
    </row>
    <row r="436" spans="4:9">
      <c r="D436" s="15" t="s">
        <v>433</v>
      </c>
      <c r="E436" s="6" t="s">
        <v>242</v>
      </c>
      <c r="F436" s="6" t="s">
        <v>432</v>
      </c>
      <c r="G436" s="6">
        <v>100</v>
      </c>
      <c r="H436" s="5">
        <v>3</v>
      </c>
      <c r="I436" s="4">
        <f t="shared" si="11"/>
        <v>0.03</v>
      </c>
    </row>
    <row r="437" spans="4:9">
      <c r="D437" s="15" t="s">
        <v>47</v>
      </c>
      <c r="E437" s="6" t="s">
        <v>242</v>
      </c>
      <c r="F437" s="6" t="s">
        <v>46</v>
      </c>
      <c r="G437" s="6">
        <v>6</v>
      </c>
      <c r="H437" s="5">
        <v>12.7</v>
      </c>
      <c r="I437" s="4">
        <f t="shared" si="11"/>
        <v>2.1166666666666667</v>
      </c>
    </row>
    <row r="438" spans="4:9">
      <c r="D438" s="15" t="s">
        <v>431</v>
      </c>
      <c r="E438" s="6" t="s">
        <v>242</v>
      </c>
      <c r="F438" s="6" t="s">
        <v>430</v>
      </c>
      <c r="G438" s="6">
        <v>6</v>
      </c>
      <c r="H438" s="5">
        <v>12.7</v>
      </c>
      <c r="I438" s="4">
        <f t="shared" si="11"/>
        <v>2.1166666666666667</v>
      </c>
    </row>
    <row r="439" spans="4:9">
      <c r="D439" s="15" t="s">
        <v>429</v>
      </c>
      <c r="E439" s="6" t="s">
        <v>242</v>
      </c>
      <c r="F439" s="6" t="s">
        <v>428</v>
      </c>
      <c r="G439" s="6">
        <v>6</v>
      </c>
      <c r="H439" s="5">
        <v>12.7</v>
      </c>
      <c r="I439" s="4">
        <f t="shared" si="11"/>
        <v>2.1166666666666667</v>
      </c>
    </row>
    <row r="440" spans="4:9">
      <c r="D440" s="15" t="s">
        <v>427</v>
      </c>
      <c r="E440" s="6" t="s">
        <v>242</v>
      </c>
      <c r="F440" s="6" t="s">
        <v>426</v>
      </c>
      <c r="G440" s="6">
        <v>100</v>
      </c>
      <c r="H440" s="5">
        <v>1</v>
      </c>
      <c r="I440" s="4">
        <f t="shared" si="11"/>
        <v>0.01</v>
      </c>
    </row>
    <row r="441" spans="4:9">
      <c r="D441" s="15" t="s">
        <v>425</v>
      </c>
      <c r="E441" s="6" t="s">
        <v>242</v>
      </c>
      <c r="F441" s="6" t="s">
        <v>424</v>
      </c>
      <c r="G441" s="6">
        <v>90</v>
      </c>
      <c r="H441" s="5">
        <v>8</v>
      </c>
      <c r="I441" s="4">
        <f t="shared" si="11"/>
        <v>8.8888888888888892E-2</v>
      </c>
    </row>
    <row r="442" spans="4:9">
      <c r="D442" s="15" t="s">
        <v>423</v>
      </c>
      <c r="E442" s="6" t="s">
        <v>242</v>
      </c>
      <c r="F442" s="6" t="s">
        <v>422</v>
      </c>
      <c r="G442" s="6">
        <v>60</v>
      </c>
      <c r="H442" s="5">
        <v>15</v>
      </c>
      <c r="I442" s="4">
        <f t="shared" si="11"/>
        <v>0.25</v>
      </c>
    </row>
    <row r="443" spans="4:9">
      <c r="D443" s="15" t="s">
        <v>421</v>
      </c>
      <c r="E443" s="6" t="s">
        <v>242</v>
      </c>
      <c r="F443" s="6" t="s">
        <v>420</v>
      </c>
      <c r="G443" s="6">
        <v>20</v>
      </c>
      <c r="H443" s="5">
        <v>15</v>
      </c>
      <c r="I443" s="4">
        <f t="shared" si="11"/>
        <v>0.75</v>
      </c>
    </row>
    <row r="444" spans="4:9">
      <c r="D444" s="15" t="s">
        <v>419</v>
      </c>
      <c r="E444" s="6" t="s">
        <v>242</v>
      </c>
      <c r="F444" s="6" t="s">
        <v>418</v>
      </c>
      <c r="G444" s="6">
        <v>75</v>
      </c>
      <c r="H444" s="5">
        <v>12</v>
      </c>
      <c r="I444" s="4">
        <f t="shared" si="11"/>
        <v>0.16</v>
      </c>
    </row>
    <row r="445" spans="4:9">
      <c r="D445" s="15" t="s">
        <v>417</v>
      </c>
      <c r="E445" s="6" t="s">
        <v>242</v>
      </c>
      <c r="F445" s="6" t="s">
        <v>416</v>
      </c>
      <c r="G445" s="6">
        <v>48</v>
      </c>
      <c r="H445" s="5">
        <v>5</v>
      </c>
      <c r="I445" s="4">
        <f t="shared" si="11"/>
        <v>0.10416666666666667</v>
      </c>
    </row>
    <row r="446" spans="4:9">
      <c r="D446" s="15" t="s">
        <v>415</v>
      </c>
      <c r="E446" s="6" t="s">
        <v>242</v>
      </c>
      <c r="F446" s="6" t="s">
        <v>414</v>
      </c>
      <c r="G446" s="6">
        <v>24</v>
      </c>
      <c r="H446" s="5">
        <v>5</v>
      </c>
      <c r="I446" s="4">
        <f t="shared" si="11"/>
        <v>0.20833333333333334</v>
      </c>
    </row>
    <row r="447" spans="4:9">
      <c r="D447" s="15" t="s">
        <v>413</v>
      </c>
      <c r="E447" s="6" t="s">
        <v>242</v>
      </c>
      <c r="F447" s="6" t="s">
        <v>412</v>
      </c>
      <c r="G447" s="6">
        <v>24</v>
      </c>
      <c r="H447" s="5">
        <v>5</v>
      </c>
      <c r="I447" s="4">
        <f t="shared" si="11"/>
        <v>0.20833333333333334</v>
      </c>
    </row>
    <row r="448" spans="4:9">
      <c r="D448" s="15" t="s">
        <v>411</v>
      </c>
      <c r="E448" s="6" t="s">
        <v>242</v>
      </c>
      <c r="F448" s="6" t="s">
        <v>410</v>
      </c>
      <c r="G448" s="6">
        <v>6</v>
      </c>
      <c r="H448" s="5"/>
      <c r="I448" s="4">
        <f t="shared" si="11"/>
        <v>0</v>
      </c>
    </row>
    <row r="449" spans="4:9">
      <c r="D449" s="15" t="s">
        <v>409</v>
      </c>
      <c r="E449" s="6" t="s">
        <v>242</v>
      </c>
      <c r="F449" s="6" t="s">
        <v>408</v>
      </c>
      <c r="G449" s="6">
        <v>72</v>
      </c>
      <c r="H449" s="5">
        <v>11.95</v>
      </c>
      <c r="I449" s="4">
        <f t="shared" si="11"/>
        <v>0.16597222222222222</v>
      </c>
    </row>
    <row r="450" spans="4:9">
      <c r="D450" s="15" t="s">
        <v>407</v>
      </c>
      <c r="E450" s="6" t="s">
        <v>242</v>
      </c>
      <c r="F450" s="6" t="s">
        <v>406</v>
      </c>
      <c r="G450" s="6">
        <v>72</v>
      </c>
      <c r="H450" s="5">
        <v>11.95</v>
      </c>
      <c r="I450" s="4">
        <f t="shared" si="11"/>
        <v>0.16597222222222222</v>
      </c>
    </row>
    <row r="451" spans="4:9">
      <c r="D451" s="15" t="s">
        <v>405</v>
      </c>
      <c r="E451" s="6" t="s">
        <v>242</v>
      </c>
      <c r="F451" s="6" t="s">
        <v>404</v>
      </c>
      <c r="G451" s="6">
        <v>48</v>
      </c>
      <c r="H451" s="5">
        <v>11.95</v>
      </c>
      <c r="I451" s="4">
        <f t="shared" si="11"/>
        <v>0.24895833333333331</v>
      </c>
    </row>
    <row r="452" spans="4:9">
      <c r="D452" s="15" t="s">
        <v>403</v>
      </c>
      <c r="E452" s="6" t="s">
        <v>242</v>
      </c>
      <c r="F452" s="6" t="s">
        <v>402</v>
      </c>
      <c r="G452" s="6">
        <v>6</v>
      </c>
      <c r="H452" s="5">
        <v>12.7</v>
      </c>
      <c r="I452" s="4">
        <f t="shared" si="11"/>
        <v>2.1166666666666667</v>
      </c>
    </row>
    <row r="453" spans="4:9">
      <c r="D453" s="15" t="s">
        <v>401</v>
      </c>
      <c r="E453" s="6" t="s">
        <v>242</v>
      </c>
      <c r="F453" s="6" t="s">
        <v>400</v>
      </c>
      <c r="G453" s="6">
        <v>6</v>
      </c>
      <c r="H453" s="5">
        <v>12.7</v>
      </c>
      <c r="I453" s="4">
        <f t="shared" si="11"/>
        <v>2.1166666666666667</v>
      </c>
    </row>
    <row r="454" spans="4:9">
      <c r="D454" s="15" t="s">
        <v>43</v>
      </c>
      <c r="E454" s="6" t="s">
        <v>242</v>
      </c>
      <c r="F454" s="6" t="s">
        <v>42</v>
      </c>
      <c r="G454" s="6">
        <v>1</v>
      </c>
      <c r="H454" s="5">
        <v>2</v>
      </c>
      <c r="I454" s="4">
        <f t="shared" si="11"/>
        <v>2</v>
      </c>
    </row>
    <row r="455" spans="4:9">
      <c r="D455" s="15" t="s">
        <v>399</v>
      </c>
      <c r="E455" s="6" t="s">
        <v>242</v>
      </c>
      <c r="F455" s="6" t="s">
        <v>398</v>
      </c>
      <c r="G455" s="6">
        <v>1</v>
      </c>
      <c r="H455" s="5"/>
      <c r="I455" s="4">
        <f t="shared" si="11"/>
        <v>0</v>
      </c>
    </row>
    <row r="456" spans="4:9">
      <c r="D456" s="15" t="s">
        <v>41</v>
      </c>
      <c r="E456" s="6" t="s">
        <v>242</v>
      </c>
      <c r="F456" s="6" t="s">
        <v>40</v>
      </c>
      <c r="G456" s="6">
        <v>96</v>
      </c>
      <c r="H456" s="5">
        <v>23.3</v>
      </c>
      <c r="I456" s="4">
        <f t="shared" si="11"/>
        <v>0.24270833333333333</v>
      </c>
    </row>
    <row r="457" spans="4:9">
      <c r="D457" s="15" t="s">
        <v>39</v>
      </c>
      <c r="E457" s="6" t="s">
        <v>242</v>
      </c>
      <c r="F457" s="6" t="s">
        <v>38</v>
      </c>
      <c r="G457" s="6">
        <v>96</v>
      </c>
      <c r="H457" s="5">
        <v>23.3</v>
      </c>
      <c r="I457" s="4">
        <f t="shared" si="11"/>
        <v>0.24270833333333333</v>
      </c>
    </row>
    <row r="458" spans="4:9">
      <c r="D458" s="15" t="s">
        <v>397</v>
      </c>
      <c r="E458" s="6" t="s">
        <v>242</v>
      </c>
      <c r="F458" s="6" t="s">
        <v>396</v>
      </c>
      <c r="G458" s="6">
        <v>96</v>
      </c>
      <c r="H458" s="5">
        <v>23.3</v>
      </c>
      <c r="I458" s="4">
        <f t="shared" si="11"/>
        <v>0.24270833333333333</v>
      </c>
    </row>
    <row r="459" spans="4:9">
      <c r="D459" s="15" t="s">
        <v>37</v>
      </c>
      <c r="E459" s="6" t="s">
        <v>242</v>
      </c>
      <c r="F459" s="6" t="s">
        <v>36</v>
      </c>
      <c r="G459" s="6">
        <v>96</v>
      </c>
      <c r="H459" s="5">
        <v>23.3</v>
      </c>
      <c r="I459" s="4">
        <f t="shared" si="11"/>
        <v>0.24270833333333333</v>
      </c>
    </row>
    <row r="460" spans="4:9">
      <c r="D460" s="15" t="s">
        <v>395</v>
      </c>
      <c r="E460" s="6" t="s">
        <v>242</v>
      </c>
      <c r="F460" s="6" t="s">
        <v>394</v>
      </c>
      <c r="G460" s="6">
        <v>42</v>
      </c>
      <c r="H460" s="5">
        <v>19.95</v>
      </c>
      <c r="I460" s="4">
        <f t="shared" si="11"/>
        <v>0.47499999999999998</v>
      </c>
    </row>
    <row r="461" spans="4:9">
      <c r="D461" s="15" t="s">
        <v>393</v>
      </c>
      <c r="E461" s="6" t="s">
        <v>242</v>
      </c>
      <c r="F461" s="6" t="s">
        <v>392</v>
      </c>
      <c r="G461" s="6">
        <v>48</v>
      </c>
      <c r="H461" s="5">
        <v>24.9</v>
      </c>
      <c r="I461" s="4">
        <f t="shared" si="11"/>
        <v>0.51874999999999993</v>
      </c>
    </row>
    <row r="462" spans="4:9">
      <c r="D462" s="15" t="s">
        <v>35</v>
      </c>
      <c r="E462" s="6" t="s">
        <v>242</v>
      </c>
      <c r="F462" s="6" t="s">
        <v>34</v>
      </c>
      <c r="G462" s="6">
        <v>6</v>
      </c>
      <c r="H462" s="5">
        <v>18.25</v>
      </c>
      <c r="I462" s="4">
        <f t="shared" si="11"/>
        <v>3.0416666666666665</v>
      </c>
    </row>
    <row r="463" spans="4:9">
      <c r="D463" s="15" t="s">
        <v>33</v>
      </c>
      <c r="E463" s="6" t="s">
        <v>242</v>
      </c>
      <c r="F463" s="6" t="s">
        <v>32</v>
      </c>
      <c r="G463" s="6">
        <v>42</v>
      </c>
      <c r="H463" s="5">
        <v>23.15</v>
      </c>
      <c r="I463" s="4">
        <f t="shared" si="11"/>
        <v>0.55119047619047612</v>
      </c>
    </row>
    <row r="464" spans="4:9">
      <c r="D464" s="15" t="s">
        <v>391</v>
      </c>
      <c r="E464" s="6" t="s">
        <v>242</v>
      </c>
      <c r="F464" s="6" t="s">
        <v>390</v>
      </c>
      <c r="G464" s="6">
        <v>6</v>
      </c>
      <c r="H464" s="5">
        <v>9</v>
      </c>
      <c r="I464" s="4">
        <f t="shared" ref="I464:I481" si="12">H464/G464</f>
        <v>1.5</v>
      </c>
    </row>
    <row r="465" spans="4:9">
      <c r="D465" s="15" t="s">
        <v>389</v>
      </c>
      <c r="E465" s="6" t="s">
        <v>242</v>
      </c>
      <c r="F465" s="6" t="s">
        <v>388</v>
      </c>
      <c r="G465" s="6">
        <v>24</v>
      </c>
      <c r="H465" s="5">
        <v>13.25</v>
      </c>
      <c r="I465" s="4">
        <f t="shared" si="12"/>
        <v>0.55208333333333337</v>
      </c>
    </row>
    <row r="466" spans="4:9">
      <c r="D466" s="15" t="s">
        <v>387</v>
      </c>
      <c r="E466" s="6" t="s">
        <v>242</v>
      </c>
      <c r="F466" s="6" t="s">
        <v>386</v>
      </c>
      <c r="G466" s="6">
        <v>20</v>
      </c>
      <c r="H466" s="5">
        <v>17.649999999999999</v>
      </c>
      <c r="I466" s="4">
        <f t="shared" si="12"/>
        <v>0.88249999999999995</v>
      </c>
    </row>
    <row r="467" spans="4:9">
      <c r="D467" s="15" t="s">
        <v>385</v>
      </c>
      <c r="E467" s="6" t="s">
        <v>242</v>
      </c>
      <c r="F467" s="6" t="s">
        <v>384</v>
      </c>
      <c r="G467" s="6">
        <v>12</v>
      </c>
      <c r="H467" s="5">
        <v>19.850000000000001</v>
      </c>
      <c r="I467" s="4">
        <f t="shared" si="12"/>
        <v>1.6541666666666668</v>
      </c>
    </row>
    <row r="468" spans="4:9">
      <c r="D468" s="15" t="s">
        <v>383</v>
      </c>
      <c r="E468" s="6" t="s">
        <v>242</v>
      </c>
      <c r="F468" s="6" t="s">
        <v>382</v>
      </c>
      <c r="G468" s="6">
        <v>20</v>
      </c>
      <c r="H468" s="5">
        <v>13.99</v>
      </c>
      <c r="I468" s="4">
        <f t="shared" si="12"/>
        <v>0.69950000000000001</v>
      </c>
    </row>
    <row r="469" spans="4:9">
      <c r="D469" s="15" t="s">
        <v>381</v>
      </c>
      <c r="E469" s="6" t="s">
        <v>242</v>
      </c>
      <c r="F469" s="6" t="s">
        <v>380</v>
      </c>
      <c r="G469" s="6">
        <v>20</v>
      </c>
      <c r="H469" s="5">
        <v>13.99</v>
      </c>
      <c r="I469" s="4">
        <f t="shared" si="12"/>
        <v>0.69950000000000001</v>
      </c>
    </row>
    <row r="470" spans="4:9">
      <c r="D470" s="15" t="s">
        <v>379</v>
      </c>
      <c r="E470" s="6" t="s">
        <v>242</v>
      </c>
      <c r="F470" s="6" t="s">
        <v>378</v>
      </c>
      <c r="G470" s="6">
        <v>1</v>
      </c>
      <c r="H470" s="5"/>
      <c r="I470" s="4">
        <f t="shared" si="12"/>
        <v>0</v>
      </c>
    </row>
    <row r="471" spans="4:9">
      <c r="D471" s="15" t="s">
        <v>377</v>
      </c>
      <c r="E471" s="6" t="s">
        <v>242</v>
      </c>
      <c r="F471" s="6" t="s">
        <v>376</v>
      </c>
      <c r="G471" s="6">
        <v>1</v>
      </c>
      <c r="H471" s="5"/>
      <c r="I471" s="4">
        <f t="shared" si="12"/>
        <v>0</v>
      </c>
    </row>
    <row r="472" spans="4:9">
      <c r="D472" s="15" t="s">
        <v>375</v>
      </c>
      <c r="E472" s="6" t="s">
        <v>242</v>
      </c>
      <c r="F472" s="6" t="s">
        <v>374</v>
      </c>
      <c r="G472" s="6">
        <v>8</v>
      </c>
      <c r="H472" s="5"/>
      <c r="I472" s="4">
        <f t="shared" si="12"/>
        <v>0</v>
      </c>
    </row>
    <row r="473" spans="4:9">
      <c r="D473" s="15" t="s">
        <v>373</v>
      </c>
      <c r="E473" s="6" t="s">
        <v>242</v>
      </c>
      <c r="F473" s="6" t="s">
        <v>372</v>
      </c>
      <c r="G473" s="6">
        <v>12</v>
      </c>
      <c r="H473" s="5">
        <v>1</v>
      </c>
      <c r="I473" s="4">
        <f t="shared" si="12"/>
        <v>8.3333333333333329E-2</v>
      </c>
    </row>
    <row r="474" spans="4:9">
      <c r="D474" s="15" t="s">
        <v>371</v>
      </c>
      <c r="E474" s="6" t="s">
        <v>242</v>
      </c>
      <c r="F474" s="6" t="s">
        <v>370</v>
      </c>
      <c r="G474" s="6">
        <v>16</v>
      </c>
      <c r="H474" s="5">
        <v>7.04</v>
      </c>
      <c r="I474" s="4">
        <f t="shared" si="12"/>
        <v>0.44</v>
      </c>
    </row>
    <row r="475" spans="4:9">
      <c r="D475" s="15" t="s">
        <v>369</v>
      </c>
      <c r="E475" s="6" t="s">
        <v>242</v>
      </c>
      <c r="F475" s="6" t="s">
        <v>368</v>
      </c>
      <c r="G475" s="6">
        <v>16</v>
      </c>
      <c r="H475" s="5">
        <v>7.04</v>
      </c>
      <c r="I475" s="4">
        <f t="shared" si="12"/>
        <v>0.44</v>
      </c>
    </row>
    <row r="476" spans="4:9">
      <c r="D476" s="15" t="s">
        <v>367</v>
      </c>
      <c r="E476" s="6" t="s">
        <v>242</v>
      </c>
      <c r="F476" s="6" t="s">
        <v>366</v>
      </c>
      <c r="G476" s="6">
        <v>16</v>
      </c>
      <c r="H476" s="5">
        <v>7.04</v>
      </c>
      <c r="I476" s="4">
        <f t="shared" si="12"/>
        <v>0.44</v>
      </c>
    </row>
    <row r="477" spans="4:9">
      <c r="D477" s="15" t="s">
        <v>365</v>
      </c>
      <c r="E477" s="6" t="s">
        <v>242</v>
      </c>
      <c r="F477" s="6" t="s">
        <v>364</v>
      </c>
      <c r="G477" s="6">
        <v>16</v>
      </c>
      <c r="H477" s="5">
        <v>7.04</v>
      </c>
      <c r="I477" s="4">
        <f t="shared" si="12"/>
        <v>0.44</v>
      </c>
    </row>
    <row r="478" spans="4:9">
      <c r="D478" s="15" t="s">
        <v>363</v>
      </c>
      <c r="E478" s="6" t="s">
        <v>242</v>
      </c>
      <c r="F478" s="6" t="s">
        <v>362</v>
      </c>
      <c r="G478" s="6">
        <v>16</v>
      </c>
      <c r="H478" s="5">
        <v>7.04</v>
      </c>
      <c r="I478" s="4">
        <f t="shared" si="12"/>
        <v>0.44</v>
      </c>
    </row>
    <row r="479" spans="4:9">
      <c r="D479" s="15" t="s">
        <v>361</v>
      </c>
      <c r="E479" s="6" t="s">
        <v>242</v>
      </c>
      <c r="F479" s="6" t="s">
        <v>360</v>
      </c>
      <c r="G479" s="6">
        <v>16</v>
      </c>
      <c r="H479" s="5">
        <v>7.04</v>
      </c>
      <c r="I479" s="4">
        <f t="shared" si="12"/>
        <v>0.44</v>
      </c>
    </row>
    <row r="480" spans="4:9">
      <c r="D480" s="15" t="s">
        <v>359</v>
      </c>
      <c r="E480" s="6" t="s">
        <v>242</v>
      </c>
      <c r="F480" s="6" t="s">
        <v>358</v>
      </c>
      <c r="G480" s="6">
        <v>6</v>
      </c>
      <c r="H480" s="5">
        <v>12.7</v>
      </c>
      <c r="I480" s="4">
        <f t="shared" si="12"/>
        <v>2.1166666666666667</v>
      </c>
    </row>
    <row r="481" spans="4:9">
      <c r="D481" s="15" t="s">
        <v>357</v>
      </c>
      <c r="E481" s="6" t="s">
        <v>242</v>
      </c>
      <c r="F481" s="6" t="s">
        <v>356</v>
      </c>
      <c r="G481" s="6">
        <v>24</v>
      </c>
      <c r="H481" s="5">
        <v>7.51</v>
      </c>
      <c r="I481" s="4">
        <f t="shared" si="12"/>
        <v>0.31291666666666668</v>
      </c>
    </row>
    <row r="482" spans="4:9">
      <c r="D482" s="15" t="s">
        <v>31</v>
      </c>
      <c r="E482" s="6" t="s">
        <v>242</v>
      </c>
      <c r="F482" s="6" t="s">
        <v>30</v>
      </c>
      <c r="G482" s="6">
        <v>44</v>
      </c>
      <c r="H482" s="5"/>
      <c r="I482" s="4">
        <v>0.11</v>
      </c>
    </row>
    <row r="483" spans="4:9">
      <c r="D483" s="15" t="s">
        <v>355</v>
      </c>
      <c r="E483" s="6" t="s">
        <v>242</v>
      </c>
      <c r="F483" s="6" t="s">
        <v>354</v>
      </c>
      <c r="G483" s="6">
        <v>12</v>
      </c>
      <c r="H483" s="5">
        <v>12.57</v>
      </c>
      <c r="I483" s="4">
        <f t="shared" ref="I483:I546" si="13">H483/G483</f>
        <v>1.0475000000000001</v>
      </c>
    </row>
    <row r="484" spans="4:9">
      <c r="D484" s="15" t="s">
        <v>353</v>
      </c>
      <c r="E484" s="6" t="s">
        <v>242</v>
      </c>
      <c r="F484" s="6" t="s">
        <v>352</v>
      </c>
      <c r="G484" s="6">
        <v>12</v>
      </c>
      <c r="H484" s="5">
        <v>12.57</v>
      </c>
      <c r="I484" s="4">
        <f t="shared" si="13"/>
        <v>1.0475000000000001</v>
      </c>
    </row>
    <row r="485" spans="4:9">
      <c r="D485" s="15" t="s">
        <v>351</v>
      </c>
      <c r="E485" s="6" t="s">
        <v>242</v>
      </c>
      <c r="F485" s="6" t="s">
        <v>350</v>
      </c>
      <c r="G485" s="6">
        <v>6</v>
      </c>
      <c r="H485" s="5">
        <v>25</v>
      </c>
      <c r="I485" s="4">
        <f t="shared" si="13"/>
        <v>4.166666666666667</v>
      </c>
    </row>
    <row r="486" spans="4:9">
      <c r="D486" s="15" t="s">
        <v>349</v>
      </c>
      <c r="E486" s="6" t="s">
        <v>242</v>
      </c>
      <c r="F486" s="6" t="s">
        <v>348</v>
      </c>
      <c r="G486" s="6">
        <v>6</v>
      </c>
      <c r="H486" s="5"/>
      <c r="I486" s="4">
        <f t="shared" si="13"/>
        <v>0</v>
      </c>
    </row>
    <row r="487" spans="4:9">
      <c r="D487" s="15" t="s">
        <v>347</v>
      </c>
      <c r="E487" s="6" t="s">
        <v>242</v>
      </c>
      <c r="F487" s="6" t="s">
        <v>346</v>
      </c>
      <c r="G487" s="6">
        <v>6</v>
      </c>
      <c r="H487" s="5">
        <v>15.9</v>
      </c>
      <c r="I487" s="4">
        <f t="shared" si="13"/>
        <v>2.65</v>
      </c>
    </row>
    <row r="488" spans="4:9">
      <c r="D488" s="15" t="s">
        <v>345</v>
      </c>
      <c r="E488" s="6" t="s">
        <v>242</v>
      </c>
      <c r="F488" s="6" t="s">
        <v>344</v>
      </c>
      <c r="G488" s="6">
        <v>6</v>
      </c>
      <c r="H488" s="5">
        <v>15.9</v>
      </c>
      <c r="I488" s="4">
        <f t="shared" si="13"/>
        <v>2.65</v>
      </c>
    </row>
    <row r="489" spans="4:9">
      <c r="D489" s="15" t="s">
        <v>7</v>
      </c>
      <c r="E489" s="6" t="s">
        <v>1066</v>
      </c>
      <c r="F489" s="6" t="s">
        <v>6</v>
      </c>
      <c r="G489" s="6">
        <v>12</v>
      </c>
      <c r="H489" s="5">
        <v>13.25</v>
      </c>
      <c r="I489" s="4">
        <f t="shared" si="13"/>
        <v>1.1041666666666667</v>
      </c>
    </row>
    <row r="490" spans="4:9">
      <c r="D490" s="15" t="s">
        <v>5</v>
      </c>
      <c r="E490" s="6" t="s">
        <v>1066</v>
      </c>
      <c r="F490" s="6" t="s">
        <v>4</v>
      </c>
      <c r="G490" s="6">
        <v>12</v>
      </c>
      <c r="H490" s="5">
        <v>13.25</v>
      </c>
      <c r="I490" s="4">
        <f t="shared" si="13"/>
        <v>1.1041666666666667</v>
      </c>
    </row>
    <row r="491" spans="4:9">
      <c r="D491" s="15" t="s">
        <v>343</v>
      </c>
      <c r="E491" s="6" t="s">
        <v>1066</v>
      </c>
      <c r="F491" s="6" t="s">
        <v>342</v>
      </c>
      <c r="G491" s="6">
        <v>12</v>
      </c>
      <c r="H491" s="5">
        <v>13.25</v>
      </c>
      <c r="I491" s="4">
        <f t="shared" si="13"/>
        <v>1.1041666666666667</v>
      </c>
    </row>
    <row r="492" spans="4:9">
      <c r="D492" s="15" t="s">
        <v>341</v>
      </c>
      <c r="E492" s="6" t="s">
        <v>1066</v>
      </c>
      <c r="F492" s="6" t="s">
        <v>340</v>
      </c>
      <c r="G492" s="6">
        <v>12</v>
      </c>
      <c r="H492" s="5">
        <v>13.25</v>
      </c>
      <c r="I492" s="4">
        <f t="shared" si="13"/>
        <v>1.1041666666666667</v>
      </c>
    </row>
    <row r="493" spans="4:9">
      <c r="D493" s="15" t="s">
        <v>3</v>
      </c>
      <c r="E493" s="6" t="s">
        <v>1066</v>
      </c>
      <c r="F493" s="6" t="s">
        <v>2</v>
      </c>
      <c r="G493" s="6">
        <v>12</v>
      </c>
      <c r="H493" s="5">
        <v>13.25</v>
      </c>
      <c r="I493" s="4">
        <f t="shared" si="13"/>
        <v>1.1041666666666667</v>
      </c>
    </row>
    <row r="494" spans="4:9">
      <c r="D494" s="15" t="s">
        <v>339</v>
      </c>
      <c r="E494" s="6" t="s">
        <v>1066</v>
      </c>
      <c r="F494" s="6" t="s">
        <v>338</v>
      </c>
      <c r="G494" s="6">
        <v>12</v>
      </c>
      <c r="H494" s="5">
        <v>13.25</v>
      </c>
      <c r="I494" s="4">
        <f t="shared" si="13"/>
        <v>1.1041666666666667</v>
      </c>
    </row>
    <row r="495" spans="4:9">
      <c r="D495" s="15" t="s">
        <v>1</v>
      </c>
      <c r="E495" s="6" t="s">
        <v>1066</v>
      </c>
      <c r="F495" s="6" t="s">
        <v>0</v>
      </c>
      <c r="G495" s="6">
        <v>12</v>
      </c>
      <c r="H495" s="5">
        <v>13.25</v>
      </c>
      <c r="I495" s="4">
        <f t="shared" si="13"/>
        <v>1.1041666666666667</v>
      </c>
    </row>
    <row r="496" spans="4:9">
      <c r="D496" s="15">
        <v>579406</v>
      </c>
      <c r="E496" s="6" t="s">
        <v>247</v>
      </c>
      <c r="F496" s="6" t="s">
        <v>337</v>
      </c>
      <c r="G496" s="6">
        <v>24</v>
      </c>
      <c r="H496" s="5">
        <v>2.65</v>
      </c>
      <c r="I496" s="4">
        <f t="shared" si="13"/>
        <v>0.11041666666666666</v>
      </c>
    </row>
    <row r="497" spans="4:9">
      <c r="D497" s="15">
        <v>579408</v>
      </c>
      <c r="E497" s="6" t="s">
        <v>247</v>
      </c>
      <c r="F497" s="6" t="s">
        <v>336</v>
      </c>
      <c r="G497" s="6">
        <v>24</v>
      </c>
      <c r="H497" s="5">
        <v>2.65</v>
      </c>
      <c r="I497" s="4">
        <f t="shared" si="13"/>
        <v>0.11041666666666666</v>
      </c>
    </row>
    <row r="498" spans="4:9">
      <c r="D498" s="15">
        <v>579409</v>
      </c>
      <c r="E498" s="6" t="s">
        <v>247</v>
      </c>
      <c r="F498" s="6" t="s">
        <v>335</v>
      </c>
      <c r="G498" s="6">
        <v>24</v>
      </c>
      <c r="H498" s="5">
        <v>2.65</v>
      </c>
      <c r="I498" s="4">
        <f t="shared" si="13"/>
        <v>0.11041666666666666</v>
      </c>
    </row>
    <row r="499" spans="4:9">
      <c r="D499" s="15">
        <v>579411</v>
      </c>
      <c r="E499" s="6" t="s">
        <v>1074</v>
      </c>
      <c r="F499" s="6" t="s">
        <v>334</v>
      </c>
      <c r="G499" s="6">
        <v>24</v>
      </c>
      <c r="H499" s="5">
        <v>2.65</v>
      </c>
      <c r="I499" s="4">
        <f t="shared" si="13"/>
        <v>0.11041666666666666</v>
      </c>
    </row>
    <row r="500" spans="4:9">
      <c r="D500" s="15">
        <v>579410</v>
      </c>
      <c r="E500" s="6" t="s">
        <v>247</v>
      </c>
      <c r="F500" s="6" t="s">
        <v>333</v>
      </c>
      <c r="G500" s="6">
        <v>24</v>
      </c>
      <c r="H500" s="5">
        <v>2.65</v>
      </c>
      <c r="I500" s="4">
        <f t="shared" si="13"/>
        <v>0.11041666666666666</v>
      </c>
    </row>
    <row r="501" spans="4:9">
      <c r="D501" s="15">
        <v>579323</v>
      </c>
      <c r="E501" s="6" t="s">
        <v>247</v>
      </c>
      <c r="F501" s="6" t="s">
        <v>332</v>
      </c>
      <c r="G501" s="6">
        <v>24</v>
      </c>
      <c r="H501" s="5">
        <v>2.65</v>
      </c>
      <c r="I501" s="4">
        <f t="shared" si="13"/>
        <v>0.11041666666666666</v>
      </c>
    </row>
    <row r="502" spans="4:9">
      <c r="D502" s="15">
        <v>579364</v>
      </c>
      <c r="E502" s="6" t="s">
        <v>247</v>
      </c>
      <c r="F502" s="6" t="s">
        <v>331</v>
      </c>
      <c r="G502" s="6">
        <v>24</v>
      </c>
      <c r="H502" s="5">
        <v>2.65</v>
      </c>
      <c r="I502" s="4">
        <f t="shared" si="13"/>
        <v>0.11041666666666666</v>
      </c>
    </row>
    <row r="503" spans="4:9">
      <c r="D503" s="15">
        <v>579407</v>
      </c>
      <c r="E503" s="6" t="s">
        <v>247</v>
      </c>
      <c r="F503" s="6" t="s">
        <v>330</v>
      </c>
      <c r="G503" s="6">
        <v>24</v>
      </c>
      <c r="H503" s="5">
        <v>2.65</v>
      </c>
      <c r="I503" s="4">
        <f t="shared" si="13"/>
        <v>0.11041666666666666</v>
      </c>
    </row>
    <row r="504" spans="4:9">
      <c r="D504" s="15">
        <v>579403</v>
      </c>
      <c r="E504" s="6" t="s">
        <v>247</v>
      </c>
      <c r="F504" s="6" t="s">
        <v>329</v>
      </c>
      <c r="G504" s="6">
        <v>24</v>
      </c>
      <c r="H504" s="5">
        <v>5.3</v>
      </c>
      <c r="I504" s="4">
        <f t="shared" si="13"/>
        <v>0.22083333333333333</v>
      </c>
    </row>
    <row r="505" spans="4:9">
      <c r="D505" s="15">
        <v>579412</v>
      </c>
      <c r="E505" s="6" t="s">
        <v>247</v>
      </c>
      <c r="F505" s="6" t="s">
        <v>328</v>
      </c>
      <c r="G505" s="6">
        <v>24</v>
      </c>
      <c r="H505" s="5">
        <v>5.3</v>
      </c>
      <c r="I505" s="4">
        <f t="shared" si="13"/>
        <v>0.22083333333333333</v>
      </c>
    </row>
    <row r="506" spans="4:9">
      <c r="D506" s="15">
        <v>579413</v>
      </c>
      <c r="E506" s="6" t="s">
        <v>247</v>
      </c>
      <c r="F506" s="6" t="s">
        <v>327</v>
      </c>
      <c r="G506" s="6">
        <v>24</v>
      </c>
      <c r="H506" s="5">
        <v>5.3</v>
      </c>
      <c r="I506" s="4">
        <f t="shared" si="13"/>
        <v>0.22083333333333333</v>
      </c>
    </row>
    <row r="507" spans="4:9">
      <c r="D507" s="15">
        <v>579404</v>
      </c>
      <c r="E507" s="6" t="s">
        <v>247</v>
      </c>
      <c r="F507" s="6" t="s">
        <v>326</v>
      </c>
      <c r="G507" s="6">
        <v>24</v>
      </c>
      <c r="H507" s="5">
        <v>5.3</v>
      </c>
      <c r="I507" s="4">
        <f t="shared" si="13"/>
        <v>0.22083333333333333</v>
      </c>
    </row>
    <row r="508" spans="4:9">
      <c r="D508" s="15">
        <v>579362</v>
      </c>
      <c r="E508" s="6" t="s">
        <v>247</v>
      </c>
      <c r="F508" s="6" t="s">
        <v>325</v>
      </c>
      <c r="G508" s="6">
        <v>24</v>
      </c>
      <c r="H508" s="5">
        <v>5.3</v>
      </c>
      <c r="I508" s="4">
        <f t="shared" si="13"/>
        <v>0.22083333333333333</v>
      </c>
    </row>
    <row r="509" spans="4:9">
      <c r="D509" s="15">
        <v>579405</v>
      </c>
      <c r="E509" s="6" t="s">
        <v>247</v>
      </c>
      <c r="F509" s="6" t="s">
        <v>324</v>
      </c>
      <c r="G509" s="6">
        <v>24</v>
      </c>
      <c r="H509" s="5">
        <v>5.3</v>
      </c>
      <c r="I509" s="4">
        <f t="shared" si="13"/>
        <v>0.22083333333333333</v>
      </c>
    </row>
    <row r="510" spans="4:9">
      <c r="D510" s="15">
        <v>579402</v>
      </c>
      <c r="E510" s="6" t="s">
        <v>247</v>
      </c>
      <c r="F510" s="6" t="s">
        <v>323</v>
      </c>
      <c r="G510" s="6">
        <v>24</v>
      </c>
      <c r="H510" s="5">
        <v>5.3</v>
      </c>
      <c r="I510" s="4">
        <f t="shared" si="13"/>
        <v>0.22083333333333333</v>
      </c>
    </row>
    <row r="511" spans="4:9">
      <c r="D511" s="15">
        <v>971387</v>
      </c>
      <c r="E511" s="6" t="s">
        <v>247</v>
      </c>
      <c r="F511" s="6" t="s">
        <v>322</v>
      </c>
      <c r="G511" s="6">
        <v>24</v>
      </c>
      <c r="H511" s="5">
        <v>5.3</v>
      </c>
      <c r="I511" s="4">
        <f t="shared" si="13"/>
        <v>0.22083333333333333</v>
      </c>
    </row>
    <row r="512" spans="4:9">
      <c r="D512" s="15">
        <v>576943</v>
      </c>
      <c r="E512" s="6" t="s">
        <v>247</v>
      </c>
      <c r="F512" s="6" t="s">
        <v>321</v>
      </c>
      <c r="G512" s="6">
        <v>12</v>
      </c>
      <c r="H512" s="5">
        <v>2.64</v>
      </c>
      <c r="I512" s="4">
        <f t="shared" si="13"/>
        <v>0.22</v>
      </c>
    </row>
    <row r="513" spans="4:9">
      <c r="D513" s="15">
        <v>84153562</v>
      </c>
      <c r="E513" s="6" t="s">
        <v>247</v>
      </c>
      <c r="F513" s="6" t="s">
        <v>320</v>
      </c>
      <c r="G513" s="6">
        <v>16</v>
      </c>
      <c r="H513" s="5">
        <v>0.43</v>
      </c>
      <c r="I513" s="4">
        <f t="shared" si="13"/>
        <v>2.6875E-2</v>
      </c>
    </row>
    <row r="514" spans="4:9">
      <c r="D514" s="15">
        <v>84153561</v>
      </c>
      <c r="E514" s="6" t="s">
        <v>247</v>
      </c>
      <c r="F514" s="6" t="s">
        <v>319</v>
      </c>
      <c r="G514" s="6">
        <v>16</v>
      </c>
      <c r="H514" s="5">
        <v>0.43</v>
      </c>
      <c r="I514" s="4">
        <f t="shared" si="13"/>
        <v>2.6875E-2</v>
      </c>
    </row>
    <row r="515" spans="4:9">
      <c r="D515" s="15">
        <v>84153470</v>
      </c>
      <c r="E515" s="6" t="s">
        <v>247</v>
      </c>
      <c r="F515" s="6" t="s">
        <v>318</v>
      </c>
      <c r="G515" s="6">
        <v>16</v>
      </c>
      <c r="H515" s="5">
        <v>0.43</v>
      </c>
      <c r="I515" s="4">
        <f t="shared" si="13"/>
        <v>2.6875E-2</v>
      </c>
    </row>
    <row r="516" spans="4:9">
      <c r="D516" s="15">
        <v>19640304</v>
      </c>
      <c r="E516" s="6" t="s">
        <v>305</v>
      </c>
      <c r="F516" s="6" t="s">
        <v>317</v>
      </c>
      <c r="G516" s="6">
        <v>10</v>
      </c>
      <c r="H516" s="5">
        <v>7.94</v>
      </c>
      <c r="I516" s="4">
        <f t="shared" si="13"/>
        <v>0.79400000000000004</v>
      </c>
    </row>
    <row r="517" spans="4:9">
      <c r="D517" s="15">
        <v>19640305</v>
      </c>
      <c r="E517" s="6" t="s">
        <v>305</v>
      </c>
      <c r="F517" s="6" t="s">
        <v>316</v>
      </c>
      <c r="G517" s="6">
        <v>10</v>
      </c>
      <c r="H517" s="5">
        <v>7.94</v>
      </c>
      <c r="I517" s="4">
        <f t="shared" si="13"/>
        <v>0.79400000000000004</v>
      </c>
    </row>
    <row r="518" spans="4:9">
      <c r="D518" s="15">
        <v>19640306</v>
      </c>
      <c r="E518" s="6" t="s">
        <v>305</v>
      </c>
      <c r="F518" s="6" t="s">
        <v>315</v>
      </c>
      <c r="G518" s="6">
        <v>10</v>
      </c>
      <c r="H518" s="5">
        <v>7.94</v>
      </c>
      <c r="I518" s="4">
        <f t="shared" si="13"/>
        <v>0.79400000000000004</v>
      </c>
    </row>
    <row r="519" spans="4:9">
      <c r="D519" s="30" t="s">
        <v>1221</v>
      </c>
      <c r="E519" s="6" t="s">
        <v>305</v>
      </c>
      <c r="F519" s="6" t="s">
        <v>314</v>
      </c>
      <c r="G519" s="6">
        <v>8</v>
      </c>
      <c r="H519" s="5">
        <v>2.85</v>
      </c>
      <c r="I519" s="4">
        <f t="shared" si="13"/>
        <v>0.35625000000000001</v>
      </c>
    </row>
    <row r="520" spans="4:9">
      <c r="D520" s="30" t="s">
        <v>1220</v>
      </c>
      <c r="E520" s="6" t="s">
        <v>305</v>
      </c>
      <c r="F520" s="6" t="s">
        <v>53</v>
      </c>
      <c r="G520" s="6">
        <v>10</v>
      </c>
      <c r="H520" s="5">
        <v>6.6</v>
      </c>
      <c r="I520" s="4">
        <f t="shared" si="13"/>
        <v>0.65999999999999992</v>
      </c>
    </row>
    <row r="521" spans="4:9">
      <c r="D521" s="30" t="s">
        <v>1200</v>
      </c>
      <c r="E521" s="6" t="s">
        <v>305</v>
      </c>
      <c r="F521" s="6" t="s">
        <v>313</v>
      </c>
      <c r="G521" s="6">
        <v>10</v>
      </c>
      <c r="H521" s="5">
        <v>6.6</v>
      </c>
      <c r="I521" s="4">
        <f t="shared" si="13"/>
        <v>0.65999999999999992</v>
      </c>
    </row>
    <row r="522" spans="4:9">
      <c r="D522" s="30" t="s">
        <v>1219</v>
      </c>
      <c r="E522" s="6" t="s">
        <v>305</v>
      </c>
      <c r="F522" s="6" t="s">
        <v>312</v>
      </c>
      <c r="G522" s="6">
        <v>10</v>
      </c>
      <c r="H522" s="5">
        <v>6.6</v>
      </c>
      <c r="I522" s="4">
        <f t="shared" si="13"/>
        <v>0.65999999999999992</v>
      </c>
    </row>
    <row r="523" spans="4:9">
      <c r="D523" s="30" t="s">
        <v>1218</v>
      </c>
      <c r="E523" s="6" t="s">
        <v>305</v>
      </c>
      <c r="F523" s="6" t="s">
        <v>311</v>
      </c>
      <c r="G523" s="6">
        <v>10</v>
      </c>
      <c r="H523" s="5">
        <v>6.6</v>
      </c>
      <c r="I523" s="4">
        <f t="shared" si="13"/>
        <v>0.65999999999999992</v>
      </c>
    </row>
    <row r="524" spans="4:9">
      <c r="D524" s="30" t="s">
        <v>1217</v>
      </c>
      <c r="E524" s="6" t="s">
        <v>305</v>
      </c>
      <c r="F524" s="6" t="s">
        <v>52</v>
      </c>
      <c r="G524" s="6">
        <v>10</v>
      </c>
      <c r="H524" s="5">
        <v>6.6</v>
      </c>
      <c r="I524" s="4">
        <f t="shared" si="13"/>
        <v>0.65999999999999992</v>
      </c>
    </row>
    <row r="525" spans="4:9">
      <c r="D525" s="31">
        <v>206</v>
      </c>
      <c r="E525" s="6" t="s">
        <v>305</v>
      </c>
      <c r="F525" s="6" t="s">
        <v>310</v>
      </c>
      <c r="G525" s="6">
        <v>10</v>
      </c>
      <c r="H525" s="5">
        <v>6.6</v>
      </c>
      <c r="I525" s="4">
        <f t="shared" si="13"/>
        <v>0.65999999999999992</v>
      </c>
    </row>
    <row r="526" spans="4:9">
      <c r="D526" s="30" t="s">
        <v>1216</v>
      </c>
      <c r="E526" s="6" t="s">
        <v>305</v>
      </c>
      <c r="F526" s="6" t="s">
        <v>309</v>
      </c>
      <c r="G526" s="6">
        <v>10</v>
      </c>
      <c r="H526" s="5">
        <v>6.6</v>
      </c>
      <c r="I526" s="4">
        <f t="shared" si="13"/>
        <v>0.65999999999999992</v>
      </c>
    </row>
    <row r="527" spans="4:9">
      <c r="D527" s="15">
        <v>19790103</v>
      </c>
      <c r="E527" s="6" t="s">
        <v>305</v>
      </c>
      <c r="F527" s="6" t="s">
        <v>308</v>
      </c>
      <c r="G527" s="6">
        <v>10</v>
      </c>
      <c r="H527" s="5">
        <v>6.6</v>
      </c>
      <c r="I527" s="4">
        <f t="shared" si="13"/>
        <v>0.65999999999999992</v>
      </c>
    </row>
    <row r="528" spans="4:9">
      <c r="D528" s="30" t="s">
        <v>1215</v>
      </c>
      <c r="E528" s="6" t="s">
        <v>305</v>
      </c>
      <c r="F528" s="6" t="s">
        <v>51</v>
      </c>
      <c r="G528" s="6">
        <v>10</v>
      </c>
      <c r="H528" s="5">
        <v>6.6</v>
      </c>
      <c r="I528" s="4">
        <f t="shared" si="13"/>
        <v>0.65999999999999992</v>
      </c>
    </row>
    <row r="529" spans="4:9">
      <c r="D529" s="30" t="s">
        <v>1191</v>
      </c>
      <c r="E529" s="6" t="s">
        <v>305</v>
      </c>
      <c r="F529" s="6" t="s">
        <v>307</v>
      </c>
      <c r="G529" s="6">
        <v>10</v>
      </c>
      <c r="H529" s="5">
        <v>6.6</v>
      </c>
      <c r="I529" s="4">
        <f t="shared" si="13"/>
        <v>0.65999999999999992</v>
      </c>
    </row>
    <row r="530" spans="4:9">
      <c r="D530" s="30" t="s">
        <v>1190</v>
      </c>
      <c r="E530" s="6" t="s">
        <v>305</v>
      </c>
      <c r="F530" s="6" t="s">
        <v>306</v>
      </c>
      <c r="G530" s="6">
        <v>10</v>
      </c>
      <c r="H530" s="5">
        <v>6.6</v>
      </c>
      <c r="I530" s="4">
        <f t="shared" si="13"/>
        <v>0.65999999999999992</v>
      </c>
    </row>
    <row r="531" spans="4:9">
      <c r="D531" s="31">
        <v>250042</v>
      </c>
      <c r="E531" s="6" t="s">
        <v>305</v>
      </c>
      <c r="F531" s="6" t="s">
        <v>50</v>
      </c>
      <c r="G531" s="6">
        <v>1</v>
      </c>
      <c r="H531" s="5">
        <v>13.25</v>
      </c>
      <c r="I531" s="4">
        <f t="shared" si="13"/>
        <v>13.25</v>
      </c>
    </row>
    <row r="532" spans="4:9">
      <c r="D532" s="30" t="s">
        <v>1186</v>
      </c>
      <c r="E532" s="6" t="s">
        <v>305</v>
      </c>
      <c r="F532" s="6" t="s">
        <v>304</v>
      </c>
      <c r="G532" s="6">
        <v>1</v>
      </c>
      <c r="H532" s="5">
        <v>8.5</v>
      </c>
      <c r="I532" s="4">
        <f t="shared" si="13"/>
        <v>8.5</v>
      </c>
    </row>
    <row r="533" spans="4:9">
      <c r="D533" s="30" t="s">
        <v>1213</v>
      </c>
      <c r="E533" s="6" t="s">
        <v>305</v>
      </c>
      <c r="F533" s="6" t="s">
        <v>303</v>
      </c>
      <c r="G533" s="6">
        <v>25</v>
      </c>
      <c r="H533" s="5">
        <v>10.6</v>
      </c>
      <c r="I533" s="4">
        <f t="shared" si="13"/>
        <v>0.42399999999999999</v>
      </c>
    </row>
    <row r="534" spans="4:9">
      <c r="D534" s="30" t="s">
        <v>1222</v>
      </c>
      <c r="E534" s="6" t="s">
        <v>305</v>
      </c>
      <c r="F534" s="6" t="s">
        <v>302</v>
      </c>
      <c r="G534" s="6">
        <v>9</v>
      </c>
      <c r="H534" s="5">
        <v>8.35</v>
      </c>
      <c r="I534" s="4">
        <f t="shared" si="13"/>
        <v>0.9277777777777777</v>
      </c>
    </row>
    <row r="535" spans="4:9">
      <c r="D535" s="30" t="s">
        <v>1199</v>
      </c>
      <c r="E535" s="6" t="s">
        <v>305</v>
      </c>
      <c r="F535" s="6" t="s">
        <v>301</v>
      </c>
      <c r="G535" s="6">
        <v>9</v>
      </c>
      <c r="H535" s="5">
        <v>8.35</v>
      </c>
      <c r="I535" s="4">
        <f t="shared" si="13"/>
        <v>0.9277777777777777</v>
      </c>
    </row>
    <row r="536" spans="4:9">
      <c r="D536" s="30" t="s">
        <v>1212</v>
      </c>
      <c r="E536" s="6" t="s">
        <v>305</v>
      </c>
      <c r="F536" s="6" t="s">
        <v>300</v>
      </c>
      <c r="G536" s="6">
        <v>9</v>
      </c>
      <c r="H536" s="5">
        <v>8.35</v>
      </c>
      <c r="I536" s="4">
        <f t="shared" si="13"/>
        <v>0.9277777777777777</v>
      </c>
    </row>
    <row r="537" spans="4:9">
      <c r="D537" s="30" t="s">
        <v>1211</v>
      </c>
      <c r="E537" s="6" t="s">
        <v>305</v>
      </c>
      <c r="F537" s="6" t="s">
        <v>49</v>
      </c>
      <c r="G537" s="6">
        <v>9</v>
      </c>
      <c r="H537" s="5">
        <v>8.35</v>
      </c>
      <c r="I537" s="4">
        <f t="shared" si="13"/>
        <v>0.9277777777777777</v>
      </c>
    </row>
    <row r="538" spans="4:9">
      <c r="D538" s="31">
        <v>1006</v>
      </c>
      <c r="E538" s="6" t="s">
        <v>305</v>
      </c>
      <c r="F538" s="6" t="s">
        <v>1064</v>
      </c>
      <c r="G538" s="6">
        <v>9</v>
      </c>
      <c r="H538" s="5">
        <v>8.35</v>
      </c>
      <c r="I538" s="4">
        <f t="shared" si="13"/>
        <v>0.9277777777777777</v>
      </c>
    </row>
    <row r="539" spans="4:9">
      <c r="D539" s="30" t="s">
        <v>1223</v>
      </c>
      <c r="E539" s="6" t="s">
        <v>305</v>
      </c>
      <c r="F539" s="6" t="s">
        <v>299</v>
      </c>
      <c r="G539" s="6">
        <v>9</v>
      </c>
      <c r="H539" s="5">
        <v>8.35</v>
      </c>
      <c r="I539" s="4">
        <f t="shared" si="13"/>
        <v>0.9277777777777777</v>
      </c>
    </row>
    <row r="540" spans="4:9">
      <c r="D540" s="30" t="s">
        <v>1177</v>
      </c>
      <c r="E540" s="6" t="s">
        <v>305</v>
      </c>
      <c r="F540" s="6" t="s">
        <v>298</v>
      </c>
      <c r="G540" s="6">
        <v>9</v>
      </c>
      <c r="H540" s="5">
        <v>8.35</v>
      </c>
      <c r="I540" s="4">
        <f t="shared" si="13"/>
        <v>0.9277777777777777</v>
      </c>
    </row>
    <row r="541" spans="4:9">
      <c r="D541" s="30" t="s">
        <v>1180</v>
      </c>
      <c r="E541" s="6" t="s">
        <v>305</v>
      </c>
      <c r="F541" s="6" t="s">
        <v>297</v>
      </c>
      <c r="G541" s="6">
        <v>9</v>
      </c>
      <c r="H541" s="5">
        <v>8.35</v>
      </c>
      <c r="I541" s="4">
        <f t="shared" si="13"/>
        <v>0.9277777777777777</v>
      </c>
    </row>
    <row r="542" spans="4:9">
      <c r="D542" s="30" t="s">
        <v>1187</v>
      </c>
      <c r="E542" s="6" t="s">
        <v>305</v>
      </c>
      <c r="F542" s="6" t="s">
        <v>296</v>
      </c>
      <c r="G542" s="6">
        <v>9</v>
      </c>
      <c r="H542" s="5">
        <v>8.35</v>
      </c>
      <c r="I542" s="4">
        <f t="shared" si="13"/>
        <v>0.9277777777777777</v>
      </c>
    </row>
    <row r="543" spans="4:9">
      <c r="D543" s="30" t="s">
        <v>1209</v>
      </c>
      <c r="E543" s="6" t="s">
        <v>305</v>
      </c>
      <c r="F543" s="6" t="s">
        <v>295</v>
      </c>
      <c r="G543" s="6">
        <v>9</v>
      </c>
      <c r="H543" s="5">
        <v>8.35</v>
      </c>
      <c r="I543" s="4">
        <f t="shared" si="13"/>
        <v>0.9277777777777777</v>
      </c>
    </row>
    <row r="544" spans="4:9">
      <c r="D544" s="15">
        <v>571463</v>
      </c>
      <c r="E544" s="6" t="s">
        <v>247</v>
      </c>
      <c r="F544" s="6" t="s">
        <v>294</v>
      </c>
      <c r="G544" s="6">
        <v>12</v>
      </c>
      <c r="H544" s="5">
        <v>2.35</v>
      </c>
      <c r="I544" s="4">
        <f t="shared" si="13"/>
        <v>0.19583333333333333</v>
      </c>
    </row>
    <row r="545" spans="4:9">
      <c r="D545" s="15">
        <v>84171222</v>
      </c>
      <c r="E545" s="6" t="s">
        <v>247</v>
      </c>
      <c r="F545" s="6" t="s">
        <v>293</v>
      </c>
      <c r="G545" s="6">
        <v>12</v>
      </c>
      <c r="H545" s="5">
        <v>2.35</v>
      </c>
      <c r="I545" s="4">
        <f t="shared" si="13"/>
        <v>0.19583333333333333</v>
      </c>
    </row>
    <row r="546" spans="4:9">
      <c r="D546" s="15">
        <v>84170979</v>
      </c>
      <c r="E546" s="6" t="s">
        <v>247</v>
      </c>
      <c r="F546" s="6" t="s">
        <v>292</v>
      </c>
      <c r="G546" s="6">
        <v>12</v>
      </c>
      <c r="H546" s="5">
        <v>2.35</v>
      </c>
      <c r="I546" s="4">
        <f t="shared" si="13"/>
        <v>0.19583333333333333</v>
      </c>
    </row>
    <row r="547" spans="4:9">
      <c r="D547" s="15">
        <v>84157468</v>
      </c>
      <c r="E547" s="6" t="s">
        <v>247</v>
      </c>
      <c r="F547" s="6" t="s">
        <v>291</v>
      </c>
      <c r="G547" s="6">
        <v>12</v>
      </c>
      <c r="H547" s="5">
        <v>2.35</v>
      </c>
      <c r="I547" s="4">
        <f t="shared" ref="I547:I611" si="14">H547/G547</f>
        <v>0.19583333333333333</v>
      </c>
    </row>
    <row r="548" spans="4:9">
      <c r="D548" s="15">
        <v>583413</v>
      </c>
      <c r="E548" s="6" t="s">
        <v>247</v>
      </c>
      <c r="F548" s="6" t="s">
        <v>290</v>
      </c>
      <c r="G548" s="6">
        <v>12</v>
      </c>
      <c r="H548" s="5">
        <v>2.35</v>
      </c>
      <c r="I548" s="4">
        <f t="shared" si="14"/>
        <v>0.19583333333333333</v>
      </c>
    </row>
    <row r="549" spans="4:9">
      <c r="D549" s="15">
        <v>579235</v>
      </c>
      <c r="E549" s="6" t="s">
        <v>247</v>
      </c>
      <c r="F549" s="6" t="s">
        <v>69</v>
      </c>
      <c r="G549" s="6">
        <v>12</v>
      </c>
      <c r="H549" s="5">
        <v>2.35</v>
      </c>
      <c r="I549" s="4">
        <f t="shared" si="14"/>
        <v>0.19583333333333333</v>
      </c>
    </row>
    <row r="550" spans="4:9">
      <c r="D550" s="15">
        <v>67707584</v>
      </c>
      <c r="E550" s="6" t="s">
        <v>247</v>
      </c>
      <c r="F550" s="6" t="s">
        <v>289</v>
      </c>
      <c r="G550" s="6">
        <v>12</v>
      </c>
      <c r="H550" s="5">
        <v>2.35</v>
      </c>
      <c r="I550" s="4">
        <f t="shared" si="14"/>
        <v>0.19583333333333333</v>
      </c>
    </row>
    <row r="551" spans="4:9">
      <c r="D551" s="15">
        <v>67574559</v>
      </c>
      <c r="E551" s="6" t="s">
        <v>247</v>
      </c>
      <c r="F551" s="6" t="s">
        <v>288</v>
      </c>
      <c r="G551" s="6">
        <v>12</v>
      </c>
      <c r="H551" s="5">
        <v>2.35</v>
      </c>
      <c r="I551" s="4">
        <f t="shared" si="14"/>
        <v>0.19583333333333333</v>
      </c>
    </row>
    <row r="552" spans="4:9">
      <c r="D552" s="15">
        <v>67574563</v>
      </c>
      <c r="E552" s="6" t="s">
        <v>247</v>
      </c>
      <c r="F552" s="6" t="s">
        <v>287</v>
      </c>
      <c r="G552" s="6">
        <v>12</v>
      </c>
      <c r="H552" s="5">
        <v>2.35</v>
      </c>
      <c r="I552" s="4">
        <f t="shared" si="14"/>
        <v>0.19583333333333333</v>
      </c>
    </row>
    <row r="553" spans="4:9">
      <c r="D553" s="15">
        <v>84160295</v>
      </c>
      <c r="E553" s="6" t="s">
        <v>247</v>
      </c>
      <c r="F553" s="6" t="s">
        <v>286</v>
      </c>
      <c r="G553" s="6">
        <v>12</v>
      </c>
      <c r="H553" s="5">
        <v>2.35</v>
      </c>
      <c r="I553" s="4">
        <f t="shared" si="14"/>
        <v>0.19583333333333333</v>
      </c>
    </row>
    <row r="554" spans="4:9">
      <c r="D554" s="15">
        <v>67502947</v>
      </c>
      <c r="E554" s="6" t="s">
        <v>247</v>
      </c>
      <c r="F554" s="6" t="s">
        <v>285</v>
      </c>
      <c r="G554" s="6">
        <v>12</v>
      </c>
      <c r="H554" s="5">
        <v>2.35</v>
      </c>
      <c r="I554" s="4">
        <f t="shared" si="14"/>
        <v>0.19583333333333333</v>
      </c>
    </row>
    <row r="555" spans="4:9">
      <c r="D555" s="15">
        <v>579321</v>
      </c>
      <c r="E555" s="6" t="s">
        <v>247</v>
      </c>
      <c r="F555" s="6" t="s">
        <v>284</v>
      </c>
      <c r="G555" s="6">
        <v>12</v>
      </c>
      <c r="H555" s="5">
        <v>2.35</v>
      </c>
      <c r="I555" s="4">
        <f t="shared" si="14"/>
        <v>0.19583333333333333</v>
      </c>
    </row>
    <row r="556" spans="4:9">
      <c r="D556" s="15">
        <v>579305</v>
      </c>
      <c r="E556" s="6" t="s">
        <v>247</v>
      </c>
      <c r="F556" s="6" t="s">
        <v>68</v>
      </c>
      <c r="G556" s="6">
        <v>12</v>
      </c>
      <c r="H556" s="5">
        <v>2.35</v>
      </c>
      <c r="I556" s="4">
        <f t="shared" si="14"/>
        <v>0.19583333333333333</v>
      </c>
    </row>
    <row r="557" spans="4:9">
      <c r="D557" s="15">
        <v>68437778</v>
      </c>
      <c r="E557" s="6" t="s">
        <v>247</v>
      </c>
      <c r="F557" s="6" t="s">
        <v>283</v>
      </c>
      <c r="G557" s="6">
        <v>12</v>
      </c>
      <c r="H557" s="5">
        <v>2.35</v>
      </c>
      <c r="I557" s="4">
        <f t="shared" si="14"/>
        <v>0.19583333333333333</v>
      </c>
    </row>
    <row r="558" spans="4:9">
      <c r="D558" s="15">
        <v>67287827</v>
      </c>
      <c r="E558" s="6" t="s">
        <v>247</v>
      </c>
      <c r="F558" s="6" t="s">
        <v>282</v>
      </c>
      <c r="G558" s="6">
        <v>12</v>
      </c>
      <c r="H558" s="5">
        <v>1.4</v>
      </c>
      <c r="I558" s="4">
        <f t="shared" si="14"/>
        <v>0.11666666666666665</v>
      </c>
    </row>
    <row r="559" spans="4:9">
      <c r="D559" s="15">
        <v>575824</v>
      </c>
      <c r="E559" s="6" t="s">
        <v>247</v>
      </c>
      <c r="F559" s="6" t="s">
        <v>67</v>
      </c>
      <c r="G559" s="6">
        <v>12</v>
      </c>
      <c r="H559" s="5">
        <v>1.4</v>
      </c>
      <c r="I559" s="4">
        <f t="shared" si="14"/>
        <v>0.11666666666666665</v>
      </c>
    </row>
    <row r="560" spans="4:9">
      <c r="D560" s="15">
        <v>577855</v>
      </c>
      <c r="E560" s="6" t="s">
        <v>247</v>
      </c>
      <c r="F560" s="6" t="s">
        <v>281</v>
      </c>
      <c r="G560" s="6">
        <v>12</v>
      </c>
      <c r="H560" s="5">
        <v>1.4</v>
      </c>
      <c r="I560" s="4">
        <f t="shared" si="14"/>
        <v>0.11666666666666665</v>
      </c>
    </row>
    <row r="561" spans="4:9">
      <c r="D561" s="15">
        <v>560365</v>
      </c>
      <c r="E561" s="6" t="s">
        <v>247</v>
      </c>
      <c r="F561" s="6" t="s">
        <v>280</v>
      </c>
      <c r="G561" s="6">
        <v>12</v>
      </c>
      <c r="H561" s="5">
        <v>1.4</v>
      </c>
      <c r="I561" s="4">
        <f t="shared" si="14"/>
        <v>0.11666666666666665</v>
      </c>
    </row>
    <row r="562" spans="4:9">
      <c r="D562" s="15">
        <v>577853</v>
      </c>
      <c r="E562" s="6" t="s">
        <v>247</v>
      </c>
      <c r="F562" s="6" t="s">
        <v>279</v>
      </c>
      <c r="G562" s="6">
        <v>12</v>
      </c>
      <c r="H562" s="5">
        <v>1.4</v>
      </c>
      <c r="I562" s="4">
        <f t="shared" si="14"/>
        <v>0.11666666666666665</v>
      </c>
    </row>
    <row r="563" spans="4:9">
      <c r="D563" s="15">
        <v>560374</v>
      </c>
      <c r="E563" s="6" t="s">
        <v>247</v>
      </c>
      <c r="F563" s="6" t="s">
        <v>278</v>
      </c>
      <c r="G563" s="6">
        <v>12</v>
      </c>
      <c r="H563" s="5">
        <v>1.2</v>
      </c>
      <c r="I563" s="4">
        <f t="shared" si="14"/>
        <v>9.9999999999999992E-2</v>
      </c>
    </row>
    <row r="564" spans="4:9">
      <c r="D564" s="15">
        <v>589708</v>
      </c>
      <c r="E564" s="6" t="s">
        <v>247</v>
      </c>
      <c r="F564" s="6" t="s">
        <v>277</v>
      </c>
      <c r="G564" s="6">
        <v>12</v>
      </c>
      <c r="H564" s="5">
        <v>1.2</v>
      </c>
      <c r="I564" s="4">
        <f t="shared" si="14"/>
        <v>9.9999999999999992E-2</v>
      </c>
    </row>
    <row r="565" spans="4:9">
      <c r="D565" s="15">
        <v>578100</v>
      </c>
      <c r="E565" s="6" t="s">
        <v>247</v>
      </c>
      <c r="F565" s="6" t="s">
        <v>276</v>
      </c>
      <c r="G565" s="6">
        <v>12</v>
      </c>
      <c r="H565" s="5">
        <v>0.4</v>
      </c>
      <c r="I565" s="4">
        <f t="shared" si="14"/>
        <v>3.3333333333333333E-2</v>
      </c>
    </row>
    <row r="566" spans="4:9">
      <c r="D566" s="15">
        <v>557831</v>
      </c>
      <c r="E566" s="6" t="s">
        <v>247</v>
      </c>
      <c r="F566" s="6" t="s">
        <v>275</v>
      </c>
      <c r="G566" s="6">
        <v>12</v>
      </c>
      <c r="H566" s="5">
        <v>0.4</v>
      </c>
      <c r="I566" s="4">
        <f t="shared" si="14"/>
        <v>3.3333333333333333E-2</v>
      </c>
    </row>
    <row r="567" spans="4:9">
      <c r="D567" s="15">
        <v>582041</v>
      </c>
      <c r="E567" s="6" t="s">
        <v>247</v>
      </c>
      <c r="F567" s="6" t="s">
        <v>274</v>
      </c>
      <c r="G567" s="6">
        <v>12</v>
      </c>
      <c r="H567" s="5">
        <v>1.35</v>
      </c>
      <c r="I567" s="4">
        <f t="shared" si="14"/>
        <v>0.1125</v>
      </c>
    </row>
    <row r="568" spans="4:9">
      <c r="D568" s="15">
        <v>68436574</v>
      </c>
      <c r="E568" s="6" t="s">
        <v>247</v>
      </c>
      <c r="F568" s="6" t="s">
        <v>273</v>
      </c>
      <c r="G568" s="6">
        <v>12</v>
      </c>
      <c r="H568" s="5">
        <v>1.35</v>
      </c>
      <c r="I568" s="4">
        <f t="shared" si="14"/>
        <v>0.1125</v>
      </c>
    </row>
    <row r="569" spans="4:9">
      <c r="D569" s="15">
        <v>68436586</v>
      </c>
      <c r="E569" s="6" t="s">
        <v>247</v>
      </c>
      <c r="F569" s="6" t="s">
        <v>272</v>
      </c>
      <c r="G569" s="6">
        <v>12</v>
      </c>
      <c r="H569" s="5">
        <v>1.35</v>
      </c>
      <c r="I569" s="4">
        <f t="shared" si="14"/>
        <v>0.1125</v>
      </c>
    </row>
    <row r="570" spans="4:9">
      <c r="D570" s="15">
        <v>571467</v>
      </c>
      <c r="E570" s="6" t="s">
        <v>247</v>
      </c>
      <c r="F570" s="6" t="s">
        <v>271</v>
      </c>
      <c r="G570" s="6">
        <v>12</v>
      </c>
      <c r="H570" s="5">
        <v>1.35</v>
      </c>
      <c r="I570" s="4">
        <f t="shared" si="14"/>
        <v>0.1125</v>
      </c>
    </row>
    <row r="571" spans="4:9">
      <c r="D571" s="15">
        <v>84162953</v>
      </c>
      <c r="E571" s="6" t="s">
        <v>247</v>
      </c>
      <c r="F571" s="6" t="s">
        <v>270</v>
      </c>
      <c r="G571" s="6">
        <v>12</v>
      </c>
      <c r="H571" s="5">
        <v>1.35</v>
      </c>
      <c r="I571" s="4">
        <f t="shared" si="14"/>
        <v>0.1125</v>
      </c>
    </row>
    <row r="572" spans="4:9">
      <c r="D572" s="15">
        <v>566030</v>
      </c>
      <c r="E572" s="6" t="s">
        <v>247</v>
      </c>
      <c r="F572" s="6" t="s">
        <v>269</v>
      </c>
      <c r="G572" s="6">
        <v>12</v>
      </c>
      <c r="H572" s="5">
        <v>1.35</v>
      </c>
      <c r="I572" s="4">
        <f t="shared" si="14"/>
        <v>0.1125</v>
      </c>
    </row>
    <row r="573" spans="4:9">
      <c r="D573" s="15">
        <v>571466</v>
      </c>
      <c r="E573" s="6" t="s">
        <v>247</v>
      </c>
      <c r="F573" s="6" t="s">
        <v>268</v>
      </c>
      <c r="G573" s="6">
        <v>12</v>
      </c>
      <c r="H573" s="5">
        <v>1.35</v>
      </c>
      <c r="I573" s="4">
        <f t="shared" si="14"/>
        <v>0.1125</v>
      </c>
    </row>
    <row r="574" spans="4:9">
      <c r="D574" s="15">
        <v>84162865</v>
      </c>
      <c r="E574" s="6" t="s">
        <v>247</v>
      </c>
      <c r="F574" s="6" t="s">
        <v>267</v>
      </c>
      <c r="G574" s="6">
        <v>12</v>
      </c>
      <c r="H574" s="5">
        <v>1.35</v>
      </c>
      <c r="I574" s="4">
        <f t="shared" si="14"/>
        <v>0.1125</v>
      </c>
    </row>
    <row r="575" spans="4:9">
      <c r="D575" s="15">
        <v>84171576</v>
      </c>
      <c r="E575" s="6" t="s">
        <v>1074</v>
      </c>
      <c r="F575" s="6" t="s">
        <v>266</v>
      </c>
      <c r="G575" s="6">
        <v>12</v>
      </c>
      <c r="H575" s="5">
        <v>1.35</v>
      </c>
      <c r="I575" s="4">
        <f t="shared" si="14"/>
        <v>0.1125</v>
      </c>
    </row>
    <row r="576" spans="4:9">
      <c r="D576" s="15">
        <v>576687</v>
      </c>
      <c r="E576" s="6" t="s">
        <v>247</v>
      </c>
      <c r="F576" s="6" t="s">
        <v>265</v>
      </c>
      <c r="G576" s="6">
        <v>12</v>
      </c>
      <c r="H576" s="5">
        <v>1.35</v>
      </c>
      <c r="I576" s="4">
        <f t="shared" si="14"/>
        <v>0.1125</v>
      </c>
    </row>
    <row r="577" spans="4:9">
      <c r="D577" s="15">
        <v>576690</v>
      </c>
      <c r="E577" s="6" t="s">
        <v>247</v>
      </c>
      <c r="F577" s="6" t="s">
        <v>264</v>
      </c>
      <c r="G577" s="6">
        <v>12</v>
      </c>
      <c r="H577" s="5">
        <v>1.35</v>
      </c>
      <c r="I577" s="4">
        <f t="shared" si="14"/>
        <v>0.1125</v>
      </c>
    </row>
    <row r="578" spans="4:9">
      <c r="D578" s="15">
        <v>84153991</v>
      </c>
      <c r="E578" s="6" t="s">
        <v>173</v>
      </c>
      <c r="F578" s="6" t="s">
        <v>263</v>
      </c>
      <c r="G578" s="6">
        <v>15</v>
      </c>
      <c r="H578" s="5">
        <v>33.1</v>
      </c>
      <c r="I578" s="4">
        <f t="shared" si="14"/>
        <v>2.2066666666666666</v>
      </c>
    </row>
    <row r="579" spans="4:9">
      <c r="D579" s="15">
        <v>68524859</v>
      </c>
      <c r="E579" s="6" t="s">
        <v>1075</v>
      </c>
      <c r="F579" s="6" t="s">
        <v>66</v>
      </c>
      <c r="G579" s="6">
        <v>24</v>
      </c>
      <c r="H579" s="5">
        <v>14.85</v>
      </c>
      <c r="I579" s="4">
        <f t="shared" si="14"/>
        <v>0.61875000000000002</v>
      </c>
    </row>
    <row r="580" spans="4:9">
      <c r="D580" s="15">
        <v>68775732</v>
      </c>
      <c r="E580" s="6" t="s">
        <v>153</v>
      </c>
      <c r="F580" s="6" t="s">
        <v>65</v>
      </c>
      <c r="G580" s="6">
        <v>20</v>
      </c>
      <c r="H580" s="5">
        <v>6.35</v>
      </c>
      <c r="I580" s="4">
        <f t="shared" si="14"/>
        <v>0.3175</v>
      </c>
    </row>
    <row r="581" spans="4:9">
      <c r="D581" s="15">
        <v>68466961</v>
      </c>
      <c r="E581" s="6" t="s">
        <v>247</v>
      </c>
      <c r="F581" s="6" t="s">
        <v>262</v>
      </c>
      <c r="G581" s="6">
        <v>6</v>
      </c>
      <c r="H581" s="5">
        <v>2.1</v>
      </c>
      <c r="I581" s="4">
        <f t="shared" si="14"/>
        <v>0.35000000000000003</v>
      </c>
    </row>
    <row r="582" spans="4:9">
      <c r="D582" s="15">
        <v>68466966</v>
      </c>
      <c r="E582" s="6" t="s">
        <v>247</v>
      </c>
      <c r="F582" s="6" t="s">
        <v>261</v>
      </c>
      <c r="G582" s="6">
        <v>12</v>
      </c>
      <c r="H582" s="5">
        <v>2.1</v>
      </c>
      <c r="I582" s="4">
        <f t="shared" si="14"/>
        <v>0.17500000000000002</v>
      </c>
    </row>
    <row r="583" spans="4:9">
      <c r="D583" s="15">
        <v>68474633</v>
      </c>
      <c r="E583" s="6" t="s">
        <v>247</v>
      </c>
      <c r="F583" s="6" t="s">
        <v>260</v>
      </c>
      <c r="G583" s="6">
        <v>12</v>
      </c>
      <c r="H583" s="5">
        <v>2.1</v>
      </c>
      <c r="I583" s="4">
        <f t="shared" si="14"/>
        <v>0.17500000000000002</v>
      </c>
    </row>
    <row r="584" spans="4:9">
      <c r="D584" s="15">
        <v>68401571</v>
      </c>
      <c r="E584" s="6" t="s">
        <v>1075</v>
      </c>
      <c r="F584" s="6" t="s">
        <v>259</v>
      </c>
      <c r="G584" s="6">
        <v>12</v>
      </c>
      <c r="H584" s="5">
        <v>11.15</v>
      </c>
      <c r="I584" s="4">
        <f t="shared" si="14"/>
        <v>0.9291666666666667</v>
      </c>
    </row>
    <row r="585" spans="4:9">
      <c r="D585" s="15">
        <v>68399684</v>
      </c>
      <c r="E585" s="6" t="s">
        <v>1075</v>
      </c>
      <c r="F585" s="6" t="s">
        <v>64</v>
      </c>
      <c r="G585" s="6">
        <v>12</v>
      </c>
      <c r="H585" s="5">
        <v>11.15</v>
      </c>
      <c r="I585" s="4">
        <f t="shared" si="14"/>
        <v>0.9291666666666667</v>
      </c>
    </row>
    <row r="586" spans="4:9">
      <c r="D586" s="15">
        <v>68227509</v>
      </c>
      <c r="E586" s="6" t="s">
        <v>1075</v>
      </c>
      <c r="F586" s="6" t="s">
        <v>258</v>
      </c>
      <c r="G586" s="6">
        <v>12</v>
      </c>
      <c r="H586" s="5">
        <v>11.15</v>
      </c>
      <c r="I586" s="4">
        <f t="shared" si="14"/>
        <v>0.9291666666666667</v>
      </c>
    </row>
    <row r="587" spans="4:9">
      <c r="D587" s="15">
        <v>68524848</v>
      </c>
      <c r="E587" s="6" t="s">
        <v>1075</v>
      </c>
      <c r="F587" s="6" t="s">
        <v>62</v>
      </c>
      <c r="G587" s="6">
        <v>24</v>
      </c>
      <c r="H587" s="5">
        <v>22.3</v>
      </c>
      <c r="I587" s="4">
        <f t="shared" si="14"/>
        <v>0.9291666666666667</v>
      </c>
    </row>
    <row r="588" spans="4:9">
      <c r="D588" s="15">
        <v>68564993</v>
      </c>
      <c r="E588" s="6" t="s">
        <v>1075</v>
      </c>
      <c r="F588" s="6" t="s">
        <v>61</v>
      </c>
      <c r="G588" s="6">
        <v>12</v>
      </c>
      <c r="H588" s="5">
        <v>11.15</v>
      </c>
      <c r="I588" s="4">
        <f t="shared" si="14"/>
        <v>0.9291666666666667</v>
      </c>
    </row>
    <row r="589" spans="4:9">
      <c r="D589" s="15">
        <v>68524850</v>
      </c>
      <c r="E589" s="6" t="s">
        <v>1075</v>
      </c>
      <c r="F589" s="6" t="s">
        <v>257</v>
      </c>
      <c r="G589" s="6">
        <v>24</v>
      </c>
      <c r="H589" s="5">
        <v>14.85</v>
      </c>
      <c r="I589" s="4">
        <f t="shared" si="14"/>
        <v>0.61875000000000002</v>
      </c>
    </row>
    <row r="590" spans="4:9">
      <c r="D590" s="15">
        <v>68524851</v>
      </c>
      <c r="E590" s="6" t="s">
        <v>1075</v>
      </c>
      <c r="F590" s="6" t="s">
        <v>256</v>
      </c>
      <c r="G590" s="6">
        <v>24</v>
      </c>
      <c r="H590" s="5">
        <v>14.85</v>
      </c>
      <c r="I590" s="4">
        <f t="shared" si="14"/>
        <v>0.61875000000000002</v>
      </c>
    </row>
    <row r="591" spans="4:9">
      <c r="D591" s="15">
        <v>68524852</v>
      </c>
      <c r="E591" s="6" t="s">
        <v>1075</v>
      </c>
      <c r="F591" s="6" t="s">
        <v>255</v>
      </c>
      <c r="G591" s="6">
        <v>24</v>
      </c>
      <c r="H591" s="5">
        <v>14.85</v>
      </c>
      <c r="I591" s="4">
        <f t="shared" si="14"/>
        <v>0.61875000000000002</v>
      </c>
    </row>
    <row r="592" spans="4:9">
      <c r="D592" s="15">
        <v>68524854</v>
      </c>
      <c r="E592" s="6" t="s">
        <v>1075</v>
      </c>
      <c r="F592" s="6" t="s">
        <v>254</v>
      </c>
      <c r="G592" s="6">
        <v>24</v>
      </c>
      <c r="H592" s="5">
        <v>14.85</v>
      </c>
      <c r="I592" s="4">
        <f t="shared" si="14"/>
        <v>0.61875000000000002</v>
      </c>
    </row>
    <row r="593" spans="4:9">
      <c r="D593" s="59">
        <v>69678218</v>
      </c>
      <c r="E593" s="6" t="s">
        <v>1075</v>
      </c>
      <c r="F593" s="6" t="s">
        <v>2219</v>
      </c>
      <c r="G593" s="6">
        <v>24</v>
      </c>
      <c r="H593" s="5">
        <v>14.85</v>
      </c>
      <c r="I593" s="4">
        <f>H593/G593</f>
        <v>0.61875000000000002</v>
      </c>
    </row>
    <row r="594" spans="4:9">
      <c r="D594" s="15">
        <v>68524857</v>
      </c>
      <c r="E594" s="6" t="s">
        <v>1075</v>
      </c>
      <c r="F594" s="6" t="s">
        <v>60</v>
      </c>
      <c r="G594" s="6">
        <v>24</v>
      </c>
      <c r="H594" s="5">
        <v>14.85</v>
      </c>
      <c r="I594" s="4">
        <f t="shared" si="14"/>
        <v>0.61875000000000002</v>
      </c>
    </row>
    <row r="595" spans="4:9">
      <c r="D595" s="15">
        <v>547832</v>
      </c>
      <c r="E595" s="6" t="s">
        <v>1075</v>
      </c>
      <c r="F595" s="6" t="s">
        <v>253</v>
      </c>
      <c r="G595" s="6">
        <v>12</v>
      </c>
      <c r="H595" s="5">
        <v>7.45</v>
      </c>
      <c r="I595" s="4">
        <f t="shared" si="14"/>
        <v>0.62083333333333335</v>
      </c>
    </row>
    <row r="596" spans="4:9">
      <c r="D596" s="15">
        <v>84158931</v>
      </c>
      <c r="E596" s="6" t="s">
        <v>247</v>
      </c>
      <c r="F596" s="6" t="s">
        <v>252</v>
      </c>
      <c r="G596" s="6">
        <v>12</v>
      </c>
      <c r="H596" s="5">
        <v>9</v>
      </c>
      <c r="I596" s="4">
        <f t="shared" si="14"/>
        <v>0.75</v>
      </c>
    </row>
    <row r="597" spans="4:9">
      <c r="D597" s="15">
        <v>579337</v>
      </c>
      <c r="E597" s="6" t="s">
        <v>247</v>
      </c>
      <c r="F597" s="6" t="s">
        <v>251</v>
      </c>
      <c r="G597" s="6">
        <v>12</v>
      </c>
      <c r="H597" s="5">
        <v>7.95</v>
      </c>
      <c r="I597" s="4">
        <f t="shared" si="14"/>
        <v>0.66249999999999998</v>
      </c>
    </row>
    <row r="598" spans="4:9">
      <c r="D598" s="15">
        <v>579264</v>
      </c>
      <c r="E598" s="6" t="s">
        <v>247</v>
      </c>
      <c r="F598" s="6" t="s">
        <v>250</v>
      </c>
      <c r="G598" s="6">
        <v>12</v>
      </c>
      <c r="H598" s="5">
        <v>7.95</v>
      </c>
      <c r="I598" s="4">
        <f t="shared" si="14"/>
        <v>0.66249999999999998</v>
      </c>
    </row>
    <row r="599" spans="4:9">
      <c r="D599" s="15">
        <v>579385</v>
      </c>
      <c r="E599" s="6" t="s">
        <v>247</v>
      </c>
      <c r="F599" s="6" t="s">
        <v>249</v>
      </c>
      <c r="G599" s="6">
        <v>12</v>
      </c>
      <c r="H599" s="5">
        <v>7.95</v>
      </c>
      <c r="I599" s="4">
        <f t="shared" si="14"/>
        <v>0.66249999999999998</v>
      </c>
    </row>
    <row r="600" spans="4:9">
      <c r="D600" s="15">
        <v>84158963</v>
      </c>
      <c r="E600" s="6" t="s">
        <v>247</v>
      </c>
      <c r="F600" s="6" t="s">
        <v>248</v>
      </c>
      <c r="G600" s="6">
        <v>12</v>
      </c>
      <c r="H600" s="5">
        <v>9</v>
      </c>
      <c r="I600" s="4">
        <f t="shared" si="14"/>
        <v>0.75</v>
      </c>
    </row>
    <row r="601" spans="4:9">
      <c r="D601" s="15">
        <v>84158961</v>
      </c>
      <c r="E601" s="6" t="s">
        <v>247</v>
      </c>
      <c r="F601" s="6" t="s">
        <v>246</v>
      </c>
      <c r="G601" s="6">
        <v>12</v>
      </c>
      <c r="H601" s="5">
        <v>9</v>
      </c>
      <c r="I601" s="4">
        <f t="shared" si="14"/>
        <v>0.75</v>
      </c>
    </row>
    <row r="602" spans="4:9">
      <c r="D602" s="15">
        <v>84159927</v>
      </c>
      <c r="E602" s="6" t="s">
        <v>247</v>
      </c>
      <c r="F602" s="6" t="s">
        <v>245</v>
      </c>
      <c r="G602" s="6">
        <v>12</v>
      </c>
      <c r="H602" s="5">
        <v>9</v>
      </c>
      <c r="I602" s="4">
        <f t="shared" si="14"/>
        <v>0.75</v>
      </c>
    </row>
    <row r="603" spans="4:9">
      <c r="D603" s="15">
        <v>84159040</v>
      </c>
      <c r="E603" s="6" t="s">
        <v>247</v>
      </c>
      <c r="F603" s="6" t="s">
        <v>244</v>
      </c>
      <c r="G603" s="6">
        <v>12</v>
      </c>
      <c r="H603" s="5">
        <v>9</v>
      </c>
      <c r="I603" s="4">
        <f t="shared" si="14"/>
        <v>0.75</v>
      </c>
    </row>
    <row r="604" spans="4:9">
      <c r="D604" s="15" t="s">
        <v>243</v>
      </c>
      <c r="E604" s="6" t="s">
        <v>242</v>
      </c>
      <c r="F604" s="6" t="s">
        <v>241</v>
      </c>
      <c r="G604" s="6">
        <v>8</v>
      </c>
      <c r="H604" s="5"/>
      <c r="I604" s="4">
        <f t="shared" si="14"/>
        <v>0</v>
      </c>
    </row>
    <row r="605" spans="4:9">
      <c r="D605" s="15" t="s">
        <v>240</v>
      </c>
      <c r="E605" s="6" t="s">
        <v>237</v>
      </c>
      <c r="F605" s="6" t="s">
        <v>239</v>
      </c>
      <c r="G605" s="6">
        <v>1</v>
      </c>
      <c r="H605" s="5"/>
      <c r="I605" s="4">
        <f t="shared" si="14"/>
        <v>0</v>
      </c>
    </row>
    <row r="606" spans="4:9">
      <c r="D606" s="15" t="s">
        <v>238</v>
      </c>
      <c r="E606" s="6" t="s">
        <v>237</v>
      </c>
      <c r="F606" s="6" t="s">
        <v>236</v>
      </c>
      <c r="G606" s="6">
        <v>1</v>
      </c>
      <c r="H606" s="5"/>
      <c r="I606" s="4">
        <f t="shared" si="14"/>
        <v>0</v>
      </c>
    </row>
    <row r="607" spans="4:9">
      <c r="D607" s="15">
        <v>84165177</v>
      </c>
      <c r="E607" s="6" t="s">
        <v>173</v>
      </c>
      <c r="F607" s="6" t="s">
        <v>235</v>
      </c>
      <c r="G607" s="6">
        <v>10</v>
      </c>
      <c r="H607" s="5"/>
      <c r="I607" s="4">
        <f t="shared" si="14"/>
        <v>0</v>
      </c>
    </row>
    <row r="608" spans="4:9">
      <c r="D608" s="15">
        <v>84150883</v>
      </c>
      <c r="E608" s="6" t="s">
        <v>153</v>
      </c>
      <c r="F608" s="6" t="s">
        <v>234</v>
      </c>
      <c r="G608" s="6">
        <v>15</v>
      </c>
      <c r="H608" s="5">
        <v>33.1</v>
      </c>
      <c r="I608" s="4">
        <f t="shared" si="14"/>
        <v>2.2066666666666666</v>
      </c>
    </row>
    <row r="609" spans="4:9">
      <c r="D609" s="15">
        <v>50470021</v>
      </c>
      <c r="E609" s="6" t="s">
        <v>1076</v>
      </c>
      <c r="F609" s="6" t="s">
        <v>233</v>
      </c>
      <c r="G609" s="6">
        <v>6</v>
      </c>
      <c r="H609" s="5">
        <v>17.5</v>
      </c>
      <c r="I609" s="4">
        <f t="shared" si="14"/>
        <v>2.9166666666666665</v>
      </c>
    </row>
    <row r="610" spans="4:9">
      <c r="D610" s="15">
        <v>50470107</v>
      </c>
      <c r="E610" s="6" t="s">
        <v>1076</v>
      </c>
      <c r="F610" s="6" t="s">
        <v>232</v>
      </c>
      <c r="G610" s="6">
        <v>6</v>
      </c>
      <c r="H610" s="5">
        <v>17.5</v>
      </c>
      <c r="I610" s="4">
        <f t="shared" si="14"/>
        <v>2.9166666666666665</v>
      </c>
    </row>
    <row r="611" spans="4:9">
      <c r="D611" s="15">
        <v>5047023</v>
      </c>
      <c r="E611" s="6" t="s">
        <v>1076</v>
      </c>
      <c r="F611" s="6" t="s">
        <v>231</v>
      </c>
      <c r="G611" s="6">
        <v>4</v>
      </c>
      <c r="H611" s="5">
        <v>11.24</v>
      </c>
      <c r="I611" s="4">
        <f t="shared" si="14"/>
        <v>2.81</v>
      </c>
    </row>
    <row r="612" spans="4:9">
      <c r="D612" s="15">
        <v>5047025</v>
      </c>
      <c r="E612" s="6" t="s">
        <v>173</v>
      </c>
      <c r="F612" s="6" t="s">
        <v>230</v>
      </c>
      <c r="G612" s="6">
        <v>4</v>
      </c>
      <c r="H612" s="5">
        <v>11.24</v>
      </c>
      <c r="I612" s="4">
        <f t="shared" ref="I612:I675" si="15">H612/G612</f>
        <v>2.81</v>
      </c>
    </row>
    <row r="613" spans="4:9">
      <c r="D613" s="15">
        <v>50470010</v>
      </c>
      <c r="E613" s="6" t="s">
        <v>153</v>
      </c>
      <c r="F613" s="6" t="s">
        <v>229</v>
      </c>
      <c r="G613" s="6">
        <v>6</v>
      </c>
      <c r="H613" s="5">
        <v>17.5</v>
      </c>
      <c r="I613" s="4">
        <f t="shared" si="15"/>
        <v>2.9166666666666665</v>
      </c>
    </row>
    <row r="614" spans="4:9">
      <c r="D614" s="15">
        <v>5047027</v>
      </c>
      <c r="E614" s="6" t="s">
        <v>1076</v>
      </c>
      <c r="F614" s="6" t="s">
        <v>228</v>
      </c>
      <c r="G614" s="6">
        <v>4</v>
      </c>
      <c r="H614" s="5">
        <v>11.24</v>
      </c>
      <c r="I614" s="4">
        <f t="shared" si="15"/>
        <v>2.81</v>
      </c>
    </row>
    <row r="615" spans="4:9">
      <c r="D615" s="15">
        <v>5047022</v>
      </c>
      <c r="E615" s="6" t="s">
        <v>1076</v>
      </c>
      <c r="F615" s="6" t="s">
        <v>227</v>
      </c>
      <c r="G615" s="6">
        <v>4</v>
      </c>
      <c r="H615" s="5">
        <v>11.24</v>
      </c>
      <c r="I615" s="4">
        <f t="shared" si="15"/>
        <v>2.81</v>
      </c>
    </row>
    <row r="616" spans="4:9">
      <c r="D616" s="15">
        <v>50470020</v>
      </c>
      <c r="E616" s="6" t="s">
        <v>1837</v>
      </c>
      <c r="F616" s="6" t="s">
        <v>226</v>
      </c>
      <c r="G616" s="6">
        <v>6</v>
      </c>
      <c r="H616" s="5">
        <v>17.5</v>
      </c>
      <c r="I616" s="4">
        <f t="shared" si="15"/>
        <v>2.9166666666666665</v>
      </c>
    </row>
    <row r="617" spans="4:9">
      <c r="D617" s="15">
        <v>50470103</v>
      </c>
      <c r="E617" s="6" t="s">
        <v>153</v>
      </c>
      <c r="F617" s="6" t="s">
        <v>225</v>
      </c>
      <c r="G617" s="6">
        <v>4</v>
      </c>
      <c r="H617" s="5">
        <v>10.6</v>
      </c>
      <c r="I617" s="4">
        <f t="shared" si="15"/>
        <v>2.65</v>
      </c>
    </row>
    <row r="618" spans="4:9">
      <c r="D618" s="15">
        <v>641628</v>
      </c>
      <c r="E618" s="6" t="s">
        <v>655</v>
      </c>
      <c r="F618" s="6" t="s">
        <v>224</v>
      </c>
      <c r="G618" s="6">
        <v>4</v>
      </c>
      <c r="H618" s="5">
        <v>10.6</v>
      </c>
      <c r="I618" s="4">
        <f t="shared" si="15"/>
        <v>2.65</v>
      </c>
    </row>
    <row r="619" spans="4:9">
      <c r="D619" s="15">
        <v>642304</v>
      </c>
      <c r="E619" s="6" t="s">
        <v>655</v>
      </c>
      <c r="F619" s="6" t="s">
        <v>223</v>
      </c>
      <c r="G619" s="6">
        <v>4</v>
      </c>
      <c r="H619" s="5">
        <v>10.6</v>
      </c>
      <c r="I619" s="4">
        <f t="shared" si="15"/>
        <v>2.65</v>
      </c>
    </row>
    <row r="620" spans="4:9">
      <c r="D620" s="15">
        <v>642205</v>
      </c>
      <c r="E620" s="6" t="s">
        <v>655</v>
      </c>
      <c r="F620" s="6" t="s">
        <v>19</v>
      </c>
      <c r="G620" s="6">
        <v>4</v>
      </c>
      <c r="H620" s="5">
        <v>10.6</v>
      </c>
      <c r="I620" s="4">
        <f t="shared" si="15"/>
        <v>2.65</v>
      </c>
    </row>
    <row r="621" spans="4:9">
      <c r="D621" s="15">
        <v>640706</v>
      </c>
      <c r="E621" s="6" t="s">
        <v>655</v>
      </c>
      <c r="F621" s="6" t="s">
        <v>222</v>
      </c>
      <c r="G621" s="6">
        <v>6</v>
      </c>
      <c r="H621" s="5">
        <v>12.72</v>
      </c>
      <c r="I621" s="4">
        <f t="shared" si="15"/>
        <v>2.12</v>
      </c>
    </row>
    <row r="622" spans="4:9">
      <c r="D622" s="15">
        <v>642236</v>
      </c>
      <c r="E622" s="6" t="s">
        <v>655</v>
      </c>
      <c r="F622" s="6" t="s">
        <v>221</v>
      </c>
      <c r="G622" s="6">
        <v>6</v>
      </c>
      <c r="H622" s="5">
        <v>15.9</v>
      </c>
      <c r="I622" s="4">
        <f t="shared" si="15"/>
        <v>2.65</v>
      </c>
    </row>
    <row r="623" spans="4:9">
      <c r="D623" s="15">
        <v>642557</v>
      </c>
      <c r="E623" s="6" t="s">
        <v>655</v>
      </c>
      <c r="F623" s="6" t="s">
        <v>220</v>
      </c>
      <c r="G623" s="6">
        <v>6</v>
      </c>
      <c r="H623" s="5">
        <v>15.9</v>
      </c>
      <c r="I623" s="4">
        <f t="shared" si="15"/>
        <v>2.65</v>
      </c>
    </row>
    <row r="624" spans="4:9">
      <c r="D624" s="15">
        <v>640690</v>
      </c>
      <c r="E624" s="6" t="s">
        <v>655</v>
      </c>
      <c r="F624" s="6" t="s">
        <v>219</v>
      </c>
      <c r="G624" s="6">
        <v>6</v>
      </c>
      <c r="H624" s="5">
        <v>15.9</v>
      </c>
      <c r="I624" s="4">
        <f t="shared" si="15"/>
        <v>2.65</v>
      </c>
    </row>
    <row r="625" spans="4:9">
      <c r="D625" s="15">
        <v>640676</v>
      </c>
      <c r="E625" s="6" t="s">
        <v>655</v>
      </c>
      <c r="F625" s="6" t="s">
        <v>218</v>
      </c>
      <c r="G625" s="6">
        <v>6</v>
      </c>
      <c r="H625" s="5">
        <v>15.9</v>
      </c>
      <c r="I625" s="4">
        <f t="shared" si="15"/>
        <v>2.65</v>
      </c>
    </row>
    <row r="626" spans="4:9">
      <c r="D626" s="15">
        <v>641833</v>
      </c>
      <c r="E626" s="6" t="s">
        <v>655</v>
      </c>
      <c r="F626" s="6" t="s">
        <v>217</v>
      </c>
      <c r="G626" s="6">
        <v>6</v>
      </c>
      <c r="H626" s="5">
        <v>15.9</v>
      </c>
      <c r="I626" s="4">
        <f t="shared" si="15"/>
        <v>2.65</v>
      </c>
    </row>
    <row r="627" spans="4:9">
      <c r="D627" s="15">
        <v>640959</v>
      </c>
      <c r="E627" s="6" t="s">
        <v>655</v>
      </c>
      <c r="F627" s="6" t="s">
        <v>216</v>
      </c>
      <c r="G627" s="6">
        <v>6</v>
      </c>
      <c r="H627" s="5">
        <v>15.9</v>
      </c>
      <c r="I627" s="4">
        <f t="shared" si="15"/>
        <v>2.65</v>
      </c>
    </row>
    <row r="628" spans="4:9">
      <c r="D628" s="15">
        <v>640683</v>
      </c>
      <c r="E628" s="6" t="s">
        <v>655</v>
      </c>
      <c r="F628" s="6" t="s">
        <v>215</v>
      </c>
      <c r="G628" s="6">
        <v>6</v>
      </c>
      <c r="H628" s="5">
        <v>15.9</v>
      </c>
      <c r="I628" s="4">
        <f t="shared" si="15"/>
        <v>2.65</v>
      </c>
    </row>
    <row r="629" spans="4:9">
      <c r="D629" s="15">
        <v>84160187</v>
      </c>
      <c r="E629" s="6" t="s">
        <v>214</v>
      </c>
      <c r="F629" s="6" t="s">
        <v>213</v>
      </c>
      <c r="G629" s="6">
        <v>48</v>
      </c>
      <c r="H629" s="5">
        <v>9.5500000000000007</v>
      </c>
      <c r="I629" s="4">
        <f t="shared" si="15"/>
        <v>0.19895833333333335</v>
      </c>
    </row>
    <row r="630" spans="4:9">
      <c r="D630" s="15">
        <v>566701</v>
      </c>
      <c r="E630" s="6" t="s">
        <v>1077</v>
      </c>
      <c r="F630" s="6" t="s">
        <v>212</v>
      </c>
      <c r="G630" s="6">
        <v>48</v>
      </c>
      <c r="H630" s="5">
        <v>9.5500000000000007</v>
      </c>
      <c r="I630" s="4">
        <f t="shared" si="15"/>
        <v>0.19895833333333335</v>
      </c>
    </row>
    <row r="631" spans="4:9">
      <c r="D631" s="15">
        <v>68395025</v>
      </c>
      <c r="E631" s="6" t="s">
        <v>1077</v>
      </c>
      <c r="F631" s="6" t="s">
        <v>211</v>
      </c>
      <c r="G631" s="6">
        <v>48</v>
      </c>
      <c r="H631" s="5">
        <v>9.5500000000000007</v>
      </c>
      <c r="I631" s="4">
        <f t="shared" si="15"/>
        <v>0.19895833333333335</v>
      </c>
    </row>
    <row r="632" spans="4:9">
      <c r="D632" s="15">
        <v>5248027</v>
      </c>
      <c r="E632" s="6" t="s">
        <v>210</v>
      </c>
      <c r="F632" s="6" t="s">
        <v>209</v>
      </c>
      <c r="G632" s="6">
        <v>18</v>
      </c>
      <c r="H632" s="5">
        <v>13.52</v>
      </c>
      <c r="I632" s="4">
        <f t="shared" si="15"/>
        <v>0.75111111111111106</v>
      </c>
    </row>
    <row r="633" spans="4:9">
      <c r="D633" s="15">
        <v>50491108</v>
      </c>
      <c r="E633" s="6" t="s">
        <v>1076</v>
      </c>
      <c r="F633" s="6" t="s">
        <v>208</v>
      </c>
      <c r="G633" s="6">
        <v>6</v>
      </c>
      <c r="H633" s="5">
        <v>15.9</v>
      </c>
      <c r="I633" s="4">
        <f t="shared" si="15"/>
        <v>2.65</v>
      </c>
    </row>
    <row r="634" spans="4:9">
      <c r="D634" s="15">
        <v>50490602</v>
      </c>
      <c r="E634" s="6" t="s">
        <v>153</v>
      </c>
      <c r="F634" s="6" t="s">
        <v>207</v>
      </c>
      <c r="G634" s="6">
        <v>6</v>
      </c>
      <c r="H634" s="5">
        <v>15.9</v>
      </c>
      <c r="I634" s="4">
        <f t="shared" si="15"/>
        <v>2.65</v>
      </c>
    </row>
    <row r="635" spans="4:9">
      <c r="D635" s="15">
        <v>50490910</v>
      </c>
      <c r="E635" s="6" t="s">
        <v>1076</v>
      </c>
      <c r="F635" s="6" t="s">
        <v>206</v>
      </c>
      <c r="G635" s="6">
        <v>6</v>
      </c>
      <c r="H635" s="5">
        <v>18.55</v>
      </c>
      <c r="I635" s="4">
        <f t="shared" si="15"/>
        <v>3.0916666666666668</v>
      </c>
    </row>
    <row r="636" spans="4:9">
      <c r="D636" s="15">
        <v>50491107</v>
      </c>
      <c r="E636" s="6" t="s">
        <v>1076</v>
      </c>
      <c r="F636" s="6" t="s">
        <v>205</v>
      </c>
      <c r="G636" s="6">
        <v>6</v>
      </c>
      <c r="H636" s="5">
        <v>15.9</v>
      </c>
      <c r="I636" s="4">
        <f t="shared" si="15"/>
        <v>2.65</v>
      </c>
    </row>
    <row r="637" spans="4:9">
      <c r="D637" s="15">
        <v>50490600</v>
      </c>
      <c r="E637" s="6" t="s">
        <v>153</v>
      </c>
      <c r="F637" s="6" t="s">
        <v>204</v>
      </c>
      <c r="G637" s="6">
        <v>6</v>
      </c>
      <c r="H637" s="5">
        <v>15.9</v>
      </c>
      <c r="I637" s="4">
        <f t="shared" si="15"/>
        <v>2.65</v>
      </c>
    </row>
    <row r="638" spans="4:9">
      <c r="D638" s="15">
        <v>50490908</v>
      </c>
      <c r="E638" s="6" t="s">
        <v>1076</v>
      </c>
      <c r="F638" s="6" t="s">
        <v>203</v>
      </c>
      <c r="G638" s="6">
        <v>6</v>
      </c>
      <c r="H638" s="5">
        <v>18.55</v>
      </c>
      <c r="I638" s="4">
        <f t="shared" si="15"/>
        <v>3.0916666666666668</v>
      </c>
    </row>
    <row r="639" spans="4:9">
      <c r="D639" s="15">
        <v>50490906</v>
      </c>
      <c r="E639" s="6" t="s">
        <v>1076</v>
      </c>
      <c r="F639" s="6" t="s">
        <v>202</v>
      </c>
      <c r="G639" s="6">
        <v>6</v>
      </c>
      <c r="H639" s="5">
        <v>18.55</v>
      </c>
      <c r="I639" s="4">
        <f t="shared" si="15"/>
        <v>3.0916666666666668</v>
      </c>
    </row>
    <row r="640" spans="4:9">
      <c r="D640" s="15">
        <v>50491118</v>
      </c>
      <c r="E640" s="6" t="s">
        <v>1076</v>
      </c>
      <c r="F640" s="6" t="s">
        <v>201</v>
      </c>
      <c r="G640" s="6">
        <v>6</v>
      </c>
      <c r="H640" s="5">
        <v>21.45</v>
      </c>
      <c r="I640" s="4">
        <f t="shared" si="15"/>
        <v>3.5749999999999997</v>
      </c>
    </row>
    <row r="641" spans="4:9">
      <c r="D641" s="15">
        <v>50491119</v>
      </c>
      <c r="E641" s="6" t="s">
        <v>1076</v>
      </c>
      <c r="F641" s="6" t="s">
        <v>200</v>
      </c>
      <c r="G641" s="6">
        <v>6</v>
      </c>
      <c r="H641" s="5">
        <v>21.45</v>
      </c>
      <c r="I641" s="4">
        <f t="shared" si="15"/>
        <v>3.5749999999999997</v>
      </c>
    </row>
    <row r="642" spans="4:9">
      <c r="D642" s="15">
        <v>50490786</v>
      </c>
      <c r="E642" s="6" t="s">
        <v>153</v>
      </c>
      <c r="F642" s="6" t="s">
        <v>199</v>
      </c>
      <c r="G642" s="6">
        <v>6</v>
      </c>
      <c r="H642" s="5">
        <v>22.85</v>
      </c>
      <c r="I642" s="4">
        <f t="shared" si="15"/>
        <v>3.8083333333333336</v>
      </c>
    </row>
    <row r="643" spans="4:9">
      <c r="D643" s="15">
        <v>50491116</v>
      </c>
      <c r="E643" s="6" t="s">
        <v>1076</v>
      </c>
      <c r="F643" s="6" t="s">
        <v>198</v>
      </c>
      <c r="G643" s="6">
        <v>6</v>
      </c>
      <c r="H643" s="5">
        <v>21.45</v>
      </c>
      <c r="I643" s="4">
        <f t="shared" si="15"/>
        <v>3.5749999999999997</v>
      </c>
    </row>
    <row r="644" spans="4:9">
      <c r="D644" s="15">
        <v>50491117</v>
      </c>
      <c r="E644" s="6" t="s">
        <v>153</v>
      </c>
      <c r="F644" s="6" t="s">
        <v>197</v>
      </c>
      <c r="G644" s="6">
        <v>6</v>
      </c>
      <c r="H644" s="5">
        <v>21.45</v>
      </c>
      <c r="I644" s="4">
        <f t="shared" si="15"/>
        <v>3.5749999999999997</v>
      </c>
    </row>
    <row r="645" spans="4:9">
      <c r="D645" s="15">
        <v>5049284</v>
      </c>
      <c r="E645" s="6" t="s">
        <v>153</v>
      </c>
      <c r="F645" s="6" t="s">
        <v>196</v>
      </c>
      <c r="G645" s="6">
        <v>6</v>
      </c>
      <c r="H645" s="5">
        <v>22.85</v>
      </c>
      <c r="I645" s="4">
        <f t="shared" si="15"/>
        <v>3.8083333333333336</v>
      </c>
    </row>
    <row r="646" spans="4:9">
      <c r="D646" s="15">
        <v>50491106</v>
      </c>
      <c r="E646" s="6" t="s">
        <v>1076</v>
      </c>
      <c r="F646" s="6" t="s">
        <v>195</v>
      </c>
      <c r="G646" s="6">
        <v>6</v>
      </c>
      <c r="H646" s="5">
        <v>15.9</v>
      </c>
      <c r="I646" s="4">
        <f t="shared" si="15"/>
        <v>2.65</v>
      </c>
    </row>
    <row r="647" spans="4:9">
      <c r="D647" s="15">
        <v>50491101</v>
      </c>
      <c r="E647" s="6" t="s">
        <v>1076</v>
      </c>
      <c r="F647" s="6" t="s">
        <v>194</v>
      </c>
      <c r="G647" s="6">
        <v>6</v>
      </c>
      <c r="H647" s="5">
        <v>15.9</v>
      </c>
      <c r="I647" s="4">
        <f t="shared" si="15"/>
        <v>2.65</v>
      </c>
    </row>
    <row r="648" spans="4:9">
      <c r="D648" s="15">
        <v>5049264</v>
      </c>
      <c r="E648" s="6" t="s">
        <v>1076</v>
      </c>
      <c r="F648" s="6" t="s">
        <v>193</v>
      </c>
      <c r="G648" s="6">
        <v>6</v>
      </c>
      <c r="H648" s="5">
        <v>15.9</v>
      </c>
      <c r="I648" s="4">
        <f t="shared" si="15"/>
        <v>2.65</v>
      </c>
    </row>
    <row r="649" spans="4:9">
      <c r="D649" s="15">
        <v>50490904</v>
      </c>
      <c r="E649" s="6" t="s">
        <v>1076</v>
      </c>
      <c r="F649" s="6" t="s">
        <v>192</v>
      </c>
      <c r="G649" s="6">
        <v>6</v>
      </c>
      <c r="H649" s="5">
        <v>18.55</v>
      </c>
      <c r="I649" s="4">
        <f t="shared" si="15"/>
        <v>3.0916666666666668</v>
      </c>
    </row>
    <row r="650" spans="4:9">
      <c r="D650" s="15">
        <v>50491102</v>
      </c>
      <c r="E650" s="6" t="s">
        <v>1076</v>
      </c>
      <c r="F650" s="6" t="s">
        <v>191</v>
      </c>
      <c r="G650" s="6">
        <v>6</v>
      </c>
      <c r="H650" s="5">
        <v>15.9</v>
      </c>
      <c r="I650" s="4">
        <f t="shared" si="15"/>
        <v>2.65</v>
      </c>
    </row>
    <row r="651" spans="4:9">
      <c r="D651" s="15">
        <v>50490902</v>
      </c>
      <c r="E651" s="6" t="s">
        <v>1076</v>
      </c>
      <c r="F651" s="6" t="s">
        <v>190</v>
      </c>
      <c r="G651" s="6">
        <v>6</v>
      </c>
      <c r="H651" s="5">
        <v>18.55</v>
      </c>
      <c r="I651" s="4">
        <f t="shared" si="15"/>
        <v>3.0916666666666668</v>
      </c>
    </row>
    <row r="652" spans="4:9">
      <c r="D652" s="15">
        <v>50491104</v>
      </c>
      <c r="E652" s="6" t="s">
        <v>153</v>
      </c>
      <c r="F652" s="6" t="s">
        <v>189</v>
      </c>
      <c r="G652" s="6">
        <v>6</v>
      </c>
      <c r="H652" s="5">
        <v>15.9</v>
      </c>
      <c r="I652" s="4">
        <f t="shared" si="15"/>
        <v>2.65</v>
      </c>
    </row>
    <row r="653" spans="4:9">
      <c r="D653" s="15">
        <v>5049282</v>
      </c>
      <c r="E653" s="6" t="s">
        <v>1076</v>
      </c>
      <c r="F653" s="6" t="s">
        <v>188</v>
      </c>
      <c r="G653" s="6">
        <v>6</v>
      </c>
      <c r="H653" s="5">
        <v>15.9</v>
      </c>
      <c r="I653" s="4">
        <f t="shared" si="15"/>
        <v>2.65</v>
      </c>
    </row>
    <row r="654" spans="4:9">
      <c r="D654" s="15">
        <v>50491103</v>
      </c>
      <c r="E654" s="6" t="s">
        <v>1076</v>
      </c>
      <c r="F654" s="6" t="s">
        <v>187</v>
      </c>
      <c r="G654" s="6">
        <v>6</v>
      </c>
      <c r="H654" s="5">
        <v>15.9</v>
      </c>
      <c r="I654" s="4">
        <f t="shared" si="15"/>
        <v>2.65</v>
      </c>
    </row>
    <row r="655" spans="4:9">
      <c r="D655" s="15">
        <v>50491100</v>
      </c>
      <c r="E655" s="6" t="s">
        <v>1076</v>
      </c>
      <c r="F655" s="6" t="s">
        <v>186</v>
      </c>
      <c r="G655" s="6">
        <v>6</v>
      </c>
      <c r="H655" s="5">
        <v>15.9</v>
      </c>
      <c r="I655" s="4">
        <f t="shared" si="15"/>
        <v>2.65</v>
      </c>
    </row>
    <row r="656" spans="4:9">
      <c r="D656" s="15">
        <v>50490900</v>
      </c>
      <c r="E656" s="6" t="s">
        <v>1076</v>
      </c>
      <c r="F656" s="6" t="s">
        <v>185</v>
      </c>
      <c r="G656" s="6">
        <v>6</v>
      </c>
      <c r="H656" s="5">
        <v>18.55</v>
      </c>
      <c r="I656" s="4">
        <f t="shared" si="15"/>
        <v>3.0916666666666668</v>
      </c>
    </row>
    <row r="657" spans="4:9">
      <c r="D657" s="15">
        <v>50491105</v>
      </c>
      <c r="E657" s="6" t="s">
        <v>153</v>
      </c>
      <c r="F657" s="6" t="s">
        <v>184</v>
      </c>
      <c r="G657" s="6">
        <v>6</v>
      </c>
      <c r="H657" s="5">
        <v>15.9</v>
      </c>
      <c r="I657" s="4">
        <f t="shared" si="15"/>
        <v>2.65</v>
      </c>
    </row>
    <row r="658" spans="4:9">
      <c r="D658" s="15">
        <v>68141796</v>
      </c>
      <c r="E658" s="6" t="s">
        <v>1077</v>
      </c>
      <c r="F658" s="6" t="s">
        <v>183</v>
      </c>
      <c r="G658" s="6">
        <v>48</v>
      </c>
      <c r="H658" s="5">
        <v>12.7</v>
      </c>
      <c r="I658" s="4">
        <f t="shared" si="15"/>
        <v>0.26458333333333334</v>
      </c>
    </row>
    <row r="659" spans="4:9">
      <c r="D659" s="15">
        <v>84157802</v>
      </c>
      <c r="E659" s="6" t="s">
        <v>1077</v>
      </c>
      <c r="F659" s="6" t="s">
        <v>182</v>
      </c>
      <c r="G659" s="6">
        <v>48</v>
      </c>
      <c r="H659" s="5">
        <v>12.7</v>
      </c>
      <c r="I659" s="4">
        <f t="shared" si="15"/>
        <v>0.26458333333333334</v>
      </c>
    </row>
    <row r="660" spans="4:9">
      <c r="D660" s="15">
        <v>84157806</v>
      </c>
      <c r="E660" s="6" t="s">
        <v>173</v>
      </c>
      <c r="F660" s="6" t="s">
        <v>181</v>
      </c>
      <c r="G660" s="6">
        <v>48</v>
      </c>
      <c r="H660" s="5">
        <v>12.7</v>
      </c>
      <c r="I660" s="4">
        <f t="shared" si="15"/>
        <v>0.26458333333333334</v>
      </c>
    </row>
    <row r="661" spans="4:9">
      <c r="D661" s="15">
        <v>84153998</v>
      </c>
      <c r="E661" s="6" t="s">
        <v>173</v>
      </c>
      <c r="F661" s="6" t="s">
        <v>180</v>
      </c>
      <c r="G661" s="6">
        <v>30</v>
      </c>
      <c r="H661" s="5">
        <v>8.3000000000000007</v>
      </c>
      <c r="I661" s="4">
        <f t="shared" si="15"/>
        <v>0.27666666666666667</v>
      </c>
    </row>
    <row r="662" spans="4:9">
      <c r="D662" s="15">
        <v>84154000</v>
      </c>
      <c r="E662" s="6" t="s">
        <v>173</v>
      </c>
      <c r="F662" s="6" t="s">
        <v>179</v>
      </c>
      <c r="G662" s="6">
        <v>15</v>
      </c>
      <c r="H662" s="5">
        <v>33.1</v>
      </c>
      <c r="I662" s="4">
        <f t="shared" si="15"/>
        <v>2.2066666666666666</v>
      </c>
    </row>
    <row r="663" spans="4:9">
      <c r="D663" s="15">
        <v>84162654</v>
      </c>
      <c r="E663" s="6" t="s">
        <v>153</v>
      </c>
      <c r="F663" s="6" t="s">
        <v>178</v>
      </c>
      <c r="G663" s="6">
        <v>30</v>
      </c>
      <c r="H663" s="5">
        <v>8.3000000000000007</v>
      </c>
      <c r="I663" s="4">
        <f t="shared" si="15"/>
        <v>0.27666666666666667</v>
      </c>
    </row>
    <row r="664" spans="4:9">
      <c r="D664" s="15">
        <v>84162625</v>
      </c>
      <c r="E664" s="6" t="s">
        <v>173</v>
      </c>
      <c r="F664" s="6" t="s">
        <v>177</v>
      </c>
      <c r="G664" s="6">
        <v>15</v>
      </c>
      <c r="H664" s="5">
        <v>33.1</v>
      </c>
      <c r="I664" s="4">
        <f t="shared" si="15"/>
        <v>2.2066666666666666</v>
      </c>
    </row>
    <row r="665" spans="4:9">
      <c r="D665" s="15">
        <v>84162605</v>
      </c>
      <c r="E665" s="6" t="s">
        <v>173</v>
      </c>
      <c r="F665" s="6" t="s">
        <v>176</v>
      </c>
      <c r="G665" s="6">
        <v>15</v>
      </c>
      <c r="H665" s="5">
        <v>33.1</v>
      </c>
      <c r="I665" s="4">
        <f t="shared" si="15"/>
        <v>2.2066666666666666</v>
      </c>
    </row>
    <row r="666" spans="4:9">
      <c r="D666" s="15">
        <v>84161915</v>
      </c>
      <c r="E666" s="6" t="s">
        <v>153</v>
      </c>
      <c r="F666" s="6" t="s">
        <v>175</v>
      </c>
      <c r="G666" s="6">
        <v>30</v>
      </c>
      <c r="H666" s="5">
        <v>8.3000000000000007</v>
      </c>
      <c r="I666" s="4">
        <f t="shared" si="15"/>
        <v>0.27666666666666667</v>
      </c>
    </row>
    <row r="667" spans="4:9">
      <c r="D667" s="15">
        <v>84168330</v>
      </c>
      <c r="E667" s="6" t="s">
        <v>153</v>
      </c>
      <c r="F667" s="6" t="s">
        <v>174</v>
      </c>
      <c r="G667" s="6">
        <v>15</v>
      </c>
      <c r="H667" s="5">
        <v>33.1</v>
      </c>
      <c r="I667" s="4">
        <f t="shared" si="15"/>
        <v>2.2066666666666666</v>
      </c>
    </row>
    <row r="668" spans="4:9">
      <c r="D668" s="15">
        <v>84167932</v>
      </c>
      <c r="E668" s="6" t="s">
        <v>173</v>
      </c>
      <c r="F668" s="6" t="s">
        <v>172</v>
      </c>
      <c r="G668" s="6">
        <v>30</v>
      </c>
      <c r="H668" s="5">
        <v>29.8</v>
      </c>
      <c r="I668" s="4">
        <f t="shared" si="15"/>
        <v>0.9933333333333334</v>
      </c>
    </row>
    <row r="669" spans="4:9">
      <c r="D669" s="15">
        <v>84168003</v>
      </c>
      <c r="E669" s="6" t="s">
        <v>153</v>
      </c>
      <c r="F669" s="6" t="s">
        <v>171</v>
      </c>
      <c r="G669" s="6">
        <v>15</v>
      </c>
      <c r="H669" s="5">
        <v>33.1</v>
      </c>
      <c r="I669" s="4">
        <f t="shared" si="15"/>
        <v>2.2066666666666666</v>
      </c>
    </row>
    <row r="670" spans="4:9">
      <c r="D670" s="15">
        <v>84153885</v>
      </c>
      <c r="E670" s="6" t="s">
        <v>153</v>
      </c>
      <c r="F670" s="6" t="s">
        <v>170</v>
      </c>
      <c r="G670" s="6">
        <v>30</v>
      </c>
      <c r="H670" s="5">
        <v>8.3000000000000007</v>
      </c>
      <c r="I670" s="4">
        <f t="shared" si="15"/>
        <v>0.27666666666666667</v>
      </c>
    </row>
    <row r="671" spans="4:9">
      <c r="D671" s="15">
        <v>67411722</v>
      </c>
      <c r="E671" s="6" t="s">
        <v>153</v>
      </c>
      <c r="F671" s="6" t="s">
        <v>169</v>
      </c>
      <c r="G671" s="6">
        <v>15</v>
      </c>
      <c r="H671" s="5">
        <v>33.1</v>
      </c>
      <c r="I671" s="4">
        <f t="shared" si="15"/>
        <v>2.2066666666666666</v>
      </c>
    </row>
    <row r="672" spans="4:9">
      <c r="D672" s="15">
        <v>642359</v>
      </c>
      <c r="E672" s="6" t="s">
        <v>655</v>
      </c>
      <c r="F672" s="6" t="s">
        <v>168</v>
      </c>
      <c r="G672" s="6">
        <v>72</v>
      </c>
      <c r="H672" s="5">
        <v>17.47</v>
      </c>
      <c r="I672" s="4">
        <f t="shared" si="15"/>
        <v>0.24263888888888888</v>
      </c>
    </row>
    <row r="673" spans="4:9">
      <c r="D673" s="15">
        <v>642373</v>
      </c>
      <c r="E673" s="6" t="s">
        <v>655</v>
      </c>
      <c r="F673" s="6" t="s">
        <v>167</v>
      </c>
      <c r="G673" s="6">
        <v>72</v>
      </c>
      <c r="H673" s="5">
        <v>17.47</v>
      </c>
      <c r="I673" s="4">
        <f t="shared" si="15"/>
        <v>0.24263888888888888</v>
      </c>
    </row>
    <row r="674" spans="4:9">
      <c r="D674" s="15">
        <v>642366</v>
      </c>
      <c r="E674" s="6" t="s">
        <v>655</v>
      </c>
      <c r="F674" s="6" t="s">
        <v>166</v>
      </c>
      <c r="G674" s="6">
        <v>72</v>
      </c>
      <c r="H674" s="5">
        <v>17.47</v>
      </c>
      <c r="I674" s="4">
        <f t="shared" si="15"/>
        <v>0.24263888888888888</v>
      </c>
    </row>
    <row r="675" spans="4:9">
      <c r="D675" s="15">
        <v>642380</v>
      </c>
      <c r="E675" s="6" t="s">
        <v>655</v>
      </c>
      <c r="F675" s="6" t="s">
        <v>165</v>
      </c>
      <c r="G675" s="6">
        <v>72</v>
      </c>
      <c r="H675" s="5">
        <v>17.47</v>
      </c>
      <c r="I675" s="4">
        <f t="shared" si="15"/>
        <v>0.24263888888888888</v>
      </c>
    </row>
    <row r="676" spans="4:9">
      <c r="D676" s="15">
        <v>67883019</v>
      </c>
      <c r="E676" s="6" t="s">
        <v>153</v>
      </c>
      <c r="F676" s="6" t="s">
        <v>164</v>
      </c>
      <c r="G676" s="6">
        <v>12</v>
      </c>
      <c r="H676" s="5">
        <v>11.91</v>
      </c>
      <c r="I676" s="4">
        <f t="shared" ref="I676:I692" si="16">H676/G676</f>
        <v>0.99250000000000005</v>
      </c>
    </row>
    <row r="677" spans="4:9">
      <c r="D677" s="15">
        <v>67893733</v>
      </c>
      <c r="E677" s="6" t="s">
        <v>153</v>
      </c>
      <c r="F677" s="6" t="s">
        <v>163</v>
      </c>
      <c r="G677" s="6">
        <v>5</v>
      </c>
      <c r="H677" s="5">
        <v>13.23</v>
      </c>
      <c r="I677" s="4">
        <f t="shared" si="16"/>
        <v>2.6459999999999999</v>
      </c>
    </row>
    <row r="678" spans="4:9">
      <c r="D678" s="15">
        <v>68188329</v>
      </c>
      <c r="E678" s="6" t="s">
        <v>153</v>
      </c>
      <c r="F678" s="6" t="s">
        <v>162</v>
      </c>
      <c r="G678" s="6">
        <v>5</v>
      </c>
      <c r="H678" s="5">
        <v>13.23</v>
      </c>
      <c r="I678" s="4">
        <f t="shared" si="16"/>
        <v>2.6459999999999999</v>
      </c>
    </row>
    <row r="679" spans="4:9">
      <c r="D679" s="15">
        <v>67608386</v>
      </c>
      <c r="E679" s="6" t="s">
        <v>153</v>
      </c>
      <c r="F679" s="6" t="s">
        <v>161</v>
      </c>
      <c r="G679" s="6">
        <v>15</v>
      </c>
      <c r="H679" s="5">
        <v>33.1</v>
      </c>
      <c r="I679" s="4">
        <f t="shared" si="16"/>
        <v>2.2066666666666666</v>
      </c>
    </row>
    <row r="680" spans="4:9">
      <c r="D680" s="15">
        <v>67728485</v>
      </c>
      <c r="E680" s="6" t="s">
        <v>153</v>
      </c>
      <c r="F680" s="6" t="s">
        <v>59</v>
      </c>
      <c r="G680" s="6">
        <v>20</v>
      </c>
      <c r="H680" s="5">
        <v>11.05</v>
      </c>
      <c r="I680" s="4">
        <f t="shared" si="16"/>
        <v>0.55249999999999999</v>
      </c>
    </row>
    <row r="681" spans="4:9">
      <c r="D681" s="15">
        <v>68614031</v>
      </c>
      <c r="E681" s="6" t="s">
        <v>153</v>
      </c>
      <c r="F681" s="6" t="s">
        <v>58</v>
      </c>
      <c r="G681" s="6">
        <v>13</v>
      </c>
      <c r="H681" s="5">
        <v>25.8</v>
      </c>
      <c r="I681" s="4">
        <f t="shared" si="16"/>
        <v>1.9846153846153847</v>
      </c>
    </row>
    <row r="682" spans="4:9">
      <c r="D682" s="15">
        <v>68614030</v>
      </c>
      <c r="E682" s="6" t="s">
        <v>153</v>
      </c>
      <c r="F682" s="6" t="s">
        <v>57</v>
      </c>
      <c r="G682" s="6">
        <v>30</v>
      </c>
      <c r="H682" s="5">
        <v>29.8</v>
      </c>
      <c r="I682" s="4">
        <f t="shared" si="16"/>
        <v>0.9933333333333334</v>
      </c>
    </row>
    <row r="683" spans="4:9">
      <c r="D683" s="15">
        <v>576774</v>
      </c>
      <c r="E683" s="6" t="s">
        <v>153</v>
      </c>
      <c r="F683" s="6" t="s">
        <v>160</v>
      </c>
      <c r="G683" s="6">
        <v>15</v>
      </c>
      <c r="H683" s="5">
        <v>33.1</v>
      </c>
      <c r="I683" s="4">
        <f t="shared" si="16"/>
        <v>2.2066666666666666</v>
      </c>
    </row>
    <row r="684" spans="4:9">
      <c r="D684" s="15">
        <v>67519203</v>
      </c>
      <c r="E684" s="6" t="s">
        <v>153</v>
      </c>
      <c r="F684" s="6" t="s">
        <v>56</v>
      </c>
      <c r="G684" s="6">
        <v>20</v>
      </c>
      <c r="H684" s="5">
        <v>11.05</v>
      </c>
      <c r="I684" s="4">
        <f t="shared" si="16"/>
        <v>0.55249999999999999</v>
      </c>
    </row>
    <row r="685" spans="4:9">
      <c r="D685" s="15">
        <v>67279488</v>
      </c>
      <c r="E685" s="6" t="s">
        <v>153</v>
      </c>
      <c r="F685" s="6" t="s">
        <v>159</v>
      </c>
      <c r="G685" s="6">
        <v>30</v>
      </c>
      <c r="H685" s="5">
        <v>8.3000000000000007</v>
      </c>
      <c r="I685" s="4">
        <f t="shared" si="16"/>
        <v>0.27666666666666667</v>
      </c>
    </row>
    <row r="686" spans="4:9">
      <c r="D686" s="15">
        <v>68142904</v>
      </c>
      <c r="E686" s="6" t="s">
        <v>153</v>
      </c>
      <c r="F686" s="6" t="s">
        <v>158</v>
      </c>
      <c r="G686" s="6">
        <v>15</v>
      </c>
      <c r="H686" s="5">
        <v>33.1</v>
      </c>
      <c r="I686" s="4">
        <f t="shared" si="16"/>
        <v>2.2066666666666666</v>
      </c>
    </row>
    <row r="687" spans="4:9">
      <c r="D687" s="15">
        <v>68142902</v>
      </c>
      <c r="E687" s="6" t="s">
        <v>153</v>
      </c>
      <c r="F687" s="6" t="s">
        <v>157</v>
      </c>
      <c r="G687" s="6">
        <v>20</v>
      </c>
      <c r="H687" s="5">
        <v>11.05</v>
      </c>
      <c r="I687" s="4">
        <f t="shared" si="16"/>
        <v>0.55249999999999999</v>
      </c>
    </row>
    <row r="688" spans="4:9">
      <c r="D688" s="15">
        <v>576789</v>
      </c>
      <c r="E688" s="6" t="s">
        <v>153</v>
      </c>
      <c r="F688" s="6" t="s">
        <v>156</v>
      </c>
      <c r="G688" s="6">
        <v>30</v>
      </c>
      <c r="H688" s="5">
        <v>8.3000000000000007</v>
      </c>
      <c r="I688" s="4">
        <f t="shared" si="16"/>
        <v>0.27666666666666667</v>
      </c>
    </row>
    <row r="689" spans="4:9">
      <c r="D689" s="15">
        <v>84161579</v>
      </c>
      <c r="E689" s="6" t="s">
        <v>153</v>
      </c>
      <c r="F689" s="6" t="s">
        <v>155</v>
      </c>
      <c r="G689" s="6">
        <v>15</v>
      </c>
      <c r="H689" s="5">
        <v>33.1</v>
      </c>
      <c r="I689" s="4">
        <f t="shared" si="16"/>
        <v>2.2066666666666666</v>
      </c>
    </row>
    <row r="690" spans="4:9">
      <c r="D690" s="15">
        <v>67279491</v>
      </c>
      <c r="E690" s="6" t="s">
        <v>153</v>
      </c>
      <c r="F690" s="6" t="s">
        <v>154</v>
      </c>
      <c r="G690" s="6">
        <v>30</v>
      </c>
      <c r="H690" s="5">
        <v>8.3000000000000007</v>
      </c>
      <c r="I690" s="4">
        <f t="shared" si="16"/>
        <v>0.27666666666666667</v>
      </c>
    </row>
    <row r="691" spans="4:9">
      <c r="D691" s="15">
        <v>84150971</v>
      </c>
      <c r="E691" s="6" t="s">
        <v>153</v>
      </c>
      <c r="F691" s="6" t="s">
        <v>152</v>
      </c>
      <c r="G691" s="6">
        <v>15</v>
      </c>
      <c r="H691" s="5">
        <v>33.1</v>
      </c>
      <c r="I691" s="4">
        <f t="shared" si="16"/>
        <v>2.2066666666666666</v>
      </c>
    </row>
    <row r="692" spans="4:9">
      <c r="D692" s="15">
        <v>67279484</v>
      </c>
      <c r="E692" s="3" t="s">
        <v>153</v>
      </c>
      <c r="F692" s="3" t="s">
        <v>151</v>
      </c>
      <c r="G692" s="3">
        <v>30</v>
      </c>
      <c r="H692" s="2">
        <v>8.3000000000000007</v>
      </c>
      <c r="I692" s="1">
        <f t="shared" si="16"/>
        <v>0.27666666666666667</v>
      </c>
    </row>
    <row r="693" spans="4:9">
      <c r="D693" s="15" t="s">
        <v>150</v>
      </c>
      <c r="E693" s="3" t="s">
        <v>1063</v>
      </c>
      <c r="F693" s="3" t="s">
        <v>149</v>
      </c>
      <c r="G693" s="3">
        <v>120</v>
      </c>
      <c r="H693" s="2">
        <v>25.11</v>
      </c>
      <c r="I693" s="1">
        <v>0.21</v>
      </c>
    </row>
    <row r="694" spans="4:9">
      <c r="D694" s="15" t="s">
        <v>89</v>
      </c>
      <c r="E694" s="6"/>
      <c r="F694" s="13" t="s">
        <v>88</v>
      </c>
      <c r="G694" s="6"/>
      <c r="H694" s="5">
        <v>1</v>
      </c>
      <c r="I694" s="4">
        <v>0.1</v>
      </c>
    </row>
    <row r="695" spans="4:9">
      <c r="D695" s="15" t="s">
        <v>87</v>
      </c>
      <c r="E695" s="6"/>
      <c r="F695" s="14" t="s">
        <v>86</v>
      </c>
      <c r="G695" s="3"/>
      <c r="H695" s="2"/>
      <c r="I695" s="1">
        <v>0.43</v>
      </c>
    </row>
    <row r="696" spans="4:9">
      <c r="D696" s="15">
        <v>68524847</v>
      </c>
      <c r="E696" s="6"/>
      <c r="F696" s="14" t="s">
        <v>63</v>
      </c>
      <c r="G696" s="3"/>
      <c r="H696" s="2"/>
      <c r="I696" s="1">
        <v>0.93</v>
      </c>
    </row>
    <row r="697" spans="4:9">
      <c r="D697" s="15" t="s">
        <v>55</v>
      </c>
      <c r="E697" s="6" t="s">
        <v>305</v>
      </c>
      <c r="F697" s="13" t="s">
        <v>54</v>
      </c>
      <c r="G697" s="6">
        <v>48</v>
      </c>
      <c r="H697" s="5">
        <v>16.5</v>
      </c>
      <c r="I697" s="4">
        <f t="shared" ref="I697:I703" si="17">H697/G697</f>
        <v>0.34375</v>
      </c>
    </row>
    <row r="698" spans="4:9">
      <c r="D698" s="15">
        <v>207</v>
      </c>
      <c r="E698" s="6" t="s">
        <v>305</v>
      </c>
      <c r="F698" s="13" t="s">
        <v>53</v>
      </c>
      <c r="G698" s="6">
        <v>10</v>
      </c>
      <c r="H698" s="5">
        <v>6.6</v>
      </c>
      <c r="I698" s="4">
        <f t="shared" si="17"/>
        <v>0.65999999999999992</v>
      </c>
    </row>
    <row r="699" spans="4:9">
      <c r="D699" s="15">
        <v>204</v>
      </c>
      <c r="E699" s="6" t="s">
        <v>305</v>
      </c>
      <c r="F699" s="13" t="s">
        <v>52</v>
      </c>
      <c r="G699" s="6">
        <v>10</v>
      </c>
      <c r="H699" s="5">
        <v>6.6</v>
      </c>
      <c r="I699" s="4">
        <f t="shared" si="17"/>
        <v>0.65999999999999992</v>
      </c>
    </row>
    <row r="700" spans="4:9">
      <c r="D700" s="15">
        <v>201</v>
      </c>
      <c r="E700" s="6" t="s">
        <v>305</v>
      </c>
      <c r="F700" s="13" t="s">
        <v>51</v>
      </c>
      <c r="G700" s="6">
        <v>10</v>
      </c>
      <c r="H700" s="5">
        <v>6.6</v>
      </c>
      <c r="I700" s="4">
        <f t="shared" si="17"/>
        <v>0.65999999999999992</v>
      </c>
    </row>
    <row r="701" spans="4:9">
      <c r="D701" s="30" t="s">
        <v>1214</v>
      </c>
      <c r="E701" s="6" t="s">
        <v>305</v>
      </c>
      <c r="F701" s="13" t="s">
        <v>50</v>
      </c>
      <c r="G701" s="6">
        <v>1</v>
      </c>
      <c r="H701" s="5">
        <v>8.5</v>
      </c>
      <c r="I701" s="4">
        <f t="shared" si="17"/>
        <v>8.5</v>
      </c>
    </row>
    <row r="702" spans="4:9">
      <c r="D702" s="31">
        <v>1001</v>
      </c>
      <c r="E702" s="6" t="s">
        <v>305</v>
      </c>
      <c r="F702" s="13" t="s">
        <v>49</v>
      </c>
      <c r="G702" s="6">
        <v>9</v>
      </c>
      <c r="H702" s="5">
        <v>8.35</v>
      </c>
      <c r="I702" s="4">
        <f t="shared" si="17"/>
        <v>0.9277777777777777</v>
      </c>
    </row>
    <row r="703" spans="4:9">
      <c r="D703" s="30" t="s">
        <v>1198</v>
      </c>
      <c r="E703" s="6" t="s">
        <v>305</v>
      </c>
      <c r="F703" s="14" t="s">
        <v>48</v>
      </c>
      <c r="G703" s="6">
        <v>9</v>
      </c>
      <c r="H703" s="5">
        <v>8.35</v>
      </c>
      <c r="I703" s="4">
        <f t="shared" si="17"/>
        <v>0.9277777777777777</v>
      </c>
    </row>
    <row r="704" spans="4:9">
      <c r="D704" s="15" t="s">
        <v>45</v>
      </c>
      <c r="E704" s="3"/>
      <c r="F704" s="14" t="s">
        <v>44</v>
      </c>
      <c r="G704" s="3"/>
      <c r="H704" s="2"/>
      <c r="I704" s="1">
        <v>0.5</v>
      </c>
    </row>
    <row r="705" spans="4:9">
      <c r="D705" s="15">
        <v>50470101</v>
      </c>
      <c r="E705" s="3" t="s">
        <v>153</v>
      </c>
      <c r="F705" s="18" t="s">
        <v>1079</v>
      </c>
      <c r="G705" s="3">
        <v>4</v>
      </c>
      <c r="H705" s="2">
        <v>10.6</v>
      </c>
      <c r="I705" s="1">
        <f t="shared" ref="I705:I710" si="18">H705/G705</f>
        <v>2.65</v>
      </c>
    </row>
    <row r="706" spans="4:9">
      <c r="D706" s="17">
        <v>50470108</v>
      </c>
      <c r="E706" s="6" t="s">
        <v>1076</v>
      </c>
      <c r="F706" s="3" t="s">
        <v>1083</v>
      </c>
      <c r="G706" s="3">
        <v>6</v>
      </c>
      <c r="H706" s="2">
        <v>17.5</v>
      </c>
      <c r="I706" s="1">
        <f t="shared" si="18"/>
        <v>2.9166666666666665</v>
      </c>
    </row>
    <row r="707" spans="4:9">
      <c r="D707" s="17">
        <v>50491109</v>
      </c>
      <c r="E707" s="3" t="s">
        <v>1076</v>
      </c>
      <c r="F707" s="3" t="s">
        <v>1082</v>
      </c>
      <c r="G707" s="3">
        <v>6</v>
      </c>
      <c r="H707" s="2">
        <v>15.9</v>
      </c>
      <c r="I707" s="1">
        <f t="shared" si="18"/>
        <v>2.65</v>
      </c>
    </row>
    <row r="708" spans="4:9">
      <c r="D708" s="17" t="s">
        <v>1133</v>
      </c>
      <c r="E708" s="3"/>
      <c r="F708" s="3" t="s">
        <v>1132</v>
      </c>
      <c r="G708" s="3">
        <v>24</v>
      </c>
      <c r="H708" s="5">
        <v>10.6</v>
      </c>
      <c r="I708" s="1">
        <f t="shared" si="18"/>
        <v>0.44166666666666665</v>
      </c>
    </row>
    <row r="709" spans="4:9">
      <c r="D709" s="17" t="s">
        <v>1123</v>
      </c>
      <c r="E709" s="3"/>
      <c r="F709" s="3" t="s">
        <v>1122</v>
      </c>
      <c r="G709" s="3">
        <v>1</v>
      </c>
      <c r="H709" s="2">
        <v>0.03</v>
      </c>
      <c r="I709" s="1">
        <f t="shared" si="18"/>
        <v>0.03</v>
      </c>
    </row>
    <row r="710" spans="4:9">
      <c r="D710" s="17" t="s">
        <v>1120</v>
      </c>
      <c r="E710" s="6"/>
      <c r="F710" s="3" t="s">
        <v>1119</v>
      </c>
      <c r="G710" s="3">
        <v>24</v>
      </c>
      <c r="H710" s="2">
        <v>17.600000000000001</v>
      </c>
      <c r="I710" s="1">
        <f t="shared" si="18"/>
        <v>0.73333333333333339</v>
      </c>
    </row>
    <row r="711" spans="4:9">
      <c r="D711" s="17" t="s">
        <v>1131</v>
      </c>
      <c r="E711" s="3"/>
      <c r="F711" s="3" t="s">
        <v>1130</v>
      </c>
      <c r="G711" s="3">
        <v>24</v>
      </c>
      <c r="H711" s="2">
        <v>0.63</v>
      </c>
      <c r="I711" s="2">
        <v>0.63</v>
      </c>
    </row>
    <row r="712" spans="4:9">
      <c r="D712" s="17" t="s">
        <v>1129</v>
      </c>
      <c r="E712" s="3"/>
      <c r="F712" s="3" t="s">
        <v>1128</v>
      </c>
      <c r="G712" s="3">
        <v>12</v>
      </c>
      <c r="H712" s="2">
        <v>0.57999999999999996</v>
      </c>
      <c r="I712" s="2">
        <v>0.57999999999999996</v>
      </c>
    </row>
    <row r="713" spans="4:9">
      <c r="D713" s="17" t="s">
        <v>1118</v>
      </c>
      <c r="E713" s="3"/>
      <c r="F713" s="3" t="s">
        <v>1117</v>
      </c>
      <c r="G713" s="3">
        <v>10</v>
      </c>
      <c r="H713" s="2">
        <v>0.44</v>
      </c>
      <c r="I713" s="1">
        <f t="shared" ref="I713:I720" si="19">H713/G713</f>
        <v>4.3999999999999997E-2</v>
      </c>
    </row>
    <row r="714" spans="4:9">
      <c r="D714" s="17" t="s">
        <v>1127</v>
      </c>
      <c r="E714" s="3"/>
      <c r="F714" s="3" t="s">
        <v>1126</v>
      </c>
      <c r="G714" s="3">
        <v>6</v>
      </c>
      <c r="H714" s="2">
        <v>0.17</v>
      </c>
      <c r="I714" s="1">
        <f t="shared" si="19"/>
        <v>2.8333333333333335E-2</v>
      </c>
    </row>
    <row r="715" spans="4:9">
      <c r="D715" s="17" t="s">
        <v>1125</v>
      </c>
      <c r="E715" s="3"/>
      <c r="F715" s="3" t="s">
        <v>1124</v>
      </c>
      <c r="G715" s="3">
        <v>12</v>
      </c>
      <c r="H715" s="2">
        <v>0.34</v>
      </c>
      <c r="I715" s="1">
        <f t="shared" si="19"/>
        <v>2.8333333333333335E-2</v>
      </c>
    </row>
    <row r="716" spans="4:9">
      <c r="D716" s="34" t="s">
        <v>1081</v>
      </c>
      <c r="E716" s="3" t="s">
        <v>242</v>
      </c>
      <c r="F716" s="3" t="s">
        <v>1080</v>
      </c>
      <c r="G716" s="3">
        <v>6</v>
      </c>
      <c r="H716" s="2">
        <v>12.7</v>
      </c>
      <c r="I716" s="1">
        <f t="shared" si="19"/>
        <v>2.1166666666666667</v>
      </c>
    </row>
    <row r="717" spans="4:9">
      <c r="D717" s="35">
        <v>84151514</v>
      </c>
      <c r="E717" s="3"/>
      <c r="F717" s="32" t="s">
        <v>1137</v>
      </c>
      <c r="G717" s="3">
        <v>12</v>
      </c>
      <c r="H717" s="2">
        <v>9</v>
      </c>
      <c r="I717" s="1">
        <f t="shared" si="19"/>
        <v>0.75</v>
      </c>
    </row>
    <row r="718" spans="4:9">
      <c r="D718" s="30">
        <v>68809921</v>
      </c>
      <c r="E718" s="3"/>
      <c r="F718" s="32"/>
      <c r="G718" s="3">
        <v>24</v>
      </c>
      <c r="H718" s="2">
        <v>11.25</v>
      </c>
      <c r="I718" s="1">
        <f t="shared" si="19"/>
        <v>0.46875</v>
      </c>
    </row>
    <row r="719" spans="4:9">
      <c r="D719" s="17">
        <v>50470100</v>
      </c>
      <c r="E719" s="3"/>
      <c r="F719" s="33" t="s">
        <v>1134</v>
      </c>
      <c r="G719" s="3">
        <v>4</v>
      </c>
      <c r="H719" s="2">
        <v>10.6</v>
      </c>
      <c r="I719" s="1">
        <f t="shared" si="19"/>
        <v>2.65</v>
      </c>
    </row>
    <row r="720" spans="4:9">
      <c r="D720" s="17">
        <v>50470102</v>
      </c>
      <c r="E720" s="3"/>
      <c r="F720" s="32" t="s">
        <v>1138</v>
      </c>
      <c r="G720" s="3">
        <v>4</v>
      </c>
      <c r="H720" s="2">
        <v>10.6</v>
      </c>
      <c r="I720" s="1">
        <f t="shared" si="19"/>
        <v>2.65</v>
      </c>
    </row>
    <row r="721" spans="4:9">
      <c r="D721" s="36" t="s">
        <v>1136</v>
      </c>
      <c r="E721" s="3"/>
      <c r="F721" s="3" t="s">
        <v>1135</v>
      </c>
      <c r="G721" s="3">
        <v>100</v>
      </c>
      <c r="H721" s="2">
        <v>6</v>
      </c>
      <c r="I721" s="1">
        <v>0.06</v>
      </c>
    </row>
    <row r="722" spans="4:9">
      <c r="D722" s="36" t="s">
        <v>1140</v>
      </c>
      <c r="E722" s="3"/>
      <c r="F722" s="14" t="s">
        <v>1139</v>
      </c>
      <c r="G722" s="3">
        <v>1</v>
      </c>
      <c r="H722" s="2"/>
      <c r="I722" s="1">
        <v>0.24</v>
      </c>
    </row>
    <row r="723" spans="4:9">
      <c r="D723" s="36" t="s">
        <v>1142</v>
      </c>
      <c r="E723" s="3"/>
      <c r="F723" s="30" t="s">
        <v>1141</v>
      </c>
      <c r="G723" s="3">
        <v>1</v>
      </c>
      <c r="H723" s="2"/>
      <c r="I723" s="1">
        <v>0.01</v>
      </c>
    </row>
    <row r="724" spans="4:9">
      <c r="D724" s="36" t="s">
        <v>1143</v>
      </c>
      <c r="E724" s="3"/>
      <c r="F724" s="3" t="s">
        <v>1160</v>
      </c>
      <c r="G724" s="3">
        <v>1</v>
      </c>
      <c r="H724" s="2">
        <v>1.1000000000000001</v>
      </c>
      <c r="I724" s="1">
        <f>H724/G724</f>
        <v>1.1000000000000001</v>
      </c>
    </row>
    <row r="725" spans="4:9">
      <c r="D725" s="35">
        <v>68524861</v>
      </c>
      <c r="E725" s="6" t="s">
        <v>1159</v>
      </c>
      <c r="F725" s="6" t="s">
        <v>1144</v>
      </c>
      <c r="G725" s="6">
        <v>24</v>
      </c>
      <c r="H725" s="5">
        <v>14.85</v>
      </c>
      <c r="I725" s="5">
        <v>0.61875000000000002</v>
      </c>
    </row>
    <row r="726" spans="4:9">
      <c r="D726" s="37">
        <v>67466523</v>
      </c>
      <c r="E726" s="6"/>
      <c r="F726" s="37" t="s">
        <v>1145</v>
      </c>
      <c r="G726" s="6">
        <v>12</v>
      </c>
      <c r="H726" s="5">
        <v>2.4</v>
      </c>
      <c r="I726" s="5">
        <f>H726/G726</f>
        <v>0.19999999999999998</v>
      </c>
    </row>
    <row r="727" spans="4:9">
      <c r="D727" s="39">
        <v>573818</v>
      </c>
      <c r="E727" s="6" t="s">
        <v>435</v>
      </c>
      <c r="F727" s="13" t="s">
        <v>1146</v>
      </c>
      <c r="G727" s="6">
        <v>1</v>
      </c>
      <c r="H727" s="5">
        <v>1</v>
      </c>
      <c r="I727" s="5">
        <v>0.1</v>
      </c>
    </row>
    <row r="728" spans="4:9">
      <c r="D728" s="36">
        <v>573820</v>
      </c>
      <c r="E728" s="3"/>
      <c r="F728" s="44"/>
      <c r="G728" s="3">
        <v>1</v>
      </c>
      <c r="H728" s="2">
        <v>0.1</v>
      </c>
      <c r="I728" s="1">
        <f t="shared" ref="I728:I733" si="20">H728/G728</f>
        <v>0.1</v>
      </c>
    </row>
    <row r="729" spans="4:9">
      <c r="D729" s="38" t="s">
        <v>1152</v>
      </c>
      <c r="E729" s="3"/>
      <c r="F729" s="45" t="s">
        <v>1151</v>
      </c>
      <c r="G729" s="3">
        <v>100</v>
      </c>
      <c r="H729" s="2">
        <v>22</v>
      </c>
      <c r="I729" s="1">
        <f t="shared" si="20"/>
        <v>0.22</v>
      </c>
    </row>
    <row r="730" spans="4:9">
      <c r="D730" s="38" t="s">
        <v>1150</v>
      </c>
      <c r="E730" s="3"/>
      <c r="F730" s="44" t="s">
        <v>1149</v>
      </c>
      <c r="G730" s="3">
        <v>1</v>
      </c>
      <c r="H730" s="2">
        <v>0.96</v>
      </c>
      <c r="I730" s="1">
        <f t="shared" si="20"/>
        <v>0.96</v>
      </c>
    </row>
    <row r="731" spans="4:9">
      <c r="D731" s="38" t="s">
        <v>1148</v>
      </c>
      <c r="E731" s="3"/>
      <c r="F731" s="44"/>
      <c r="G731" s="3">
        <v>1</v>
      </c>
      <c r="H731" s="2">
        <v>0.88</v>
      </c>
      <c r="I731" s="1">
        <f t="shared" si="20"/>
        <v>0.88</v>
      </c>
    </row>
    <row r="732" spans="4:9">
      <c r="D732" s="36">
        <v>1008011991</v>
      </c>
      <c r="E732" s="3"/>
      <c r="F732" s="45" t="s">
        <v>1153</v>
      </c>
      <c r="G732" s="3">
        <v>8</v>
      </c>
      <c r="H732" s="2">
        <v>2.64</v>
      </c>
      <c r="I732" s="1">
        <f t="shared" si="20"/>
        <v>0.33</v>
      </c>
    </row>
    <row r="733" spans="4:9">
      <c r="D733" s="36">
        <v>68809921</v>
      </c>
      <c r="E733" s="3"/>
      <c r="F733" s="45" t="s">
        <v>1121</v>
      </c>
      <c r="G733" s="3">
        <v>24</v>
      </c>
      <c r="H733" s="2">
        <v>22.3</v>
      </c>
      <c r="I733" s="1">
        <f t="shared" si="20"/>
        <v>0.9291666666666667</v>
      </c>
    </row>
    <row r="734" spans="4:9">
      <c r="D734" s="38">
        <v>547856</v>
      </c>
      <c r="E734" s="3"/>
      <c r="F734" s="44" t="s">
        <v>1154</v>
      </c>
      <c r="G734" s="3">
        <v>12</v>
      </c>
      <c r="H734" s="2">
        <v>7.45</v>
      </c>
      <c r="I734" s="1">
        <v>0.62083333333333335</v>
      </c>
    </row>
    <row r="735" spans="4:9">
      <c r="D735" s="40" t="s">
        <v>1156</v>
      </c>
      <c r="E735" s="41"/>
      <c r="F735" s="46" t="s">
        <v>1155</v>
      </c>
      <c r="G735" s="41">
        <v>1</v>
      </c>
      <c r="H735" s="42"/>
      <c r="I735" s="43">
        <v>0.43</v>
      </c>
    </row>
    <row r="736" spans="4:9">
      <c r="D736" s="38">
        <v>67611013</v>
      </c>
      <c r="E736" s="3"/>
      <c r="F736" s="44" t="s">
        <v>1157</v>
      </c>
      <c r="G736" s="3"/>
      <c r="H736" s="2"/>
      <c r="I736" s="4">
        <v>2.65</v>
      </c>
    </row>
    <row r="737" spans="4:9">
      <c r="D737" s="36" t="s">
        <v>1158</v>
      </c>
      <c r="E737" s="3"/>
      <c r="F737" s="44" t="s">
        <v>1161</v>
      </c>
      <c r="G737" s="3">
        <v>1</v>
      </c>
      <c r="H737" s="2">
        <v>0.38</v>
      </c>
      <c r="I737" s="1">
        <f t="shared" ref="I737:I759" si="21">H737/G737</f>
        <v>0.38</v>
      </c>
    </row>
    <row r="738" spans="4:9">
      <c r="D738" s="36">
        <v>67746869</v>
      </c>
      <c r="E738" s="3"/>
      <c r="F738" s="45" t="s">
        <v>641</v>
      </c>
      <c r="G738" s="3">
        <v>12</v>
      </c>
      <c r="H738" s="2">
        <v>1.33</v>
      </c>
      <c r="I738" s="1">
        <f t="shared" si="21"/>
        <v>0.11083333333333334</v>
      </c>
    </row>
    <row r="739" spans="4:9">
      <c r="D739" s="38" t="s">
        <v>1165</v>
      </c>
      <c r="E739" s="3"/>
      <c r="F739" s="45" t="s">
        <v>1164</v>
      </c>
      <c r="G739" s="3">
        <v>1</v>
      </c>
      <c r="H739" s="2">
        <v>0.93</v>
      </c>
      <c r="I739" s="1">
        <f t="shared" si="21"/>
        <v>0.93</v>
      </c>
    </row>
    <row r="740" spans="4:9">
      <c r="D740" s="38" t="s">
        <v>1163</v>
      </c>
      <c r="E740" s="6" t="s">
        <v>806</v>
      </c>
      <c r="F740" s="13" t="s">
        <v>1162</v>
      </c>
      <c r="G740" s="3">
        <v>24</v>
      </c>
      <c r="H740" s="2">
        <v>19.850000000000001</v>
      </c>
      <c r="I740" s="1">
        <f t="shared" si="21"/>
        <v>0.82708333333333339</v>
      </c>
    </row>
    <row r="741" spans="4:9">
      <c r="D741" s="38">
        <v>67767705</v>
      </c>
      <c r="E741" s="3"/>
      <c r="F741" s="13" t="s">
        <v>276</v>
      </c>
      <c r="G741" s="3">
        <v>6</v>
      </c>
      <c r="H741" s="2">
        <v>0.4</v>
      </c>
      <c r="I741" s="1">
        <f t="shared" si="21"/>
        <v>6.6666666666666666E-2</v>
      </c>
    </row>
    <row r="742" spans="4:9">
      <c r="D742" s="38" t="s">
        <v>1168</v>
      </c>
      <c r="E742" s="3" t="s">
        <v>457</v>
      </c>
      <c r="F742" s="13" t="s">
        <v>126</v>
      </c>
      <c r="G742" s="3">
        <v>48</v>
      </c>
      <c r="H742" s="2">
        <v>16.649999999999999</v>
      </c>
      <c r="I742" s="1">
        <f t="shared" si="21"/>
        <v>0.34687499999999999</v>
      </c>
    </row>
    <row r="743" spans="4:9">
      <c r="D743" s="38" t="s">
        <v>1167</v>
      </c>
      <c r="E743" s="3"/>
      <c r="F743" s="6" t="s">
        <v>1176</v>
      </c>
      <c r="G743" s="3">
        <v>1</v>
      </c>
      <c r="H743" s="2">
        <v>0.06</v>
      </c>
      <c r="I743" s="1">
        <f t="shared" si="21"/>
        <v>0.06</v>
      </c>
    </row>
    <row r="744" spans="4:9">
      <c r="D744" s="38">
        <v>68611972</v>
      </c>
      <c r="E744" s="3"/>
      <c r="F744" s="13" t="s">
        <v>636</v>
      </c>
      <c r="G744" s="3">
        <v>12</v>
      </c>
      <c r="H744" s="2">
        <v>1.32</v>
      </c>
      <c r="I744" s="1">
        <f t="shared" si="21"/>
        <v>0.11</v>
      </c>
    </row>
    <row r="745" spans="4:9">
      <c r="D745" s="38">
        <v>68441507</v>
      </c>
      <c r="E745" s="3"/>
      <c r="F745" s="6" t="s">
        <v>868</v>
      </c>
      <c r="G745" s="3">
        <v>12</v>
      </c>
      <c r="H745" s="2">
        <v>2.38</v>
      </c>
      <c r="I745" s="1">
        <f t="shared" si="21"/>
        <v>0.19833333333333333</v>
      </c>
    </row>
    <row r="746" spans="4:9">
      <c r="D746" s="38">
        <v>68444067</v>
      </c>
      <c r="E746" s="3"/>
      <c r="F746" s="13" t="s">
        <v>880</v>
      </c>
      <c r="G746" s="3">
        <v>12</v>
      </c>
      <c r="H746" s="2">
        <v>2.38</v>
      </c>
      <c r="I746" s="1">
        <f t="shared" si="21"/>
        <v>0.19833333333333333</v>
      </c>
    </row>
    <row r="747" spans="4:9">
      <c r="D747" s="38">
        <v>68444073</v>
      </c>
      <c r="E747" s="3"/>
      <c r="F747" s="13" t="s">
        <v>879</v>
      </c>
      <c r="G747" s="3">
        <v>12</v>
      </c>
      <c r="H747" s="2">
        <v>2.38</v>
      </c>
      <c r="I747" s="1">
        <f t="shared" si="21"/>
        <v>0.19833333333333333</v>
      </c>
    </row>
    <row r="748" spans="4:9">
      <c r="D748" s="38" t="s">
        <v>1174</v>
      </c>
      <c r="E748" s="3"/>
      <c r="F748" s="13" t="s">
        <v>1173</v>
      </c>
      <c r="G748" s="3">
        <v>1</v>
      </c>
      <c r="H748" s="2">
        <v>1.1000000000000001</v>
      </c>
      <c r="I748" s="1">
        <f t="shared" si="21"/>
        <v>1.1000000000000001</v>
      </c>
    </row>
    <row r="749" spans="4:9">
      <c r="D749" s="38">
        <v>68637131</v>
      </c>
      <c r="E749" s="3"/>
      <c r="F749" s="13" t="s">
        <v>1175</v>
      </c>
      <c r="G749" s="3">
        <v>1</v>
      </c>
      <c r="H749" s="2">
        <v>0.44</v>
      </c>
      <c r="I749" s="1">
        <f t="shared" si="21"/>
        <v>0.44</v>
      </c>
    </row>
    <row r="750" spans="4:9">
      <c r="D750" s="38">
        <v>84157362</v>
      </c>
      <c r="E750" s="3"/>
      <c r="F750" s="13" t="s">
        <v>275</v>
      </c>
      <c r="G750" s="3">
        <v>6</v>
      </c>
      <c r="H750" s="2">
        <v>0.4</v>
      </c>
      <c r="I750" s="1">
        <f t="shared" si="21"/>
        <v>6.6666666666666666E-2</v>
      </c>
    </row>
    <row r="751" spans="4:9">
      <c r="D751" s="38">
        <v>84157831</v>
      </c>
      <c r="E751" s="3"/>
      <c r="F751" s="30" t="s">
        <v>1169</v>
      </c>
      <c r="G751" s="3">
        <v>48</v>
      </c>
      <c r="H751" s="2">
        <v>13.23</v>
      </c>
      <c r="I751" s="1">
        <f t="shared" si="21"/>
        <v>0.27562500000000001</v>
      </c>
    </row>
    <row r="752" spans="4:9">
      <c r="D752" s="50">
        <v>68115523</v>
      </c>
      <c r="E752" s="3"/>
      <c r="F752" s="3" t="s">
        <v>648</v>
      </c>
      <c r="G752" s="3">
        <v>12</v>
      </c>
      <c r="H752" s="2">
        <v>2.35</v>
      </c>
      <c r="I752" s="1">
        <f t="shared" si="21"/>
        <v>0.19583333333333333</v>
      </c>
    </row>
    <row r="753" spans="4:9">
      <c r="D753" s="36">
        <v>68155562</v>
      </c>
      <c r="E753" s="3"/>
      <c r="F753" s="3" t="s">
        <v>646</v>
      </c>
      <c r="G753" s="3">
        <v>12</v>
      </c>
      <c r="H753" s="2">
        <v>2.35</v>
      </c>
      <c r="I753" s="1">
        <f t="shared" si="21"/>
        <v>0.19583333333333333</v>
      </c>
    </row>
    <row r="754" spans="4:9">
      <c r="D754" s="49">
        <v>84163148</v>
      </c>
      <c r="E754" s="6"/>
      <c r="F754" s="6" t="s">
        <v>1172</v>
      </c>
      <c r="G754" s="6">
        <v>1</v>
      </c>
      <c r="H754" s="5">
        <v>0.11</v>
      </c>
      <c r="I754" s="4">
        <f t="shared" si="21"/>
        <v>0.11</v>
      </c>
    </row>
    <row r="755" spans="4:9">
      <c r="D755" s="49">
        <v>84163149</v>
      </c>
      <c r="E755" s="6"/>
      <c r="F755" s="6" t="s">
        <v>1171</v>
      </c>
      <c r="G755" s="6">
        <v>1</v>
      </c>
      <c r="H755" s="5">
        <v>0.11</v>
      </c>
      <c r="I755" s="4">
        <f t="shared" si="21"/>
        <v>0.11</v>
      </c>
    </row>
    <row r="756" spans="4:9">
      <c r="D756" s="36">
        <v>84163166</v>
      </c>
      <c r="E756" s="3"/>
      <c r="F756" s="3" t="s">
        <v>1170</v>
      </c>
      <c r="G756" s="3">
        <v>1</v>
      </c>
      <c r="H756" s="2">
        <v>0.11</v>
      </c>
      <c r="I756" s="1">
        <f t="shared" si="21"/>
        <v>0.11</v>
      </c>
    </row>
    <row r="757" spans="4:9">
      <c r="D757" s="49">
        <v>68141797</v>
      </c>
      <c r="E757" s="6"/>
      <c r="F757" s="6" t="s">
        <v>1169</v>
      </c>
      <c r="G757" s="6">
        <v>48</v>
      </c>
      <c r="H757" s="5">
        <v>13.23</v>
      </c>
      <c r="I757" s="4">
        <f t="shared" si="21"/>
        <v>0.27562500000000001</v>
      </c>
    </row>
    <row r="758" spans="4:9">
      <c r="D758" s="36">
        <v>68141798</v>
      </c>
      <c r="E758" s="3"/>
      <c r="F758" s="3" t="s">
        <v>181</v>
      </c>
      <c r="G758" s="3">
        <v>48</v>
      </c>
      <c r="H758" s="2">
        <v>13.23</v>
      </c>
      <c r="I758" s="1">
        <f t="shared" si="21"/>
        <v>0.27562500000000001</v>
      </c>
    </row>
    <row r="759" spans="4:9">
      <c r="D759" s="36" t="s">
        <v>1179</v>
      </c>
      <c r="E759" s="3"/>
      <c r="F759" s="18" t="s">
        <v>1178</v>
      </c>
      <c r="G759" s="3">
        <v>1</v>
      </c>
      <c r="H759" s="2">
        <v>22.5</v>
      </c>
      <c r="I759" s="1">
        <f t="shared" si="21"/>
        <v>22.5</v>
      </c>
    </row>
    <row r="760" spans="4:9">
      <c r="D760" s="36">
        <v>67611010</v>
      </c>
      <c r="E760" s="3"/>
      <c r="F760" s="18" t="s">
        <v>1181</v>
      </c>
      <c r="G760" s="3">
        <v>4</v>
      </c>
      <c r="H760" s="2">
        <v>10.6</v>
      </c>
      <c r="I760" s="4">
        <f>Tabla14[[#This Row],[FARDO]]/Tabla14[[#This Row],[UXFARDO]]</f>
        <v>2.65</v>
      </c>
    </row>
    <row r="761" spans="4:9">
      <c r="D761" s="36">
        <v>67952534</v>
      </c>
      <c r="E761" s="3"/>
      <c r="F761" s="18" t="s">
        <v>245</v>
      </c>
      <c r="G761" s="3">
        <v>12</v>
      </c>
      <c r="H761" s="2">
        <v>9</v>
      </c>
      <c r="I761" s="1">
        <f>H761/G761</f>
        <v>0.75</v>
      </c>
    </row>
    <row r="762" spans="4:9">
      <c r="D762" s="36" t="s">
        <v>1183</v>
      </c>
      <c r="E762" s="3"/>
      <c r="F762" s="30" t="s">
        <v>1182</v>
      </c>
      <c r="G762" s="3"/>
      <c r="H762" s="2"/>
      <c r="I762" s="1">
        <v>0.1</v>
      </c>
    </row>
    <row r="763" spans="4:9">
      <c r="D763" s="36" t="s">
        <v>1185</v>
      </c>
      <c r="E763" s="3"/>
      <c r="F763" s="18" t="s">
        <v>1184</v>
      </c>
      <c r="G763" s="3"/>
      <c r="H763" s="2"/>
      <c r="I763" s="1">
        <v>0.11</v>
      </c>
    </row>
    <row r="764" spans="4:9">
      <c r="D764" s="30">
        <v>67707587</v>
      </c>
      <c r="E764" s="3"/>
      <c r="F764" s="18" t="s">
        <v>287</v>
      </c>
      <c r="G764" s="3">
        <v>12</v>
      </c>
      <c r="H764" s="2">
        <v>2.4</v>
      </c>
      <c r="I764" s="1">
        <f>H764/G764</f>
        <v>0.19999999999999998</v>
      </c>
    </row>
    <row r="765" spans="4:9">
      <c r="D765" s="36" t="s">
        <v>1193</v>
      </c>
      <c r="E765" s="3"/>
      <c r="F765" s="30" t="s">
        <v>1192</v>
      </c>
      <c r="G765" s="3">
        <v>1</v>
      </c>
      <c r="H765" s="2"/>
      <c r="I765" s="1">
        <v>0.77</v>
      </c>
    </row>
    <row r="766" spans="4:9">
      <c r="D766" s="30" t="s">
        <v>1189</v>
      </c>
      <c r="E766" s="6" t="s">
        <v>305</v>
      </c>
      <c r="F766" s="14" t="s">
        <v>1188</v>
      </c>
      <c r="G766" s="3">
        <v>9</v>
      </c>
      <c r="H766" s="2">
        <v>8.35</v>
      </c>
      <c r="I766" s="1">
        <f t="shared" ref="I766:I797" si="22">H766/G766</f>
        <v>0.9277777777777777</v>
      </c>
    </row>
    <row r="767" spans="4:9">
      <c r="D767" s="49" t="s">
        <v>1197</v>
      </c>
      <c r="E767" s="6"/>
      <c r="F767" s="13" t="s">
        <v>1196</v>
      </c>
      <c r="G767" s="6">
        <v>1</v>
      </c>
      <c r="H767" s="5">
        <v>0.47</v>
      </c>
      <c r="I767" s="4">
        <f t="shared" si="22"/>
        <v>0.47</v>
      </c>
    </row>
    <row r="768" spans="4:9">
      <c r="D768" s="36" t="s">
        <v>1195</v>
      </c>
      <c r="E768" s="3"/>
      <c r="F768" s="14" t="s">
        <v>1194</v>
      </c>
      <c r="G768" s="3">
        <v>1</v>
      </c>
      <c r="H768" s="2">
        <v>0.37</v>
      </c>
      <c r="I768" s="1">
        <f t="shared" si="22"/>
        <v>0.37</v>
      </c>
    </row>
    <row r="769" spans="4:9">
      <c r="D769" s="36">
        <v>84158965</v>
      </c>
      <c r="E769" s="3"/>
      <c r="F769" s="30" t="s">
        <v>1201</v>
      </c>
      <c r="G769" s="3">
        <v>12</v>
      </c>
      <c r="H769" s="2">
        <v>9</v>
      </c>
      <c r="I769" s="1">
        <f t="shared" si="22"/>
        <v>0.75</v>
      </c>
    </row>
    <row r="770" spans="4:9">
      <c r="D770" s="36" t="s">
        <v>1204</v>
      </c>
      <c r="E770" s="6"/>
      <c r="F770" s="14" t="s">
        <v>1203</v>
      </c>
      <c r="G770" s="3">
        <v>1</v>
      </c>
      <c r="H770" s="2">
        <v>0.13</v>
      </c>
      <c r="I770" s="1">
        <f t="shared" si="22"/>
        <v>0.13</v>
      </c>
    </row>
    <row r="771" spans="4:9">
      <c r="D771" s="36">
        <v>68637162</v>
      </c>
      <c r="E771" s="6"/>
      <c r="F771" s="14" t="s">
        <v>1202</v>
      </c>
      <c r="G771" s="3">
        <v>4</v>
      </c>
      <c r="H771" s="2">
        <v>5.85</v>
      </c>
      <c r="I771" s="1">
        <f t="shared" si="22"/>
        <v>1.4624999999999999</v>
      </c>
    </row>
    <row r="772" spans="4:9">
      <c r="D772" s="36">
        <v>68524841</v>
      </c>
      <c r="E772" s="3"/>
      <c r="F772" s="14" t="s">
        <v>1205</v>
      </c>
      <c r="G772" s="3">
        <v>24</v>
      </c>
      <c r="H772" s="2">
        <v>22.3</v>
      </c>
      <c r="I772" s="1">
        <f t="shared" si="22"/>
        <v>0.9291666666666667</v>
      </c>
    </row>
    <row r="773" spans="4:9">
      <c r="D773" s="36">
        <v>68436589</v>
      </c>
      <c r="E773" s="6"/>
      <c r="F773" s="14" t="s">
        <v>1208</v>
      </c>
      <c r="G773" s="3">
        <v>12</v>
      </c>
      <c r="H773" s="2">
        <v>1.35</v>
      </c>
      <c r="I773" s="1">
        <f t="shared" si="22"/>
        <v>0.1125</v>
      </c>
    </row>
    <row r="774" spans="4:9">
      <c r="D774" s="36" t="s">
        <v>1207</v>
      </c>
      <c r="E774" s="3"/>
      <c r="F774" s="14" t="s">
        <v>1206</v>
      </c>
      <c r="G774" s="3">
        <v>1</v>
      </c>
      <c r="H774" s="2">
        <v>3</v>
      </c>
      <c r="I774" s="1">
        <f t="shared" si="22"/>
        <v>3</v>
      </c>
    </row>
    <row r="775" spans="4:9">
      <c r="D775" s="36">
        <v>68565714</v>
      </c>
      <c r="E775" s="3" t="s">
        <v>247</v>
      </c>
      <c r="F775" s="14" t="s">
        <v>862</v>
      </c>
      <c r="G775" s="3">
        <v>12</v>
      </c>
      <c r="H775" s="2">
        <v>1.35</v>
      </c>
      <c r="I775" s="1">
        <f t="shared" si="22"/>
        <v>0.1125</v>
      </c>
    </row>
    <row r="776" spans="4:9">
      <c r="D776" s="36" t="s">
        <v>1209</v>
      </c>
      <c r="E776" s="6" t="s">
        <v>305</v>
      </c>
      <c r="F776" s="14" t="s">
        <v>295</v>
      </c>
      <c r="G776" s="3">
        <v>9</v>
      </c>
      <c r="H776" s="2">
        <v>8.35</v>
      </c>
      <c r="I776" s="1">
        <f t="shared" si="22"/>
        <v>0.9277777777777777</v>
      </c>
    </row>
    <row r="777" spans="4:9">
      <c r="D777" s="36" t="s">
        <v>1210</v>
      </c>
      <c r="E777" s="6" t="s">
        <v>305</v>
      </c>
      <c r="F777" s="32" t="s">
        <v>1166</v>
      </c>
      <c r="G777" s="3">
        <v>9</v>
      </c>
      <c r="H777" s="2">
        <v>8.35</v>
      </c>
      <c r="I777" s="1">
        <f t="shared" si="22"/>
        <v>0.9277777777777777</v>
      </c>
    </row>
    <row r="778" spans="4:9">
      <c r="D778" s="36">
        <v>68534532</v>
      </c>
      <c r="E778" s="3"/>
      <c r="F778" s="18" t="s">
        <v>161</v>
      </c>
      <c r="G778" s="3">
        <v>15</v>
      </c>
      <c r="H778" s="2">
        <v>33.1</v>
      </c>
      <c r="I778" s="1">
        <f t="shared" si="22"/>
        <v>2.2066666666666666</v>
      </c>
    </row>
    <row r="779" spans="4:9">
      <c r="D779" s="36">
        <v>84168485</v>
      </c>
      <c r="E779" s="3"/>
      <c r="F779" s="30" t="s">
        <v>1224</v>
      </c>
      <c r="G779" s="3">
        <v>12</v>
      </c>
      <c r="H779" s="2">
        <v>1.35</v>
      </c>
      <c r="I779" s="1">
        <f t="shared" si="22"/>
        <v>0.1125</v>
      </c>
    </row>
    <row r="780" spans="4:9">
      <c r="D780" s="36">
        <v>67746868</v>
      </c>
      <c r="E780" s="3"/>
      <c r="F780" s="30" t="s">
        <v>639</v>
      </c>
      <c r="G780" s="3">
        <v>12</v>
      </c>
      <c r="H780" s="2">
        <v>1.35</v>
      </c>
      <c r="I780" s="1">
        <f t="shared" si="22"/>
        <v>0.1125</v>
      </c>
    </row>
    <row r="781" spans="4:9">
      <c r="D781" s="36">
        <v>67986539</v>
      </c>
      <c r="E781" s="3"/>
      <c r="F781" s="30" t="s">
        <v>1137</v>
      </c>
      <c r="G781" s="3">
        <v>12</v>
      </c>
      <c r="H781" s="2">
        <v>7.95</v>
      </c>
      <c r="I781" s="1">
        <f t="shared" si="22"/>
        <v>0.66249999999999998</v>
      </c>
    </row>
    <row r="782" spans="4:9">
      <c r="D782" s="36" t="s">
        <v>1225</v>
      </c>
      <c r="E782" s="6" t="s">
        <v>305</v>
      </c>
      <c r="F782" s="14" t="s">
        <v>310</v>
      </c>
      <c r="G782" s="3">
        <v>10</v>
      </c>
      <c r="H782" s="2">
        <v>6.6</v>
      </c>
      <c r="I782" s="1">
        <f t="shared" si="22"/>
        <v>0.65999999999999992</v>
      </c>
    </row>
    <row r="783" spans="4:9">
      <c r="D783" s="36" t="s">
        <v>1227</v>
      </c>
      <c r="E783" s="3"/>
      <c r="F783" s="30" t="s">
        <v>1226</v>
      </c>
      <c r="G783" s="3">
        <v>1</v>
      </c>
      <c r="H783" s="2">
        <v>22.5</v>
      </c>
      <c r="I783" s="1">
        <f t="shared" si="22"/>
        <v>22.5</v>
      </c>
    </row>
    <row r="784" spans="4:9">
      <c r="D784" s="36" t="s">
        <v>1229</v>
      </c>
      <c r="E784" s="3"/>
      <c r="F784" s="14" t="s">
        <v>1228</v>
      </c>
      <c r="G784" s="3">
        <v>1</v>
      </c>
      <c r="H784" s="2">
        <v>0.35</v>
      </c>
      <c r="I784" s="1">
        <f t="shared" si="22"/>
        <v>0.35</v>
      </c>
    </row>
    <row r="785" spans="4:9">
      <c r="D785" s="36">
        <v>68193098</v>
      </c>
      <c r="E785" s="3"/>
      <c r="F785" s="30" t="s">
        <v>269</v>
      </c>
      <c r="G785" s="3">
        <v>12</v>
      </c>
      <c r="H785" s="2">
        <v>1.35</v>
      </c>
      <c r="I785" s="1">
        <f t="shared" si="22"/>
        <v>0.1125</v>
      </c>
    </row>
    <row r="786" spans="4:9">
      <c r="D786" s="36">
        <v>68534542</v>
      </c>
      <c r="E786" s="3"/>
      <c r="F786" s="18" t="s">
        <v>155</v>
      </c>
      <c r="G786" s="3">
        <v>15</v>
      </c>
      <c r="H786" s="2">
        <v>33.1</v>
      </c>
      <c r="I786" s="1">
        <f t="shared" si="22"/>
        <v>2.2066666666666666</v>
      </c>
    </row>
    <row r="787" spans="4:9">
      <c r="D787" s="36">
        <v>68455320</v>
      </c>
      <c r="E787" s="3"/>
      <c r="F787" s="14" t="s">
        <v>252</v>
      </c>
      <c r="G787" s="3">
        <v>12</v>
      </c>
      <c r="H787" s="2">
        <v>9</v>
      </c>
      <c r="I787" s="1">
        <f t="shared" si="22"/>
        <v>0.75</v>
      </c>
    </row>
    <row r="788" spans="4:9">
      <c r="D788" s="48">
        <v>202</v>
      </c>
      <c r="E788" s="6" t="s">
        <v>305</v>
      </c>
      <c r="F788" s="13" t="s">
        <v>313</v>
      </c>
      <c r="G788" s="3">
        <v>10</v>
      </c>
      <c r="H788" s="2">
        <v>9</v>
      </c>
      <c r="I788" s="4">
        <f t="shared" si="22"/>
        <v>0.9</v>
      </c>
    </row>
    <row r="789" spans="4:9">
      <c r="D789" s="48">
        <v>79790105</v>
      </c>
      <c r="E789" s="6" t="s">
        <v>305</v>
      </c>
      <c r="F789" s="13" t="s">
        <v>312</v>
      </c>
      <c r="G789" s="3">
        <v>10</v>
      </c>
      <c r="H789" s="2">
        <v>9</v>
      </c>
      <c r="I789" s="4">
        <f t="shared" si="22"/>
        <v>0.9</v>
      </c>
    </row>
    <row r="790" spans="4:9">
      <c r="D790" s="47">
        <v>203</v>
      </c>
      <c r="E790" s="6" t="s">
        <v>305</v>
      </c>
      <c r="F790" s="14" t="s">
        <v>311</v>
      </c>
      <c r="G790" s="3">
        <v>10</v>
      </c>
      <c r="H790" s="2">
        <v>9</v>
      </c>
      <c r="I790" s="1">
        <f t="shared" si="22"/>
        <v>0.9</v>
      </c>
    </row>
    <row r="791" spans="4:9">
      <c r="D791" s="47">
        <v>19790102</v>
      </c>
      <c r="E791" s="6" t="s">
        <v>305</v>
      </c>
      <c r="F791" s="14" t="s">
        <v>309</v>
      </c>
      <c r="G791" s="3">
        <v>10</v>
      </c>
      <c r="H791" s="2">
        <v>9</v>
      </c>
      <c r="I791" s="1">
        <f t="shared" si="22"/>
        <v>0.9</v>
      </c>
    </row>
    <row r="792" spans="4:9">
      <c r="D792" s="48">
        <v>205</v>
      </c>
      <c r="E792" s="6" t="s">
        <v>305</v>
      </c>
      <c r="F792" s="13" t="s">
        <v>307</v>
      </c>
      <c r="G792" s="3">
        <v>10</v>
      </c>
      <c r="H792" s="2">
        <v>9</v>
      </c>
      <c r="I792" s="4">
        <f t="shared" si="22"/>
        <v>0.9</v>
      </c>
    </row>
    <row r="793" spans="4:9">
      <c r="D793" s="47">
        <v>19790106</v>
      </c>
      <c r="E793" s="6" t="s">
        <v>305</v>
      </c>
      <c r="F793" s="14" t="s">
        <v>306</v>
      </c>
      <c r="G793" s="3">
        <v>10</v>
      </c>
      <c r="H793" s="2">
        <v>9</v>
      </c>
      <c r="I793" s="1">
        <f t="shared" si="22"/>
        <v>0.9</v>
      </c>
    </row>
    <row r="794" spans="4:9">
      <c r="D794" s="48">
        <v>5460400</v>
      </c>
      <c r="E794" s="13" t="s">
        <v>304</v>
      </c>
      <c r="F794" s="13" t="s">
        <v>2072</v>
      </c>
      <c r="G794" s="3">
        <v>12</v>
      </c>
      <c r="H794" s="2">
        <v>9</v>
      </c>
      <c r="I794" s="4">
        <f t="shared" si="22"/>
        <v>0.75</v>
      </c>
    </row>
    <row r="795" spans="4:9">
      <c r="D795" s="48">
        <v>1021</v>
      </c>
      <c r="E795" s="13" t="s">
        <v>303</v>
      </c>
      <c r="F795" s="13" t="s">
        <v>303</v>
      </c>
      <c r="G795" s="3">
        <v>12</v>
      </c>
      <c r="H795" s="2">
        <v>9</v>
      </c>
      <c r="I795" s="4">
        <f t="shared" si="22"/>
        <v>0.75</v>
      </c>
    </row>
    <row r="796" spans="4:9">
      <c r="D796" s="48">
        <v>1005</v>
      </c>
      <c r="E796" s="6" t="s">
        <v>305</v>
      </c>
      <c r="F796" s="13" t="s">
        <v>302</v>
      </c>
      <c r="G796" s="3">
        <v>9</v>
      </c>
      <c r="H796" s="2">
        <v>9</v>
      </c>
      <c r="I796" s="4">
        <f t="shared" si="22"/>
        <v>1</v>
      </c>
    </row>
    <row r="797" spans="4:9">
      <c r="D797" s="48">
        <v>1003</v>
      </c>
      <c r="E797" s="6" t="s">
        <v>305</v>
      </c>
      <c r="F797" s="13" t="s">
        <v>301</v>
      </c>
      <c r="G797" s="3">
        <v>9</v>
      </c>
      <c r="H797" s="2">
        <v>9</v>
      </c>
      <c r="I797" s="4">
        <f t="shared" si="22"/>
        <v>1</v>
      </c>
    </row>
    <row r="798" spans="4:9">
      <c r="D798" s="47">
        <v>19166007</v>
      </c>
      <c r="E798" s="6" t="s">
        <v>305</v>
      </c>
      <c r="F798" s="14" t="s">
        <v>1188</v>
      </c>
      <c r="G798" s="3">
        <v>9</v>
      </c>
      <c r="H798" s="2">
        <v>9</v>
      </c>
      <c r="I798" s="1">
        <f t="shared" ref="I798:I829" si="23">H798/G798</f>
        <v>1</v>
      </c>
    </row>
    <row r="799" spans="4:9">
      <c r="D799" s="48">
        <v>1004</v>
      </c>
      <c r="E799" s="6" t="s">
        <v>305</v>
      </c>
      <c r="F799" s="13" t="s">
        <v>299</v>
      </c>
      <c r="G799" s="3">
        <v>9</v>
      </c>
      <c r="H799" s="2">
        <v>9</v>
      </c>
      <c r="I799" s="4">
        <f t="shared" si="23"/>
        <v>1</v>
      </c>
    </row>
    <row r="800" spans="4:9">
      <c r="D800" s="48">
        <v>1009</v>
      </c>
      <c r="E800" s="6" t="s">
        <v>305</v>
      </c>
      <c r="F800" s="13" t="s">
        <v>48</v>
      </c>
      <c r="G800" s="3">
        <v>9</v>
      </c>
      <c r="H800" s="2">
        <v>9</v>
      </c>
      <c r="I800" s="4">
        <f t="shared" si="23"/>
        <v>1</v>
      </c>
    </row>
    <row r="801" spans="4:9">
      <c r="D801" s="48">
        <v>1007</v>
      </c>
      <c r="E801" s="6" t="s">
        <v>305</v>
      </c>
      <c r="F801" s="13" t="s">
        <v>298</v>
      </c>
      <c r="G801" s="3">
        <v>9</v>
      </c>
      <c r="H801" s="2">
        <v>9</v>
      </c>
      <c r="I801" s="4">
        <f t="shared" si="23"/>
        <v>1</v>
      </c>
    </row>
    <row r="802" spans="4:9">
      <c r="D802" s="48">
        <v>1008</v>
      </c>
      <c r="E802" s="6" t="s">
        <v>305</v>
      </c>
      <c r="F802" s="13" t="s">
        <v>297</v>
      </c>
      <c r="G802" s="3">
        <v>9</v>
      </c>
      <c r="H802" s="2">
        <v>9</v>
      </c>
      <c r="I802" s="4">
        <f t="shared" si="23"/>
        <v>1</v>
      </c>
    </row>
    <row r="803" spans="4:9">
      <c r="D803" s="48">
        <v>19166005</v>
      </c>
      <c r="E803" s="6" t="s">
        <v>305</v>
      </c>
      <c r="F803" s="13" t="s">
        <v>296</v>
      </c>
      <c r="G803" s="3">
        <v>9</v>
      </c>
      <c r="H803" s="2">
        <v>9</v>
      </c>
      <c r="I803" s="4">
        <f t="shared" si="23"/>
        <v>1</v>
      </c>
    </row>
    <row r="804" spans="4:9">
      <c r="D804" s="47">
        <v>1002</v>
      </c>
      <c r="E804" s="6" t="s">
        <v>305</v>
      </c>
      <c r="F804" s="14" t="s">
        <v>295</v>
      </c>
      <c r="G804" s="3">
        <v>9</v>
      </c>
      <c r="H804" s="2">
        <v>9</v>
      </c>
      <c r="I804" s="1">
        <f t="shared" si="23"/>
        <v>1</v>
      </c>
    </row>
    <row r="805" spans="4:9">
      <c r="D805" s="36">
        <v>68174780</v>
      </c>
      <c r="E805" s="6"/>
      <c r="F805" s="14" t="s">
        <v>1236</v>
      </c>
      <c r="G805" s="3">
        <v>12</v>
      </c>
      <c r="H805" s="2">
        <v>2.41</v>
      </c>
      <c r="I805" s="1">
        <f t="shared" si="23"/>
        <v>0.20083333333333334</v>
      </c>
    </row>
    <row r="806" spans="4:9">
      <c r="D806" s="36" t="s">
        <v>1235</v>
      </c>
      <c r="E806" s="3"/>
      <c r="F806" s="71" t="s">
        <v>1234</v>
      </c>
      <c r="G806" s="3">
        <v>40</v>
      </c>
      <c r="H806" s="2">
        <v>9.26</v>
      </c>
      <c r="I806" s="1">
        <f t="shared" si="23"/>
        <v>0.23149999999999998</v>
      </c>
    </row>
    <row r="807" spans="4:9">
      <c r="D807" s="36" t="s">
        <v>1233</v>
      </c>
      <c r="E807" s="6"/>
      <c r="F807" s="14" t="s">
        <v>1232</v>
      </c>
      <c r="G807" s="3">
        <v>1</v>
      </c>
      <c r="H807" s="2">
        <v>0.6</v>
      </c>
      <c r="I807" s="1">
        <f t="shared" si="23"/>
        <v>0.6</v>
      </c>
    </row>
    <row r="808" spans="4:9">
      <c r="D808" s="36" t="s">
        <v>1231</v>
      </c>
      <c r="E808" s="3"/>
      <c r="F808" s="14" t="s">
        <v>1230</v>
      </c>
      <c r="G808" s="3">
        <v>1</v>
      </c>
      <c r="H808" s="2">
        <v>0.6</v>
      </c>
      <c r="I808" s="1">
        <f t="shared" si="23"/>
        <v>0.6</v>
      </c>
    </row>
    <row r="809" spans="4:9">
      <c r="D809" s="47">
        <v>1019</v>
      </c>
      <c r="E809" s="3"/>
      <c r="F809" s="14" t="s">
        <v>314</v>
      </c>
      <c r="G809" s="3">
        <v>8</v>
      </c>
      <c r="H809" s="2">
        <v>2.85</v>
      </c>
      <c r="I809" s="1">
        <f t="shared" si="23"/>
        <v>0.35625000000000001</v>
      </c>
    </row>
    <row r="810" spans="4:9">
      <c r="D810" s="36">
        <v>68524849</v>
      </c>
      <c r="E810" s="6"/>
      <c r="F810" s="14" t="s">
        <v>1239</v>
      </c>
      <c r="G810" s="3">
        <v>24</v>
      </c>
      <c r="H810" s="2">
        <v>14.85</v>
      </c>
      <c r="I810" s="1">
        <f t="shared" si="23"/>
        <v>0.61875000000000002</v>
      </c>
    </row>
    <row r="811" spans="4:9">
      <c r="D811" s="36">
        <v>84159547</v>
      </c>
      <c r="E811" s="3"/>
      <c r="F811" s="14" t="s">
        <v>1238</v>
      </c>
      <c r="G811" s="3">
        <v>12</v>
      </c>
      <c r="H811" s="2">
        <v>7.45</v>
      </c>
      <c r="I811" s="1">
        <f t="shared" si="23"/>
        <v>0.62083333333333335</v>
      </c>
    </row>
    <row r="812" spans="4:9">
      <c r="D812" s="36">
        <v>68786560</v>
      </c>
      <c r="E812" s="3"/>
      <c r="F812" s="14" t="s">
        <v>1240</v>
      </c>
      <c r="G812" s="3">
        <v>12</v>
      </c>
      <c r="H812" s="2">
        <v>2.35</v>
      </c>
      <c r="I812" s="1">
        <f t="shared" si="23"/>
        <v>0.19583333333333333</v>
      </c>
    </row>
    <row r="813" spans="4:9">
      <c r="D813" s="49">
        <v>68380352</v>
      </c>
      <c r="E813" s="6"/>
      <c r="F813" s="13" t="s">
        <v>1242</v>
      </c>
      <c r="G813" s="6">
        <v>12</v>
      </c>
      <c r="H813" s="5">
        <v>2.2999999999999998</v>
      </c>
      <c r="I813" s="4">
        <f t="shared" si="23"/>
        <v>0.19166666666666665</v>
      </c>
    </row>
    <row r="814" spans="4:9">
      <c r="D814" s="36">
        <v>68380364</v>
      </c>
      <c r="E814" s="3"/>
      <c r="F814" s="14" t="s">
        <v>1241</v>
      </c>
      <c r="G814" s="3">
        <v>12</v>
      </c>
      <c r="H814" s="2">
        <v>2.2999999999999998</v>
      </c>
      <c r="I814" s="1">
        <f t="shared" si="23"/>
        <v>0.19166666666666665</v>
      </c>
    </row>
    <row r="815" spans="4:9">
      <c r="D815" s="36">
        <v>579327</v>
      </c>
      <c r="E815" s="3"/>
      <c r="F815" s="14" t="s">
        <v>1245</v>
      </c>
      <c r="G815" s="3">
        <v>12</v>
      </c>
      <c r="H815" s="2">
        <v>7.45</v>
      </c>
      <c r="I815" s="1">
        <f t="shared" si="23"/>
        <v>0.62083333333333335</v>
      </c>
    </row>
    <row r="816" spans="4:9">
      <c r="D816" s="36">
        <v>50491122</v>
      </c>
      <c r="E816" s="3"/>
      <c r="F816" s="14" t="s">
        <v>1246</v>
      </c>
      <c r="G816" s="3">
        <v>6</v>
      </c>
      <c r="H816" s="2">
        <v>5.29</v>
      </c>
      <c r="I816" s="1">
        <f t="shared" si="23"/>
        <v>0.88166666666666671</v>
      </c>
    </row>
    <row r="817" spans="4:9">
      <c r="D817" s="36">
        <v>680689</v>
      </c>
      <c r="E817" s="6" t="s">
        <v>655</v>
      </c>
      <c r="F817" s="14" t="s">
        <v>1247</v>
      </c>
      <c r="G817" s="3">
        <v>12</v>
      </c>
      <c r="H817" s="2">
        <v>1</v>
      </c>
      <c r="I817" s="1">
        <f t="shared" si="23"/>
        <v>8.3333333333333329E-2</v>
      </c>
    </row>
    <row r="818" spans="4:9">
      <c r="D818" s="36" t="s">
        <v>1248</v>
      </c>
      <c r="E818" s="3"/>
      <c r="F818" s="14" t="s">
        <v>1249</v>
      </c>
      <c r="G818" s="3">
        <v>1</v>
      </c>
      <c r="H818" s="2">
        <v>1</v>
      </c>
      <c r="I818" s="1">
        <f t="shared" si="23"/>
        <v>1</v>
      </c>
    </row>
    <row r="819" spans="4:9">
      <c r="D819" s="49">
        <v>680092</v>
      </c>
      <c r="E819" s="6" t="s">
        <v>655</v>
      </c>
      <c r="F819" s="13" t="s">
        <v>1250</v>
      </c>
      <c r="G819" s="6">
        <v>12</v>
      </c>
      <c r="H819" s="5">
        <v>1</v>
      </c>
      <c r="I819" s="4">
        <f t="shared" si="23"/>
        <v>8.3333333333333329E-2</v>
      </c>
    </row>
    <row r="820" spans="4:9">
      <c r="D820" s="36">
        <v>680078</v>
      </c>
      <c r="E820" s="6" t="s">
        <v>655</v>
      </c>
      <c r="F820" s="14" t="s">
        <v>1251</v>
      </c>
      <c r="G820" s="3">
        <v>12</v>
      </c>
      <c r="H820" s="2">
        <v>1</v>
      </c>
      <c r="I820" s="1">
        <f t="shared" si="23"/>
        <v>8.3333333333333329E-2</v>
      </c>
    </row>
    <row r="821" spans="4:9">
      <c r="D821" s="36" t="s">
        <v>1252</v>
      </c>
      <c r="E821" s="3"/>
      <c r="F821" s="14" t="s">
        <v>1253</v>
      </c>
      <c r="G821" s="3">
        <v>10</v>
      </c>
      <c r="H821" s="2">
        <v>1</v>
      </c>
      <c r="I821" s="1">
        <f t="shared" si="23"/>
        <v>0.1</v>
      </c>
    </row>
    <row r="822" spans="4:9">
      <c r="D822" s="36" t="s">
        <v>1254</v>
      </c>
      <c r="E822" s="3"/>
      <c r="F822" s="14" t="s">
        <v>1255</v>
      </c>
      <c r="G822" s="3">
        <v>1</v>
      </c>
      <c r="H822" s="2">
        <v>0.79</v>
      </c>
      <c r="I822" s="1">
        <f t="shared" si="23"/>
        <v>0.79</v>
      </c>
    </row>
    <row r="823" spans="4:9">
      <c r="D823" s="36">
        <v>84151286</v>
      </c>
      <c r="E823" s="3"/>
      <c r="F823" s="14" t="s">
        <v>1256</v>
      </c>
      <c r="G823" s="3">
        <v>12</v>
      </c>
      <c r="H823" s="2">
        <v>7.42</v>
      </c>
      <c r="I823" s="1">
        <f t="shared" si="23"/>
        <v>0.61833333333333329</v>
      </c>
    </row>
    <row r="824" spans="4:9">
      <c r="D824" s="36" t="s">
        <v>1244</v>
      </c>
      <c r="E824" s="3"/>
      <c r="F824" s="14" t="s">
        <v>1243</v>
      </c>
      <c r="G824" s="3">
        <v>6</v>
      </c>
      <c r="H824" s="2">
        <v>12.7</v>
      </c>
      <c r="I824" s="1">
        <f t="shared" si="23"/>
        <v>2.1166666666666667</v>
      </c>
    </row>
    <row r="825" spans="4:9">
      <c r="D825" s="36">
        <v>50470104</v>
      </c>
      <c r="E825" s="3"/>
      <c r="F825" s="14" t="s">
        <v>1257</v>
      </c>
      <c r="G825" s="3">
        <v>5</v>
      </c>
      <c r="H825" s="2">
        <v>10.6</v>
      </c>
      <c r="I825" s="1">
        <f t="shared" si="23"/>
        <v>2.12</v>
      </c>
    </row>
    <row r="826" spans="4:9">
      <c r="D826" s="49" t="s">
        <v>1317</v>
      </c>
      <c r="E826" s="6"/>
      <c r="F826" s="13" t="s">
        <v>1316</v>
      </c>
      <c r="G826" s="6">
        <v>1</v>
      </c>
      <c r="H826" s="5">
        <v>0.2</v>
      </c>
      <c r="I826" s="4">
        <f t="shared" si="23"/>
        <v>0.2</v>
      </c>
    </row>
    <row r="827" spans="4:9">
      <c r="D827" s="49" t="s">
        <v>1357</v>
      </c>
      <c r="E827" s="6"/>
      <c r="F827" s="45" t="s">
        <v>1356</v>
      </c>
      <c r="G827" s="6">
        <v>48</v>
      </c>
      <c r="H827" s="5">
        <v>8.64</v>
      </c>
      <c r="I827" s="4">
        <f t="shared" si="23"/>
        <v>0.18000000000000002</v>
      </c>
    </row>
    <row r="828" spans="4:9">
      <c r="D828" s="49" t="s">
        <v>1289</v>
      </c>
      <c r="E828" s="6"/>
      <c r="F828" s="45" t="s">
        <v>1288</v>
      </c>
      <c r="G828" s="6">
        <v>96</v>
      </c>
      <c r="H828" s="5">
        <v>34.799999999999997</v>
      </c>
      <c r="I828" s="4">
        <f t="shared" si="23"/>
        <v>0.36249999999999999</v>
      </c>
    </row>
    <row r="829" spans="4:9">
      <c r="D829" s="49" t="s">
        <v>1261</v>
      </c>
      <c r="E829" s="6"/>
      <c r="F829" s="45" t="s">
        <v>1260</v>
      </c>
      <c r="G829" s="6">
        <v>96</v>
      </c>
      <c r="H829" s="5">
        <v>34.799999999999997</v>
      </c>
      <c r="I829" s="4">
        <f t="shared" si="23"/>
        <v>0.36249999999999999</v>
      </c>
    </row>
    <row r="830" spans="4:9">
      <c r="D830" s="36" t="s">
        <v>1419</v>
      </c>
      <c r="E830" s="3"/>
      <c r="F830" s="71" t="s">
        <v>1418</v>
      </c>
      <c r="G830" s="3">
        <v>12</v>
      </c>
      <c r="H830" s="2">
        <v>8.48</v>
      </c>
      <c r="I830" s="1">
        <f t="shared" ref="I830:I861" si="24">H830/G830</f>
        <v>0.70666666666666667</v>
      </c>
    </row>
    <row r="831" spans="4:9">
      <c r="D831" s="49" t="s">
        <v>1309</v>
      </c>
      <c r="E831" s="6"/>
      <c r="F831" s="13" t="s">
        <v>1308</v>
      </c>
      <c r="G831" s="6">
        <v>12</v>
      </c>
      <c r="H831" s="5">
        <v>17.940000000000001</v>
      </c>
      <c r="I831" s="4">
        <f t="shared" si="24"/>
        <v>1.4950000000000001</v>
      </c>
    </row>
    <row r="832" spans="4:9">
      <c r="D832" s="36" t="s">
        <v>1342</v>
      </c>
      <c r="E832" s="3"/>
      <c r="F832" s="14" t="s">
        <v>1341</v>
      </c>
      <c r="G832" s="3">
        <v>1</v>
      </c>
      <c r="H832" s="2">
        <v>0.23</v>
      </c>
      <c r="I832" s="1">
        <f t="shared" si="24"/>
        <v>0.23</v>
      </c>
    </row>
    <row r="833" spans="4:9">
      <c r="D833" s="49" t="s">
        <v>1307</v>
      </c>
      <c r="E833" s="6"/>
      <c r="F833" s="13" t="s">
        <v>1306</v>
      </c>
      <c r="G833" s="6">
        <v>12</v>
      </c>
      <c r="H833" s="5">
        <v>17.940000000000001</v>
      </c>
      <c r="I833" s="4">
        <f t="shared" si="24"/>
        <v>1.4950000000000001</v>
      </c>
    </row>
    <row r="834" spans="4:9">
      <c r="D834" s="36" t="s">
        <v>1382</v>
      </c>
      <c r="E834" s="3"/>
      <c r="F834" s="14" t="s">
        <v>1381</v>
      </c>
      <c r="G834" s="3">
        <v>1</v>
      </c>
      <c r="H834" s="2">
        <v>0.5</v>
      </c>
      <c r="I834" s="1">
        <f t="shared" si="24"/>
        <v>0.5</v>
      </c>
    </row>
    <row r="835" spans="4:9">
      <c r="D835" s="36" t="s">
        <v>1390</v>
      </c>
      <c r="E835" s="6"/>
      <c r="F835" s="14" t="s">
        <v>1389</v>
      </c>
      <c r="G835" s="3">
        <v>1</v>
      </c>
      <c r="H835" s="2">
        <v>0.5</v>
      </c>
      <c r="I835" s="1">
        <f t="shared" si="24"/>
        <v>0.5</v>
      </c>
    </row>
    <row r="836" spans="4:9">
      <c r="D836" s="49" t="s">
        <v>1370</v>
      </c>
      <c r="E836" s="6"/>
      <c r="F836" s="13" t="s">
        <v>1369</v>
      </c>
      <c r="G836" s="6">
        <v>1</v>
      </c>
      <c r="H836" s="5">
        <v>0.5</v>
      </c>
      <c r="I836" s="4">
        <f t="shared" si="24"/>
        <v>0.5</v>
      </c>
    </row>
    <row r="837" spans="4:9">
      <c r="D837" s="49" t="s">
        <v>1368</v>
      </c>
      <c r="E837" s="6"/>
      <c r="F837" s="13" t="s">
        <v>1367</v>
      </c>
      <c r="G837" s="6">
        <v>1</v>
      </c>
      <c r="H837" s="5">
        <v>0.5</v>
      </c>
      <c r="I837" s="4">
        <f t="shared" si="24"/>
        <v>0.5</v>
      </c>
    </row>
    <row r="838" spans="4:9">
      <c r="D838" s="49" t="s">
        <v>1305</v>
      </c>
      <c r="E838" s="6"/>
      <c r="F838" s="13" t="s">
        <v>1304</v>
      </c>
      <c r="G838" s="6">
        <v>48</v>
      </c>
      <c r="H838" s="5">
        <v>10.58</v>
      </c>
      <c r="I838" s="4">
        <f t="shared" si="24"/>
        <v>0.22041666666666668</v>
      </c>
    </row>
    <row r="839" spans="4:9">
      <c r="D839" s="49" t="s">
        <v>1271</v>
      </c>
      <c r="E839" s="6"/>
      <c r="F839" s="13" t="s">
        <v>1270</v>
      </c>
      <c r="G839" s="6">
        <v>32</v>
      </c>
      <c r="H839" s="5">
        <v>26.8</v>
      </c>
      <c r="I839" s="4">
        <f t="shared" si="24"/>
        <v>0.83750000000000002</v>
      </c>
    </row>
    <row r="840" spans="4:9">
      <c r="D840" s="36" t="s">
        <v>1269</v>
      </c>
      <c r="E840" s="6"/>
      <c r="F840" s="14" t="s">
        <v>1268</v>
      </c>
      <c r="G840" s="3">
        <v>48</v>
      </c>
      <c r="H840" s="2">
        <v>10.58</v>
      </c>
      <c r="I840" s="1">
        <f t="shared" si="24"/>
        <v>0.22041666666666668</v>
      </c>
    </row>
    <row r="841" spans="4:9">
      <c r="D841" s="36" t="s">
        <v>1267</v>
      </c>
      <c r="E841" s="3"/>
      <c r="F841" s="14" t="s">
        <v>1266</v>
      </c>
      <c r="G841" s="3">
        <v>48</v>
      </c>
      <c r="H841" s="2">
        <v>21.16</v>
      </c>
      <c r="I841" s="1">
        <f t="shared" si="24"/>
        <v>0.44083333333333335</v>
      </c>
    </row>
    <row r="842" spans="4:9">
      <c r="D842" s="36" t="s">
        <v>1413</v>
      </c>
      <c r="E842" s="3"/>
      <c r="F842" s="14" t="s">
        <v>1412</v>
      </c>
      <c r="G842" s="3">
        <v>1</v>
      </c>
      <c r="H842" s="2">
        <v>8.83</v>
      </c>
      <c r="I842" s="1">
        <f t="shared" si="24"/>
        <v>8.83</v>
      </c>
    </row>
    <row r="843" spans="4:9">
      <c r="D843" s="49" t="s">
        <v>1259</v>
      </c>
      <c r="E843" s="6"/>
      <c r="F843" s="13" t="s">
        <v>1258</v>
      </c>
      <c r="G843" s="6">
        <v>24</v>
      </c>
      <c r="H843" s="5">
        <v>10.58</v>
      </c>
      <c r="I843" s="4">
        <f t="shared" si="24"/>
        <v>0.44083333333333335</v>
      </c>
    </row>
    <row r="844" spans="4:9">
      <c r="D844" s="49" t="s">
        <v>1299</v>
      </c>
      <c r="E844" s="6"/>
      <c r="F844" s="13" t="s">
        <v>1298</v>
      </c>
      <c r="G844" s="6">
        <v>12</v>
      </c>
      <c r="H844" s="5">
        <v>7.94</v>
      </c>
      <c r="I844" s="4">
        <f t="shared" si="24"/>
        <v>0.66166666666666674</v>
      </c>
    </row>
    <row r="845" spans="4:9">
      <c r="D845" s="49" t="s">
        <v>1287</v>
      </c>
      <c r="E845" s="6"/>
      <c r="F845" s="13" t="s">
        <v>1286</v>
      </c>
      <c r="G845" s="6">
        <v>12</v>
      </c>
      <c r="H845" s="5">
        <v>6.88</v>
      </c>
      <c r="I845" s="4">
        <f t="shared" si="24"/>
        <v>0.57333333333333336</v>
      </c>
    </row>
    <row r="846" spans="4:9">
      <c r="D846" s="36" t="s">
        <v>1285</v>
      </c>
      <c r="E846" s="3"/>
      <c r="F846" s="14" t="s">
        <v>1284</v>
      </c>
      <c r="G846" s="3">
        <v>12</v>
      </c>
      <c r="H846" s="2">
        <v>6.88</v>
      </c>
      <c r="I846" s="1">
        <f t="shared" si="24"/>
        <v>0.57333333333333336</v>
      </c>
    </row>
    <row r="847" spans="4:9">
      <c r="D847" s="49" t="s">
        <v>1297</v>
      </c>
      <c r="E847" s="6"/>
      <c r="F847" s="13" t="s">
        <v>1296</v>
      </c>
      <c r="G847" s="6">
        <v>12</v>
      </c>
      <c r="H847" s="5">
        <v>7.94</v>
      </c>
      <c r="I847" s="4">
        <f t="shared" si="24"/>
        <v>0.66166666666666674</v>
      </c>
    </row>
    <row r="848" spans="4:9">
      <c r="D848" s="49" t="s">
        <v>1283</v>
      </c>
      <c r="E848" s="6"/>
      <c r="F848" s="13" t="s">
        <v>1282</v>
      </c>
      <c r="G848" s="6">
        <v>12</v>
      </c>
      <c r="H848" s="5">
        <v>6.88</v>
      </c>
      <c r="I848" s="4">
        <f t="shared" si="24"/>
        <v>0.57333333333333336</v>
      </c>
    </row>
    <row r="849" spans="4:9">
      <c r="D849" s="36" t="s">
        <v>1281</v>
      </c>
      <c r="E849" s="6"/>
      <c r="F849" s="14" t="s">
        <v>1280</v>
      </c>
      <c r="G849" s="3">
        <v>24</v>
      </c>
      <c r="H849" s="2">
        <v>17.46</v>
      </c>
      <c r="I849" s="1">
        <f t="shared" si="24"/>
        <v>0.72750000000000004</v>
      </c>
    </row>
    <row r="850" spans="4:9">
      <c r="D850" s="36" t="s">
        <v>1291</v>
      </c>
      <c r="E850" s="6"/>
      <c r="F850" s="14" t="s">
        <v>1290</v>
      </c>
      <c r="G850" s="3">
        <v>48</v>
      </c>
      <c r="H850" s="2">
        <v>10.58</v>
      </c>
      <c r="I850" s="1">
        <f t="shared" si="24"/>
        <v>0.22041666666666668</v>
      </c>
    </row>
    <row r="851" spans="4:9">
      <c r="D851" s="36" t="s">
        <v>1315</v>
      </c>
      <c r="E851" s="3"/>
      <c r="F851" s="14" t="s">
        <v>1314</v>
      </c>
      <c r="G851" s="3">
        <v>1</v>
      </c>
      <c r="H851" s="2">
        <v>0.16</v>
      </c>
      <c r="I851" s="1">
        <f t="shared" si="24"/>
        <v>0.16</v>
      </c>
    </row>
    <row r="852" spans="4:9">
      <c r="D852" s="49" t="s">
        <v>1340</v>
      </c>
      <c r="E852" s="6"/>
      <c r="F852" s="13" t="s">
        <v>1339</v>
      </c>
      <c r="G852" s="6">
        <v>24</v>
      </c>
      <c r="H852" s="5">
        <f>24*0.59</f>
        <v>14.16</v>
      </c>
      <c r="I852" s="4">
        <f t="shared" si="24"/>
        <v>0.59</v>
      </c>
    </row>
    <row r="853" spans="4:9">
      <c r="D853" s="49" t="s">
        <v>1338</v>
      </c>
      <c r="E853" s="6"/>
      <c r="F853" s="13" t="s">
        <v>1337</v>
      </c>
      <c r="G853" s="6">
        <v>24</v>
      </c>
      <c r="H853" s="5">
        <f>Tabla14[[#This Row],[UXFARDO]]*0.53</f>
        <v>12.72</v>
      </c>
      <c r="I853" s="4">
        <f t="shared" si="24"/>
        <v>0.53</v>
      </c>
    </row>
    <row r="854" spans="4:9">
      <c r="D854" s="49" t="s">
        <v>1336</v>
      </c>
      <c r="E854" s="6"/>
      <c r="F854" s="13" t="s">
        <v>1335</v>
      </c>
      <c r="G854" s="6">
        <v>24</v>
      </c>
      <c r="H854" s="5">
        <f>Tabla14[[#This Row],[UXFARDO]]*0.35</f>
        <v>8.3999999999999986</v>
      </c>
      <c r="I854" s="4">
        <f t="shared" si="24"/>
        <v>0.34999999999999992</v>
      </c>
    </row>
    <row r="855" spans="4:9">
      <c r="D855" s="36" t="s">
        <v>1334</v>
      </c>
      <c r="E855" s="6"/>
      <c r="F855" s="14" t="s">
        <v>1333</v>
      </c>
      <c r="G855" s="3">
        <v>24</v>
      </c>
      <c r="H855" s="2">
        <f>Tabla14[[#This Row],[UXFARDO]]*0.35</f>
        <v>8.3999999999999986</v>
      </c>
      <c r="I855" s="1">
        <f t="shared" si="24"/>
        <v>0.34999999999999992</v>
      </c>
    </row>
    <row r="856" spans="4:9">
      <c r="D856" s="49" t="s">
        <v>1332</v>
      </c>
      <c r="E856" s="6"/>
      <c r="F856" s="13" t="s">
        <v>1331</v>
      </c>
      <c r="G856" s="6">
        <v>1</v>
      </c>
      <c r="H856" s="5">
        <v>0.48</v>
      </c>
      <c r="I856" s="4">
        <f t="shared" si="24"/>
        <v>0.48</v>
      </c>
    </row>
    <row r="857" spans="4:9">
      <c r="D857" s="49" t="s">
        <v>1330</v>
      </c>
      <c r="E857" s="6"/>
      <c r="F857" s="13" t="s">
        <v>1329</v>
      </c>
      <c r="G857" s="6">
        <v>1</v>
      </c>
      <c r="H857" s="5">
        <v>0.62</v>
      </c>
      <c r="I857" s="4">
        <f t="shared" si="24"/>
        <v>0.62</v>
      </c>
    </row>
    <row r="858" spans="4:9">
      <c r="D858" s="49" t="s">
        <v>1328</v>
      </c>
      <c r="E858" s="6"/>
      <c r="F858" s="13" t="s">
        <v>1327</v>
      </c>
      <c r="G858" s="6">
        <v>1</v>
      </c>
      <c r="H858" s="5">
        <v>1.33</v>
      </c>
      <c r="I858" s="4">
        <f t="shared" si="24"/>
        <v>1.33</v>
      </c>
    </row>
    <row r="859" spans="4:9">
      <c r="D859" s="36" t="s">
        <v>1326</v>
      </c>
      <c r="E859" s="6"/>
      <c r="F859" s="14" t="s">
        <v>1325</v>
      </c>
      <c r="G859" s="3">
        <v>1</v>
      </c>
      <c r="H859" s="2">
        <v>0.62</v>
      </c>
      <c r="I859" s="1">
        <f t="shared" si="24"/>
        <v>0.62</v>
      </c>
    </row>
    <row r="860" spans="4:9">
      <c r="D860" s="49" t="s">
        <v>1324</v>
      </c>
      <c r="E860" s="6"/>
      <c r="F860" s="13" t="s">
        <v>1323</v>
      </c>
      <c r="G860" s="6">
        <v>1</v>
      </c>
      <c r="H860" s="5">
        <v>0.51</v>
      </c>
      <c r="I860" s="4">
        <f t="shared" si="24"/>
        <v>0.51</v>
      </c>
    </row>
    <row r="861" spans="4:9">
      <c r="D861" s="36" t="s">
        <v>1322</v>
      </c>
      <c r="E861" s="6"/>
      <c r="F861" s="14" t="s">
        <v>1321</v>
      </c>
      <c r="G861" s="3">
        <v>1</v>
      </c>
      <c r="H861" s="2">
        <v>7.0000000000000007E-2</v>
      </c>
      <c r="I861" s="1">
        <f t="shared" si="24"/>
        <v>7.0000000000000007E-2</v>
      </c>
    </row>
    <row r="862" spans="4:9">
      <c r="D862" s="36">
        <v>68923657</v>
      </c>
      <c r="E862" s="6"/>
      <c r="F862" s="14" t="s">
        <v>1320</v>
      </c>
      <c r="G862" s="3">
        <v>24</v>
      </c>
      <c r="H862" s="2">
        <f>Tabla14[[#This Row],[UXFARDO]]*0.92</f>
        <v>22.080000000000002</v>
      </c>
      <c r="I862" s="1">
        <f t="shared" ref="I862:I893" si="25">H862/G862</f>
        <v>0.92</v>
      </c>
    </row>
    <row r="863" spans="4:9">
      <c r="D863" s="36" t="s">
        <v>1319</v>
      </c>
      <c r="E863" s="6" t="s">
        <v>1012</v>
      </c>
      <c r="F863" s="14" t="s">
        <v>1318</v>
      </c>
      <c r="G863" s="3">
        <v>2</v>
      </c>
      <c r="H863" s="2">
        <v>0.9</v>
      </c>
      <c r="I863" s="1">
        <f t="shared" si="25"/>
        <v>0.45</v>
      </c>
    </row>
    <row r="864" spans="4:9">
      <c r="D864" s="53" t="s">
        <v>1386</v>
      </c>
      <c r="E864" s="6"/>
      <c r="F864" s="54" t="s">
        <v>1385</v>
      </c>
      <c r="G864" s="3">
        <v>24</v>
      </c>
      <c r="H864" s="2">
        <v>8.1999999999999993</v>
      </c>
      <c r="I864" s="1">
        <f t="shared" si="25"/>
        <v>0.34166666666666662</v>
      </c>
    </row>
    <row r="865" spans="4:9">
      <c r="D865" s="36" t="s">
        <v>1303</v>
      </c>
      <c r="E865" s="6"/>
      <c r="F865" s="14" t="s">
        <v>1302</v>
      </c>
      <c r="G865" s="3">
        <v>24</v>
      </c>
      <c r="H865" s="2">
        <v>5.03</v>
      </c>
      <c r="I865" s="1">
        <f t="shared" si="25"/>
        <v>0.20958333333333334</v>
      </c>
    </row>
    <row r="866" spans="4:9">
      <c r="D866" s="49" t="s">
        <v>1313</v>
      </c>
      <c r="E866" s="6"/>
      <c r="F866" s="13" t="s">
        <v>1312</v>
      </c>
      <c r="G866" s="6">
        <v>1</v>
      </c>
      <c r="H866" s="5">
        <v>0.09</v>
      </c>
      <c r="I866" s="4">
        <f t="shared" si="25"/>
        <v>0.09</v>
      </c>
    </row>
    <row r="867" spans="4:9">
      <c r="D867" s="36" t="s">
        <v>1311</v>
      </c>
      <c r="E867" s="3"/>
      <c r="F867" s="14" t="s">
        <v>1310</v>
      </c>
      <c r="G867" s="3">
        <v>1</v>
      </c>
      <c r="H867" s="2">
        <v>0.37</v>
      </c>
      <c r="I867" s="1">
        <f t="shared" si="25"/>
        <v>0.37</v>
      </c>
    </row>
    <row r="868" spans="4:9">
      <c r="D868" s="36" t="s">
        <v>1351</v>
      </c>
      <c r="E868" s="6"/>
      <c r="F868" s="14" t="s">
        <v>1350</v>
      </c>
      <c r="G868" s="3">
        <v>1</v>
      </c>
      <c r="H868" s="2">
        <v>1.32</v>
      </c>
      <c r="I868" s="1">
        <f t="shared" si="25"/>
        <v>1.32</v>
      </c>
    </row>
    <row r="869" spans="4:9">
      <c r="D869" s="49" t="s">
        <v>1349</v>
      </c>
      <c r="E869" s="6" t="s">
        <v>1012</v>
      </c>
      <c r="F869" s="13" t="s">
        <v>1348</v>
      </c>
      <c r="G869" s="6">
        <v>1</v>
      </c>
      <c r="H869" s="5">
        <v>0.9</v>
      </c>
      <c r="I869" s="4">
        <f t="shared" si="25"/>
        <v>0.9</v>
      </c>
    </row>
    <row r="870" spans="4:9">
      <c r="D870" s="36" t="s">
        <v>1347</v>
      </c>
      <c r="E870" s="6" t="s">
        <v>1012</v>
      </c>
      <c r="F870" s="14" t="s">
        <v>1346</v>
      </c>
      <c r="G870" s="3">
        <v>1</v>
      </c>
      <c r="H870" s="2">
        <v>0.9</v>
      </c>
      <c r="I870" s="1">
        <f t="shared" si="25"/>
        <v>0.9</v>
      </c>
    </row>
    <row r="871" spans="4:9">
      <c r="D871" s="36" t="s">
        <v>1345</v>
      </c>
      <c r="E871" s="6" t="s">
        <v>1012</v>
      </c>
      <c r="F871" s="14" t="s">
        <v>1344</v>
      </c>
      <c r="G871" s="3">
        <v>1</v>
      </c>
      <c r="H871" s="2">
        <v>0.9</v>
      </c>
      <c r="I871" s="1">
        <f t="shared" si="25"/>
        <v>0.9</v>
      </c>
    </row>
    <row r="872" spans="4:9">
      <c r="D872" s="36">
        <v>52480094</v>
      </c>
      <c r="E872" s="6"/>
      <c r="F872" s="14" t="s">
        <v>1343</v>
      </c>
      <c r="G872" s="3">
        <v>1</v>
      </c>
      <c r="H872" s="2">
        <v>0.32</v>
      </c>
      <c r="I872" s="1">
        <f t="shared" si="25"/>
        <v>0.32</v>
      </c>
    </row>
    <row r="873" spans="4:9">
      <c r="D873" s="36" t="s">
        <v>1279</v>
      </c>
      <c r="E873" s="3"/>
      <c r="F873" s="14" t="s">
        <v>1278</v>
      </c>
      <c r="G873" s="3">
        <v>24</v>
      </c>
      <c r="H873" s="2">
        <v>21</v>
      </c>
      <c r="I873" s="1">
        <f t="shared" si="25"/>
        <v>0.875</v>
      </c>
    </row>
    <row r="874" spans="4:9">
      <c r="D874" s="36" t="s">
        <v>1355</v>
      </c>
      <c r="E874" s="6" t="s">
        <v>1012</v>
      </c>
      <c r="F874" s="14" t="s">
        <v>1354</v>
      </c>
      <c r="G874" s="3">
        <v>1</v>
      </c>
      <c r="H874" s="2">
        <v>0.9</v>
      </c>
      <c r="I874" s="1">
        <f t="shared" si="25"/>
        <v>0.9</v>
      </c>
    </row>
    <row r="875" spans="4:9">
      <c r="D875" s="36" t="s">
        <v>1377</v>
      </c>
      <c r="E875" s="3"/>
      <c r="F875" s="14" t="s">
        <v>1376</v>
      </c>
      <c r="G875" s="3">
        <v>1</v>
      </c>
      <c r="H875" s="2">
        <v>0.34</v>
      </c>
      <c r="I875" s="1">
        <f t="shared" si="25"/>
        <v>0.34</v>
      </c>
    </row>
    <row r="876" spans="4:9">
      <c r="D876" s="36">
        <v>403000261</v>
      </c>
      <c r="E876" s="6"/>
      <c r="F876" s="14" t="s">
        <v>1360</v>
      </c>
      <c r="G876" s="3">
        <v>1</v>
      </c>
      <c r="H876" s="2">
        <v>0.11</v>
      </c>
      <c r="I876" s="1">
        <f t="shared" si="25"/>
        <v>0.11</v>
      </c>
    </row>
    <row r="877" spans="4:9">
      <c r="D877" s="36" t="s">
        <v>1359</v>
      </c>
      <c r="E877" s="6" t="s">
        <v>1012</v>
      </c>
      <c r="F877" s="14" t="s">
        <v>1358</v>
      </c>
      <c r="G877" s="3">
        <v>1</v>
      </c>
      <c r="H877" s="2">
        <v>0.9</v>
      </c>
      <c r="I877" s="1">
        <f t="shared" si="25"/>
        <v>0.9</v>
      </c>
    </row>
    <row r="878" spans="4:9">
      <c r="D878" s="36" t="s">
        <v>1295</v>
      </c>
      <c r="E878" s="3"/>
      <c r="F878" s="14" t="s">
        <v>1294</v>
      </c>
      <c r="G878" s="3">
        <v>48</v>
      </c>
      <c r="H878" s="2">
        <v>10.5</v>
      </c>
      <c r="I878" s="1">
        <f t="shared" si="25"/>
        <v>0.21875</v>
      </c>
    </row>
    <row r="879" spans="4:9">
      <c r="D879" s="49" t="s">
        <v>1364</v>
      </c>
      <c r="E879" s="6"/>
      <c r="F879" s="13" t="s">
        <v>1363</v>
      </c>
      <c r="G879" s="6">
        <v>1</v>
      </c>
      <c r="H879" s="5">
        <v>0.64</v>
      </c>
      <c r="I879" s="4">
        <f t="shared" si="25"/>
        <v>0.64</v>
      </c>
    </row>
    <row r="880" spans="4:9">
      <c r="D880" s="36" t="s">
        <v>1362</v>
      </c>
      <c r="E880" s="3"/>
      <c r="F880" s="14" t="s">
        <v>1361</v>
      </c>
      <c r="G880" s="3">
        <v>1</v>
      </c>
      <c r="H880" s="2">
        <v>1.1000000000000001</v>
      </c>
      <c r="I880" s="1">
        <f t="shared" si="25"/>
        <v>1.1000000000000001</v>
      </c>
    </row>
    <row r="881" spans="4:9">
      <c r="D881" s="36">
        <v>52480095</v>
      </c>
      <c r="E881" s="6"/>
      <c r="F881" s="14" t="s">
        <v>1371</v>
      </c>
      <c r="G881" s="3">
        <v>1</v>
      </c>
      <c r="H881" s="2">
        <v>0.71</v>
      </c>
      <c r="I881" s="1">
        <f t="shared" si="25"/>
        <v>0.71</v>
      </c>
    </row>
    <row r="882" spans="4:9">
      <c r="D882" s="49" t="s">
        <v>1301</v>
      </c>
      <c r="E882" s="6"/>
      <c r="F882" s="13" t="s">
        <v>1300</v>
      </c>
      <c r="G882" s="6">
        <v>48</v>
      </c>
      <c r="H882" s="5">
        <v>10.58</v>
      </c>
      <c r="I882" s="4">
        <f t="shared" si="25"/>
        <v>0.22041666666666668</v>
      </c>
    </row>
    <row r="883" spans="4:9">
      <c r="D883" s="36" t="s">
        <v>1384</v>
      </c>
      <c r="E883" s="6"/>
      <c r="F883" s="14" t="s">
        <v>1383</v>
      </c>
      <c r="G883" s="3">
        <v>1</v>
      </c>
      <c r="H883" s="2">
        <v>1</v>
      </c>
      <c r="I883" s="1">
        <f t="shared" si="25"/>
        <v>1</v>
      </c>
    </row>
    <row r="884" spans="4:9">
      <c r="D884" s="36" t="s">
        <v>1366</v>
      </c>
      <c r="E884" s="3"/>
      <c r="F884" s="14" t="s">
        <v>1365</v>
      </c>
      <c r="G884" s="3">
        <v>1</v>
      </c>
      <c r="H884" s="2">
        <v>0.66</v>
      </c>
      <c r="I884" s="1">
        <f t="shared" si="25"/>
        <v>0.66</v>
      </c>
    </row>
    <row r="885" spans="4:9">
      <c r="D885" s="36" t="s">
        <v>1275</v>
      </c>
      <c r="E885" s="6"/>
      <c r="F885" s="14" t="s">
        <v>1274</v>
      </c>
      <c r="G885" s="3">
        <v>48</v>
      </c>
      <c r="H885" s="2">
        <v>5.29</v>
      </c>
      <c r="I885" s="1">
        <f t="shared" si="25"/>
        <v>0.11020833333333334</v>
      </c>
    </row>
    <row r="886" spans="4:9">
      <c r="D886" s="36" t="s">
        <v>1375</v>
      </c>
      <c r="E886" s="3"/>
      <c r="F886" s="14" t="s">
        <v>1374</v>
      </c>
      <c r="G886" s="3">
        <v>1</v>
      </c>
      <c r="H886" s="2">
        <v>0.44</v>
      </c>
      <c r="I886" s="1">
        <f t="shared" si="25"/>
        <v>0.44</v>
      </c>
    </row>
    <row r="887" spans="4:9">
      <c r="D887" s="36">
        <v>68667235</v>
      </c>
      <c r="E887" s="6"/>
      <c r="F887" s="14" t="s">
        <v>1378</v>
      </c>
      <c r="G887" s="3">
        <v>1</v>
      </c>
      <c r="H887" s="2">
        <v>0.42</v>
      </c>
      <c r="I887" s="1">
        <f t="shared" si="25"/>
        <v>0.42</v>
      </c>
    </row>
    <row r="888" spans="4:9">
      <c r="D888" s="36" t="s">
        <v>1265</v>
      </c>
      <c r="E888" s="3"/>
      <c r="F888" s="14" t="s">
        <v>1264</v>
      </c>
      <c r="G888" s="3">
        <v>48</v>
      </c>
      <c r="H888" s="2">
        <v>10.58</v>
      </c>
      <c r="I888" s="1">
        <f t="shared" si="25"/>
        <v>0.22041666666666668</v>
      </c>
    </row>
    <row r="889" spans="4:9">
      <c r="D889" s="36" t="s">
        <v>1373</v>
      </c>
      <c r="E889" s="6"/>
      <c r="F889" s="14" t="s">
        <v>1372</v>
      </c>
      <c r="G889" s="3">
        <v>1</v>
      </c>
      <c r="H889" s="2">
        <v>0.34</v>
      </c>
      <c r="I889" s="1">
        <f t="shared" si="25"/>
        <v>0.34</v>
      </c>
    </row>
    <row r="890" spans="4:9">
      <c r="D890" s="36" t="s">
        <v>1380</v>
      </c>
      <c r="E890" s="3"/>
      <c r="F890" s="14" t="s">
        <v>1379</v>
      </c>
      <c r="G890" s="3">
        <v>1</v>
      </c>
      <c r="H890" s="2">
        <v>0.79</v>
      </c>
      <c r="I890" s="1">
        <f t="shared" si="25"/>
        <v>0.79</v>
      </c>
    </row>
    <row r="891" spans="4:9">
      <c r="D891" s="36" t="s">
        <v>1293</v>
      </c>
      <c r="E891" s="3"/>
      <c r="F891" s="14" t="s">
        <v>1292</v>
      </c>
      <c r="G891" s="3">
        <v>48</v>
      </c>
      <c r="H891" s="2">
        <v>10.5</v>
      </c>
      <c r="I891" s="1">
        <f t="shared" si="25"/>
        <v>0.21875</v>
      </c>
    </row>
    <row r="892" spans="4:9">
      <c r="D892" s="36">
        <v>68534549</v>
      </c>
      <c r="E892" s="3"/>
      <c r="F892" s="14" t="s">
        <v>158</v>
      </c>
      <c r="G892" s="3">
        <v>1</v>
      </c>
      <c r="H892" s="2">
        <v>2.2000000000000002</v>
      </c>
      <c r="I892" s="1">
        <f t="shared" si="25"/>
        <v>2.2000000000000002</v>
      </c>
    </row>
    <row r="893" spans="4:9">
      <c r="D893" s="36" t="s">
        <v>1273</v>
      </c>
      <c r="E893" s="3"/>
      <c r="F893" s="14" t="s">
        <v>1272</v>
      </c>
      <c r="G893" s="3">
        <v>24</v>
      </c>
      <c r="H893" s="2">
        <v>19.05</v>
      </c>
      <c r="I893" s="1">
        <f t="shared" si="25"/>
        <v>0.79375000000000007</v>
      </c>
    </row>
    <row r="894" spans="4:9">
      <c r="D894" s="36">
        <v>1008010073</v>
      </c>
      <c r="E894" s="3"/>
      <c r="F894" s="14" t="s">
        <v>443</v>
      </c>
      <c r="G894" s="3">
        <v>28</v>
      </c>
      <c r="H894" s="2">
        <v>9.26</v>
      </c>
      <c r="I894" s="1">
        <f t="shared" ref="I894:I925" si="26">H894/G894</f>
        <v>0.33071428571428568</v>
      </c>
    </row>
    <row r="895" spans="4:9">
      <c r="D895" s="36" t="s">
        <v>1353</v>
      </c>
      <c r="E895" s="14"/>
      <c r="F895" s="14" t="s">
        <v>1352</v>
      </c>
      <c r="G895" s="3">
        <v>1</v>
      </c>
      <c r="H895" s="2">
        <v>0.5</v>
      </c>
      <c r="I895" s="1">
        <f t="shared" si="26"/>
        <v>0.5</v>
      </c>
    </row>
    <row r="896" spans="4:9">
      <c r="D896" s="36">
        <v>68534556</v>
      </c>
      <c r="E896" s="3"/>
      <c r="F896" s="14" t="s">
        <v>152</v>
      </c>
      <c r="G896" s="3">
        <v>1</v>
      </c>
      <c r="H896" s="2">
        <v>2.2000000000000002</v>
      </c>
      <c r="I896" s="1">
        <f t="shared" si="26"/>
        <v>2.2000000000000002</v>
      </c>
    </row>
    <row r="897" spans="4:9">
      <c r="D897" s="36" t="s">
        <v>1392</v>
      </c>
      <c r="E897" s="14" t="s">
        <v>457</v>
      </c>
      <c r="F897" s="3" t="s">
        <v>1391</v>
      </c>
      <c r="G897" s="3">
        <v>48</v>
      </c>
      <c r="H897" s="2">
        <v>16.5</v>
      </c>
      <c r="I897" s="1">
        <f t="shared" si="26"/>
        <v>0.34375</v>
      </c>
    </row>
    <row r="898" spans="4:9">
      <c r="D898" s="36" t="s">
        <v>1394</v>
      </c>
      <c r="E898" s="14"/>
      <c r="F898" s="14" t="s">
        <v>1393</v>
      </c>
      <c r="G898" s="3">
        <v>1</v>
      </c>
      <c r="H898" s="2">
        <v>4.4800000000000004</v>
      </c>
      <c r="I898" s="1">
        <f t="shared" si="26"/>
        <v>4.4800000000000004</v>
      </c>
    </row>
    <row r="899" spans="4:9">
      <c r="D899" s="36" t="s">
        <v>1396</v>
      </c>
      <c r="E899" s="14" t="s">
        <v>457</v>
      </c>
      <c r="F899" s="14" t="s">
        <v>1395</v>
      </c>
      <c r="G899" s="3">
        <v>24</v>
      </c>
      <c r="H899" s="2">
        <v>5.61</v>
      </c>
      <c r="I899" s="1">
        <f t="shared" si="26"/>
        <v>0.23375000000000001</v>
      </c>
    </row>
    <row r="900" spans="4:9">
      <c r="D900" s="36">
        <v>68667239</v>
      </c>
      <c r="E900" s="3" t="s">
        <v>435</v>
      </c>
      <c r="F900" s="14" t="s">
        <v>1398</v>
      </c>
      <c r="G900" s="3">
        <v>12</v>
      </c>
      <c r="H900" s="2">
        <v>10.06</v>
      </c>
      <c r="I900" s="1">
        <f t="shared" si="26"/>
        <v>0.83833333333333337</v>
      </c>
    </row>
    <row r="901" spans="4:9">
      <c r="D901" s="36">
        <v>642168</v>
      </c>
      <c r="E901" s="3" t="s">
        <v>655</v>
      </c>
      <c r="F901" s="14" t="s">
        <v>1397</v>
      </c>
      <c r="G901" s="3">
        <v>6</v>
      </c>
      <c r="H901" s="2">
        <v>12.72</v>
      </c>
      <c r="I901" s="1">
        <f t="shared" si="26"/>
        <v>2.12</v>
      </c>
    </row>
    <row r="902" spans="4:9">
      <c r="D902" s="36">
        <v>68534543</v>
      </c>
      <c r="E902" s="3" t="s">
        <v>153</v>
      </c>
      <c r="F902" s="14" t="s">
        <v>160</v>
      </c>
      <c r="G902" s="3">
        <v>1</v>
      </c>
      <c r="H902" s="2">
        <v>2.2000000000000002</v>
      </c>
      <c r="I902" s="1">
        <f t="shared" si="26"/>
        <v>2.2000000000000002</v>
      </c>
    </row>
    <row r="903" spans="4:9">
      <c r="D903" s="36" t="s">
        <v>1400</v>
      </c>
      <c r="E903" s="3" t="s">
        <v>1012</v>
      </c>
      <c r="F903" s="14" t="s">
        <v>1399</v>
      </c>
      <c r="G903" s="3">
        <v>16</v>
      </c>
      <c r="H903" s="2">
        <v>14.4</v>
      </c>
      <c r="I903" s="1">
        <f t="shared" si="26"/>
        <v>0.9</v>
      </c>
    </row>
    <row r="904" spans="4:9">
      <c r="D904" s="36" t="s">
        <v>1277</v>
      </c>
      <c r="E904" s="3"/>
      <c r="F904" s="14" t="s">
        <v>1276</v>
      </c>
      <c r="G904" s="3">
        <v>48</v>
      </c>
      <c r="H904" s="2">
        <v>10.58</v>
      </c>
      <c r="I904" s="1">
        <f t="shared" si="26"/>
        <v>0.22041666666666668</v>
      </c>
    </row>
    <row r="905" spans="4:9">
      <c r="D905" s="36" t="s">
        <v>1406</v>
      </c>
      <c r="E905" s="3"/>
      <c r="F905" s="14" t="s">
        <v>1405</v>
      </c>
      <c r="G905" s="3">
        <v>24</v>
      </c>
      <c r="H905" s="2">
        <v>9.1199999999999992</v>
      </c>
      <c r="I905" s="1">
        <f t="shared" si="26"/>
        <v>0.37999999999999995</v>
      </c>
    </row>
    <row r="906" spans="4:9">
      <c r="D906" s="36" t="s">
        <v>1404</v>
      </c>
      <c r="E906" s="3" t="s">
        <v>655</v>
      </c>
      <c r="F906" s="14" t="s">
        <v>1403</v>
      </c>
      <c r="G906" s="3">
        <v>200</v>
      </c>
      <c r="H906" s="2">
        <v>60</v>
      </c>
      <c r="I906" s="1">
        <f t="shared" si="26"/>
        <v>0.3</v>
      </c>
    </row>
    <row r="907" spans="4:9">
      <c r="D907" s="36" t="s">
        <v>1408</v>
      </c>
      <c r="E907" s="3"/>
      <c r="F907" s="14" t="s">
        <v>1407</v>
      </c>
      <c r="G907" s="3">
        <v>96</v>
      </c>
      <c r="H907" s="2">
        <v>8.4600000000000009</v>
      </c>
      <c r="I907" s="1">
        <f t="shared" si="26"/>
        <v>8.8125000000000009E-2</v>
      </c>
    </row>
    <row r="908" spans="4:9">
      <c r="D908" s="36">
        <v>68441544</v>
      </c>
      <c r="E908" s="3" t="s">
        <v>247</v>
      </c>
      <c r="F908" s="14" t="s">
        <v>1410</v>
      </c>
      <c r="G908" s="3">
        <v>12</v>
      </c>
      <c r="H908" s="2">
        <v>2.6</v>
      </c>
      <c r="I908" s="1">
        <f t="shared" si="26"/>
        <v>0.21666666666666667</v>
      </c>
    </row>
    <row r="909" spans="4:9">
      <c r="D909" s="36">
        <v>68524853</v>
      </c>
      <c r="E909" s="3"/>
      <c r="F909" s="14" t="s">
        <v>1411</v>
      </c>
      <c r="G909" s="3">
        <v>24</v>
      </c>
      <c r="H909" s="2">
        <v>14.85</v>
      </c>
      <c r="I909" s="1">
        <f t="shared" si="26"/>
        <v>0.61875000000000002</v>
      </c>
    </row>
    <row r="910" spans="4:9">
      <c r="D910" s="36" t="s">
        <v>1263</v>
      </c>
      <c r="E910" s="3"/>
      <c r="F910" s="14" t="s">
        <v>1262</v>
      </c>
      <c r="G910" s="3">
        <v>12</v>
      </c>
      <c r="H910" s="2">
        <v>19.920000000000002</v>
      </c>
      <c r="I910" s="1">
        <f t="shared" si="26"/>
        <v>1.6600000000000001</v>
      </c>
    </row>
    <row r="911" spans="4:9">
      <c r="D911" s="36" t="s">
        <v>1417</v>
      </c>
      <c r="E911" s="3" t="s">
        <v>457</v>
      </c>
      <c r="F911" s="14" t="s">
        <v>1416</v>
      </c>
      <c r="G911" s="3">
        <v>24</v>
      </c>
      <c r="H911" s="2">
        <v>18.55</v>
      </c>
      <c r="I911" s="1">
        <f t="shared" si="26"/>
        <v>0.7729166666666667</v>
      </c>
    </row>
    <row r="912" spans="4:9">
      <c r="D912" s="36" t="s">
        <v>1415</v>
      </c>
      <c r="E912" s="3"/>
      <c r="F912" s="14" t="s">
        <v>1414</v>
      </c>
      <c r="G912" s="3">
        <v>8</v>
      </c>
      <c r="H912" s="2">
        <v>2.85</v>
      </c>
      <c r="I912" s="1">
        <f t="shared" si="26"/>
        <v>0.35625000000000001</v>
      </c>
    </row>
    <row r="913" spans="4:9">
      <c r="D913" s="36" t="s">
        <v>1402</v>
      </c>
      <c r="E913" s="3"/>
      <c r="F913" s="14" t="s">
        <v>1401</v>
      </c>
      <c r="G913" s="3">
        <v>4</v>
      </c>
      <c r="H913" s="2">
        <v>33.42</v>
      </c>
      <c r="I913" s="1">
        <f t="shared" si="26"/>
        <v>8.3550000000000004</v>
      </c>
    </row>
    <row r="914" spans="4:9">
      <c r="D914" s="36">
        <v>547830</v>
      </c>
      <c r="E914" s="3"/>
      <c r="F914" s="14" t="s">
        <v>1420</v>
      </c>
      <c r="G914" s="3">
        <v>12</v>
      </c>
      <c r="H914" s="2">
        <v>7.45</v>
      </c>
      <c r="I914" s="1">
        <f t="shared" si="26"/>
        <v>0.62083333333333335</v>
      </c>
    </row>
    <row r="915" spans="4:9">
      <c r="D915" s="36" t="s">
        <v>1422</v>
      </c>
      <c r="E915" s="3" t="s">
        <v>457</v>
      </c>
      <c r="F915" s="14" t="s">
        <v>1421</v>
      </c>
      <c r="G915" s="3">
        <v>24</v>
      </c>
      <c r="H915" s="2">
        <v>18.55</v>
      </c>
      <c r="I915" s="1">
        <f t="shared" si="26"/>
        <v>0.7729166666666667</v>
      </c>
    </row>
    <row r="916" spans="4:9">
      <c r="D916" s="36" t="s">
        <v>1424</v>
      </c>
      <c r="E916" s="3"/>
      <c r="F916" s="14" t="s">
        <v>1423</v>
      </c>
      <c r="G916" s="3">
        <v>1</v>
      </c>
      <c r="H916" s="2">
        <v>0.13</v>
      </c>
      <c r="I916" s="1">
        <f t="shared" si="26"/>
        <v>0.13</v>
      </c>
    </row>
    <row r="917" spans="4:9">
      <c r="D917" s="36" t="s">
        <v>1430</v>
      </c>
      <c r="E917" s="3"/>
      <c r="F917" s="14" t="s">
        <v>1429</v>
      </c>
      <c r="G917" s="3">
        <v>4</v>
      </c>
      <c r="H917" s="2">
        <v>38.770000000000003</v>
      </c>
      <c r="I917" s="1">
        <f t="shared" si="26"/>
        <v>9.6925000000000008</v>
      </c>
    </row>
    <row r="918" spans="4:9">
      <c r="D918" s="36" t="s">
        <v>1428</v>
      </c>
      <c r="E918" s="3"/>
      <c r="F918" s="14" t="s">
        <v>1427</v>
      </c>
      <c r="G918" s="3">
        <v>24</v>
      </c>
      <c r="H918" s="2">
        <v>10.58</v>
      </c>
      <c r="I918" s="1">
        <f t="shared" si="26"/>
        <v>0.44083333333333335</v>
      </c>
    </row>
    <row r="919" spans="4:9">
      <c r="D919" s="36" t="s">
        <v>1426</v>
      </c>
      <c r="E919" s="3"/>
      <c r="F919" s="14" t="s">
        <v>1425</v>
      </c>
      <c r="G919" s="3">
        <v>25</v>
      </c>
      <c r="H919" s="2">
        <v>25</v>
      </c>
      <c r="I919" s="1">
        <f t="shared" si="26"/>
        <v>1</v>
      </c>
    </row>
    <row r="920" spans="4:9">
      <c r="D920" s="49" t="s">
        <v>1435</v>
      </c>
      <c r="E920" s="6"/>
      <c r="F920" s="13" t="s">
        <v>1434</v>
      </c>
      <c r="G920" s="6">
        <v>48</v>
      </c>
      <c r="H920" s="5">
        <v>21.15</v>
      </c>
      <c r="I920" s="4">
        <f t="shared" si="26"/>
        <v>0.44062499999999999</v>
      </c>
    </row>
    <row r="921" spans="4:9">
      <c r="D921" s="36" t="s">
        <v>1433</v>
      </c>
      <c r="E921" s="3"/>
      <c r="F921" s="14" t="s">
        <v>1432</v>
      </c>
      <c r="G921" s="3">
        <v>48</v>
      </c>
      <c r="H921" s="2">
        <v>23.58</v>
      </c>
      <c r="I921" s="1">
        <f t="shared" si="26"/>
        <v>0.49124999999999996</v>
      </c>
    </row>
    <row r="922" spans="4:9">
      <c r="D922" s="36" t="s">
        <v>1439</v>
      </c>
      <c r="E922" s="3"/>
      <c r="F922" s="14" t="s">
        <v>1438</v>
      </c>
      <c r="G922" s="3">
        <v>4</v>
      </c>
      <c r="H922" s="2">
        <v>26.44</v>
      </c>
      <c r="I922" s="1">
        <f t="shared" si="26"/>
        <v>6.61</v>
      </c>
    </row>
    <row r="923" spans="4:9">
      <c r="D923" s="36" t="s">
        <v>1437</v>
      </c>
      <c r="E923" s="3"/>
      <c r="F923" s="14" t="s">
        <v>1436</v>
      </c>
      <c r="G923" s="3">
        <v>4</v>
      </c>
      <c r="H923" s="2">
        <v>33.93</v>
      </c>
      <c r="I923" s="1">
        <f t="shared" si="26"/>
        <v>8.4824999999999999</v>
      </c>
    </row>
    <row r="924" spans="4:9">
      <c r="D924" s="36" t="s">
        <v>1441</v>
      </c>
      <c r="E924" s="3"/>
      <c r="F924" s="14" t="s">
        <v>1440</v>
      </c>
      <c r="G924" s="3">
        <v>24</v>
      </c>
      <c r="H924" s="2">
        <v>12.96</v>
      </c>
      <c r="I924" s="1">
        <f t="shared" si="26"/>
        <v>0.54</v>
      </c>
    </row>
    <row r="925" spans="4:9">
      <c r="D925" s="36" t="s">
        <v>1443</v>
      </c>
      <c r="E925" s="3"/>
      <c r="F925" s="14" t="s">
        <v>1442</v>
      </c>
      <c r="G925" s="3">
        <v>8</v>
      </c>
      <c r="H925" s="2">
        <v>26.44</v>
      </c>
      <c r="I925" s="1">
        <f t="shared" si="26"/>
        <v>3.3050000000000002</v>
      </c>
    </row>
    <row r="926" spans="4:9">
      <c r="D926" s="36" t="s">
        <v>1445</v>
      </c>
      <c r="E926" s="3"/>
      <c r="F926" s="14" t="s">
        <v>1444</v>
      </c>
      <c r="G926" s="3">
        <v>8</v>
      </c>
      <c r="H926" s="2">
        <v>33.36</v>
      </c>
      <c r="I926" s="1">
        <f t="shared" ref="I926:I957" si="27">H926/G926</f>
        <v>4.17</v>
      </c>
    </row>
    <row r="927" spans="4:9">
      <c r="D927" s="36" t="s">
        <v>1447</v>
      </c>
      <c r="E927" s="3"/>
      <c r="F927" s="14" t="s">
        <v>1446</v>
      </c>
      <c r="G927" s="3">
        <v>1</v>
      </c>
      <c r="H927" s="2">
        <v>0.62</v>
      </c>
      <c r="I927" s="1">
        <f t="shared" si="27"/>
        <v>0.62</v>
      </c>
    </row>
    <row r="928" spans="4:9">
      <c r="D928" s="36" t="s">
        <v>1449</v>
      </c>
      <c r="E928" s="3"/>
      <c r="F928" s="14" t="s">
        <v>1448</v>
      </c>
      <c r="G928" s="3">
        <v>24</v>
      </c>
      <c r="H928" s="2">
        <v>28.5</v>
      </c>
      <c r="I928" s="1">
        <f t="shared" si="27"/>
        <v>1.1875</v>
      </c>
    </row>
    <row r="929" spans="4:9">
      <c r="D929" s="36" t="s">
        <v>1451</v>
      </c>
      <c r="E929" s="3"/>
      <c r="F929" s="14" t="s">
        <v>1450</v>
      </c>
      <c r="G929" s="3">
        <v>32</v>
      </c>
      <c r="H929" s="2">
        <v>26.44</v>
      </c>
      <c r="I929" s="1">
        <f t="shared" si="27"/>
        <v>0.82625000000000004</v>
      </c>
    </row>
    <row r="930" spans="4:9">
      <c r="D930" s="36" t="s">
        <v>1453</v>
      </c>
      <c r="E930" s="3"/>
      <c r="F930" s="14" t="s">
        <v>1452</v>
      </c>
      <c r="G930" s="3">
        <v>48</v>
      </c>
      <c r="H930" s="2">
        <v>11.63</v>
      </c>
      <c r="I930" s="1">
        <f t="shared" si="27"/>
        <v>0.24229166666666668</v>
      </c>
    </row>
    <row r="931" spans="4:9">
      <c r="D931" s="36" t="s">
        <v>1457</v>
      </c>
      <c r="E931" s="3"/>
      <c r="F931" s="14" t="s">
        <v>1456</v>
      </c>
      <c r="G931" s="3">
        <v>4</v>
      </c>
      <c r="H931" s="2">
        <v>26.44</v>
      </c>
      <c r="I931" s="1">
        <f t="shared" si="27"/>
        <v>6.61</v>
      </c>
    </row>
    <row r="932" spans="4:9">
      <c r="D932" s="36" t="s">
        <v>1455</v>
      </c>
      <c r="E932" s="3"/>
      <c r="F932" s="14" t="s">
        <v>1454</v>
      </c>
      <c r="G932" s="3">
        <v>4</v>
      </c>
      <c r="H932" s="2">
        <v>36.200000000000003</v>
      </c>
      <c r="I932" s="1">
        <f t="shared" si="27"/>
        <v>9.0500000000000007</v>
      </c>
    </row>
    <row r="933" spans="4:9">
      <c r="D933" s="36" t="s">
        <v>1459</v>
      </c>
      <c r="E933" s="3"/>
      <c r="F933" s="14" t="s">
        <v>1458</v>
      </c>
      <c r="G933" s="3">
        <v>12</v>
      </c>
      <c r="H933" s="2">
        <v>17.940000000000001</v>
      </c>
      <c r="I933" s="1">
        <f t="shared" si="27"/>
        <v>1.4950000000000001</v>
      </c>
    </row>
    <row r="934" spans="4:9">
      <c r="D934" s="36" t="s">
        <v>1461</v>
      </c>
      <c r="E934" s="3"/>
      <c r="F934" s="14" t="s">
        <v>1460</v>
      </c>
      <c r="G934" s="3">
        <v>4</v>
      </c>
      <c r="H934" s="2">
        <v>26.44</v>
      </c>
      <c r="I934" s="1">
        <f t="shared" si="27"/>
        <v>6.61</v>
      </c>
    </row>
    <row r="935" spans="4:9">
      <c r="D935" s="36" t="s">
        <v>1463</v>
      </c>
      <c r="E935" s="3"/>
      <c r="F935" s="14" t="s">
        <v>1462</v>
      </c>
      <c r="G935" s="3">
        <v>4</v>
      </c>
      <c r="H935" s="2">
        <v>33.92</v>
      </c>
      <c r="I935" s="1">
        <f t="shared" si="27"/>
        <v>8.48</v>
      </c>
    </row>
    <row r="936" spans="4:9">
      <c r="D936" s="36" t="s">
        <v>1465</v>
      </c>
      <c r="E936" s="3"/>
      <c r="F936" s="14" t="s">
        <v>1464</v>
      </c>
      <c r="G936" s="3">
        <v>32</v>
      </c>
      <c r="H936" s="2">
        <v>27.49</v>
      </c>
      <c r="I936" s="1">
        <f t="shared" si="27"/>
        <v>0.85906249999999995</v>
      </c>
    </row>
    <row r="937" spans="4:9">
      <c r="D937" s="36" t="s">
        <v>1467</v>
      </c>
      <c r="E937" s="3"/>
      <c r="F937" s="14" t="s">
        <v>1466</v>
      </c>
      <c r="G937" s="3">
        <v>48</v>
      </c>
      <c r="H937" s="2">
        <v>21.15</v>
      </c>
      <c r="I937" s="1">
        <f t="shared" si="27"/>
        <v>0.44062499999999999</v>
      </c>
    </row>
    <row r="938" spans="4:9">
      <c r="D938" s="49" t="s">
        <v>1477</v>
      </c>
      <c r="E938" s="3" t="s">
        <v>1012</v>
      </c>
      <c r="F938" s="13" t="s">
        <v>1476</v>
      </c>
      <c r="G938" s="6">
        <v>16</v>
      </c>
      <c r="H938" s="5">
        <v>14.4</v>
      </c>
      <c r="I938" s="4">
        <f t="shared" si="27"/>
        <v>0.9</v>
      </c>
    </row>
    <row r="939" spans="4:9">
      <c r="D939" s="36" t="s">
        <v>1475</v>
      </c>
      <c r="E939" s="3" t="s">
        <v>1012</v>
      </c>
      <c r="F939" s="14" t="s">
        <v>1474</v>
      </c>
      <c r="G939" s="6">
        <v>16</v>
      </c>
      <c r="H939" s="5">
        <v>14.4</v>
      </c>
      <c r="I939" s="1">
        <f t="shared" si="27"/>
        <v>0.9</v>
      </c>
    </row>
    <row r="940" spans="4:9">
      <c r="D940" s="36" t="s">
        <v>1473</v>
      </c>
      <c r="E940" s="3" t="s">
        <v>1012</v>
      </c>
      <c r="F940" s="14" t="s">
        <v>1472</v>
      </c>
      <c r="G940" s="6">
        <v>16</v>
      </c>
      <c r="H940" s="5">
        <v>14.4</v>
      </c>
      <c r="I940" s="1">
        <f t="shared" si="27"/>
        <v>0.9</v>
      </c>
    </row>
    <row r="941" spans="4:9">
      <c r="D941" s="36" t="s">
        <v>1471</v>
      </c>
      <c r="E941" s="3" t="s">
        <v>1012</v>
      </c>
      <c r="F941" s="14" t="s">
        <v>1470</v>
      </c>
      <c r="G941" s="6">
        <v>16</v>
      </c>
      <c r="H941" s="5">
        <v>14.4</v>
      </c>
      <c r="I941" s="1">
        <f t="shared" si="27"/>
        <v>0.9</v>
      </c>
    </row>
    <row r="942" spans="4:9">
      <c r="D942" s="36" t="s">
        <v>1469</v>
      </c>
      <c r="E942" s="3"/>
      <c r="F942" s="14" t="s">
        <v>1468</v>
      </c>
      <c r="G942" s="3">
        <v>4</v>
      </c>
      <c r="H942" s="2">
        <v>26.44</v>
      </c>
      <c r="I942" s="1">
        <f t="shared" si="27"/>
        <v>6.61</v>
      </c>
    </row>
    <row r="943" spans="4:9">
      <c r="D943" s="36" t="s">
        <v>1480</v>
      </c>
      <c r="E943" s="3" t="s">
        <v>1012</v>
      </c>
      <c r="F943" s="14" t="s">
        <v>1479</v>
      </c>
      <c r="G943" s="3">
        <v>16</v>
      </c>
      <c r="H943" s="2">
        <v>14.4</v>
      </c>
      <c r="I943" s="1">
        <f t="shared" si="27"/>
        <v>0.9</v>
      </c>
    </row>
    <row r="944" spans="4:9">
      <c r="D944" s="36" t="s">
        <v>1482</v>
      </c>
      <c r="E944" s="3"/>
      <c r="F944" s="14" t="s">
        <v>1481</v>
      </c>
      <c r="G944" s="3">
        <v>12</v>
      </c>
      <c r="H944" s="2">
        <v>7.22</v>
      </c>
      <c r="I944" s="1">
        <f t="shared" si="27"/>
        <v>0.60166666666666668</v>
      </c>
    </row>
    <row r="945" spans="4:9">
      <c r="D945" s="36">
        <v>68170131</v>
      </c>
      <c r="E945" s="3" t="s">
        <v>623</v>
      </c>
      <c r="F945" s="14" t="s">
        <v>1487</v>
      </c>
      <c r="G945" s="3">
        <v>24</v>
      </c>
      <c r="H945" s="2">
        <v>12.16</v>
      </c>
      <c r="I945" s="1">
        <f t="shared" si="27"/>
        <v>0.50666666666666671</v>
      </c>
    </row>
    <row r="946" spans="4:9">
      <c r="D946" s="36" t="s">
        <v>1486</v>
      </c>
      <c r="E946" s="3" t="s">
        <v>1012</v>
      </c>
      <c r="F946" s="14" t="s">
        <v>1485</v>
      </c>
      <c r="G946" s="3">
        <v>16</v>
      </c>
      <c r="H946" s="2">
        <v>14.4</v>
      </c>
      <c r="I946" s="1">
        <f t="shared" si="27"/>
        <v>0.9</v>
      </c>
    </row>
    <row r="947" spans="4:9">
      <c r="D947" s="36" t="s">
        <v>1484</v>
      </c>
      <c r="E947" s="3"/>
      <c r="F947" s="14" t="s">
        <v>1483</v>
      </c>
      <c r="G947" s="3">
        <v>16</v>
      </c>
      <c r="H947" s="2">
        <v>31.02</v>
      </c>
      <c r="I947" s="1">
        <f t="shared" si="27"/>
        <v>1.93875</v>
      </c>
    </row>
    <row r="948" spans="4:9">
      <c r="D948" s="36">
        <v>67885788</v>
      </c>
      <c r="E948" s="3"/>
      <c r="F948" s="14" t="s">
        <v>1488</v>
      </c>
      <c r="G948" s="3">
        <v>12</v>
      </c>
      <c r="H948" s="2">
        <v>7.42</v>
      </c>
      <c r="I948" s="1">
        <f t="shared" si="27"/>
        <v>0.61833333333333329</v>
      </c>
    </row>
    <row r="949" spans="4:9">
      <c r="D949" s="36" t="s">
        <v>1492</v>
      </c>
      <c r="E949" s="3"/>
      <c r="F949" s="14" t="s">
        <v>1491</v>
      </c>
      <c r="G949" s="3">
        <v>8</v>
      </c>
      <c r="H949" s="2">
        <v>30.84</v>
      </c>
      <c r="I949" s="1">
        <f t="shared" si="27"/>
        <v>3.855</v>
      </c>
    </row>
    <row r="950" spans="4:9">
      <c r="D950" s="36" t="s">
        <v>1490</v>
      </c>
      <c r="E950" s="3"/>
      <c r="F950" s="14" t="s">
        <v>1489</v>
      </c>
      <c r="G950" s="3">
        <v>24</v>
      </c>
      <c r="H950" s="2">
        <v>26.44</v>
      </c>
      <c r="I950" s="1">
        <f t="shared" si="27"/>
        <v>1.1016666666666668</v>
      </c>
    </row>
    <row r="951" spans="4:9">
      <c r="D951" s="36" t="s">
        <v>1496</v>
      </c>
      <c r="E951" s="3"/>
      <c r="F951" s="14" t="s">
        <v>1495</v>
      </c>
      <c r="G951" s="3">
        <v>8</v>
      </c>
      <c r="H951" s="2">
        <v>26.44</v>
      </c>
      <c r="I951" s="1">
        <f t="shared" si="27"/>
        <v>3.3050000000000002</v>
      </c>
    </row>
    <row r="952" spans="4:9">
      <c r="D952" s="36" t="s">
        <v>1494</v>
      </c>
      <c r="E952" s="3"/>
      <c r="F952" s="14" t="s">
        <v>1493</v>
      </c>
      <c r="G952" s="3">
        <v>32</v>
      </c>
      <c r="H952" s="2">
        <v>32</v>
      </c>
      <c r="I952" s="1">
        <f t="shared" si="27"/>
        <v>1</v>
      </c>
    </row>
    <row r="953" spans="4:9">
      <c r="D953" s="36" t="s">
        <v>1498</v>
      </c>
      <c r="E953" s="3"/>
      <c r="F953" s="71" t="s">
        <v>1497</v>
      </c>
      <c r="G953" s="3">
        <v>12</v>
      </c>
      <c r="H953" s="2">
        <v>8.48</v>
      </c>
      <c r="I953" s="1">
        <f t="shared" si="27"/>
        <v>0.70666666666666667</v>
      </c>
    </row>
    <row r="954" spans="4:9">
      <c r="D954" s="36">
        <v>214902</v>
      </c>
      <c r="E954" s="3"/>
      <c r="F954" s="14" t="s">
        <v>1499</v>
      </c>
      <c r="G954" s="3">
        <v>12</v>
      </c>
      <c r="H954" s="2">
        <v>11.1</v>
      </c>
      <c r="I954" s="1">
        <f t="shared" si="27"/>
        <v>0.92499999999999993</v>
      </c>
    </row>
    <row r="955" spans="4:9">
      <c r="D955" s="36">
        <v>67775462</v>
      </c>
      <c r="E955" s="3"/>
      <c r="F955" s="14" t="s">
        <v>1504</v>
      </c>
      <c r="G955" s="3">
        <v>2</v>
      </c>
      <c r="H955" s="2">
        <v>5.3</v>
      </c>
      <c r="I955" s="1">
        <f t="shared" si="27"/>
        <v>2.65</v>
      </c>
    </row>
    <row r="956" spans="4:9">
      <c r="D956" s="36" t="s">
        <v>1503</v>
      </c>
      <c r="E956" s="6" t="s">
        <v>305</v>
      </c>
      <c r="F956" s="14" t="s">
        <v>1502</v>
      </c>
      <c r="G956" s="3">
        <v>10</v>
      </c>
      <c r="H956" s="2">
        <v>9</v>
      </c>
      <c r="I956" s="1">
        <f t="shared" si="27"/>
        <v>0.9</v>
      </c>
    </row>
    <row r="957" spans="4:9">
      <c r="D957" s="36" t="s">
        <v>1501</v>
      </c>
      <c r="E957" s="6" t="s">
        <v>305</v>
      </c>
      <c r="F957" s="14" t="s">
        <v>1500</v>
      </c>
      <c r="G957" s="3">
        <v>10</v>
      </c>
      <c r="H957" s="2">
        <v>9</v>
      </c>
      <c r="I957" s="1">
        <f t="shared" si="27"/>
        <v>0.9</v>
      </c>
    </row>
    <row r="958" spans="4:9">
      <c r="D958" s="36" t="s">
        <v>1506</v>
      </c>
      <c r="E958" s="3"/>
      <c r="F958" s="14" t="s">
        <v>1505</v>
      </c>
      <c r="G958" s="3">
        <v>12</v>
      </c>
      <c r="H958" s="2">
        <v>9.26</v>
      </c>
      <c r="I958" s="1">
        <f t="shared" ref="I958:I965" si="28">H958/G958</f>
        <v>0.77166666666666661</v>
      </c>
    </row>
    <row r="959" spans="4:9">
      <c r="D959" s="36" t="s">
        <v>1510</v>
      </c>
      <c r="E959" s="3"/>
      <c r="F959" s="14" t="s">
        <v>1509</v>
      </c>
      <c r="G959" s="3">
        <v>20</v>
      </c>
      <c r="H959" s="2">
        <v>17.600000000000001</v>
      </c>
      <c r="I959" s="1">
        <f t="shared" si="28"/>
        <v>0.88000000000000012</v>
      </c>
    </row>
    <row r="960" spans="4:9">
      <c r="D960" s="36" t="s">
        <v>1508</v>
      </c>
      <c r="E960" s="3"/>
      <c r="F960" s="14" t="s">
        <v>1507</v>
      </c>
      <c r="G960" s="3">
        <v>100</v>
      </c>
      <c r="H960" s="2">
        <v>22</v>
      </c>
      <c r="I960" s="1">
        <f t="shared" si="28"/>
        <v>0.22</v>
      </c>
    </row>
    <row r="961" spans="4:9">
      <c r="D961" s="36">
        <v>68688972</v>
      </c>
      <c r="E961" s="3"/>
      <c r="F961" s="14" t="s">
        <v>1511</v>
      </c>
      <c r="G961" s="3">
        <v>24</v>
      </c>
      <c r="H961" s="2">
        <v>14.85</v>
      </c>
      <c r="I961" s="1">
        <f t="shared" si="28"/>
        <v>0.61875000000000002</v>
      </c>
    </row>
    <row r="962" spans="4:9">
      <c r="D962" s="36" t="s">
        <v>1517</v>
      </c>
      <c r="E962" s="3" t="s">
        <v>1063</v>
      </c>
      <c r="F962" s="14" t="s">
        <v>1516</v>
      </c>
      <c r="G962" s="3">
        <v>120</v>
      </c>
      <c r="H962" s="2">
        <v>25.11</v>
      </c>
      <c r="I962" s="1">
        <f t="shared" si="28"/>
        <v>0.20924999999999999</v>
      </c>
    </row>
    <row r="963" spans="4:9">
      <c r="D963" s="36">
        <v>68354529</v>
      </c>
      <c r="E963" s="6"/>
      <c r="F963" s="14" t="s">
        <v>1515</v>
      </c>
      <c r="G963" s="3">
        <v>12</v>
      </c>
      <c r="H963" s="2">
        <v>1.35</v>
      </c>
      <c r="I963" s="1">
        <f t="shared" si="28"/>
        <v>0.1125</v>
      </c>
    </row>
    <row r="964" spans="4:9">
      <c r="D964" s="36">
        <v>68354522</v>
      </c>
      <c r="E964" s="3"/>
      <c r="F964" s="14" t="s">
        <v>1514</v>
      </c>
      <c r="G964" s="3">
        <v>12</v>
      </c>
      <c r="H964" s="2">
        <v>1.35</v>
      </c>
      <c r="I964" s="1">
        <f t="shared" si="28"/>
        <v>0.1125</v>
      </c>
    </row>
    <row r="965" spans="4:9">
      <c r="D965" s="36" t="s">
        <v>1519</v>
      </c>
      <c r="E965" s="3"/>
      <c r="F965" s="14" t="s">
        <v>1518</v>
      </c>
      <c r="G965" s="3">
        <v>48</v>
      </c>
      <c r="H965" s="2">
        <v>11.63</v>
      </c>
      <c r="I965" s="1">
        <f t="shared" si="28"/>
        <v>0.24229166666666668</v>
      </c>
    </row>
    <row r="966" spans="4:9">
      <c r="D966" s="36" t="s">
        <v>1521</v>
      </c>
      <c r="E966" s="3" t="s">
        <v>655</v>
      </c>
      <c r="F966" s="14" t="s">
        <v>1520</v>
      </c>
      <c r="G966" s="3">
        <v>1</v>
      </c>
      <c r="H966" s="2">
        <v>1</v>
      </c>
      <c r="I966" s="1">
        <v>0.25</v>
      </c>
    </row>
    <row r="967" spans="4:9">
      <c r="D967" s="36" t="s">
        <v>1523</v>
      </c>
      <c r="E967" s="3"/>
      <c r="F967" s="14" t="s">
        <v>1522</v>
      </c>
      <c r="G967" s="3">
        <v>32</v>
      </c>
      <c r="H967" s="2">
        <v>26.44</v>
      </c>
      <c r="I967" s="1">
        <f t="shared" ref="I967:I1007" si="29">H967/G967</f>
        <v>0.82625000000000004</v>
      </c>
    </row>
    <row r="968" spans="4:9">
      <c r="D968" s="36" t="s">
        <v>1525</v>
      </c>
      <c r="E968" s="3"/>
      <c r="F968" s="14" t="s">
        <v>1524</v>
      </c>
      <c r="G968" s="3">
        <v>16</v>
      </c>
      <c r="H968" s="2">
        <v>14.4</v>
      </c>
      <c r="I968" s="1">
        <f t="shared" si="29"/>
        <v>0.9</v>
      </c>
    </row>
    <row r="969" spans="4:9">
      <c r="D969" s="36" t="s">
        <v>1529</v>
      </c>
      <c r="E969" s="3"/>
      <c r="F969" s="14" t="s">
        <v>1528</v>
      </c>
      <c r="G969" s="3">
        <v>12</v>
      </c>
      <c r="H969" s="2">
        <v>17.920000000000002</v>
      </c>
      <c r="I969" s="1">
        <f t="shared" si="29"/>
        <v>1.4933333333333334</v>
      </c>
    </row>
    <row r="970" spans="4:9">
      <c r="D970" s="36" t="s">
        <v>1527</v>
      </c>
      <c r="E970" s="3"/>
      <c r="F970" s="14" t="s">
        <v>1526</v>
      </c>
      <c r="G970" s="3">
        <v>48</v>
      </c>
      <c r="H970" s="2">
        <v>10.571999999999999</v>
      </c>
      <c r="I970" s="1">
        <f t="shared" si="29"/>
        <v>0.22024999999999997</v>
      </c>
    </row>
    <row r="971" spans="4:9">
      <c r="D971" s="36" t="s">
        <v>1531</v>
      </c>
      <c r="E971" s="3"/>
      <c r="F971" s="14" t="s">
        <v>1530</v>
      </c>
      <c r="G971" s="3">
        <v>8</v>
      </c>
      <c r="H971" s="2">
        <v>26.44</v>
      </c>
      <c r="I971" s="1">
        <f t="shared" si="29"/>
        <v>3.3050000000000002</v>
      </c>
    </row>
    <row r="972" spans="4:9">
      <c r="D972" s="36" t="s">
        <v>1533</v>
      </c>
      <c r="E972" s="3" t="s">
        <v>305</v>
      </c>
      <c r="F972" s="14" t="s">
        <v>1532</v>
      </c>
      <c r="G972" s="3">
        <v>9</v>
      </c>
      <c r="H972" s="2">
        <v>8.35</v>
      </c>
      <c r="I972" s="1">
        <f t="shared" si="29"/>
        <v>0.9277777777777777</v>
      </c>
    </row>
    <row r="973" spans="4:9">
      <c r="D973" s="36" t="s">
        <v>1535</v>
      </c>
      <c r="E973" s="3"/>
      <c r="F973" s="14" t="s">
        <v>1534</v>
      </c>
      <c r="G973" s="3">
        <v>24</v>
      </c>
      <c r="H973" s="2">
        <v>17.5</v>
      </c>
      <c r="I973" s="1">
        <f t="shared" si="29"/>
        <v>0.72916666666666663</v>
      </c>
    </row>
    <row r="974" spans="4:9">
      <c r="D974" s="36" t="s">
        <v>1537</v>
      </c>
      <c r="E974" s="3"/>
      <c r="F974" s="14" t="s">
        <v>1536</v>
      </c>
      <c r="G974" s="3">
        <v>12</v>
      </c>
      <c r="H974" s="2">
        <v>1</v>
      </c>
      <c r="I974" s="1">
        <f t="shared" si="29"/>
        <v>8.3333333333333329E-2</v>
      </c>
    </row>
    <row r="975" spans="4:9">
      <c r="D975" s="36" t="s">
        <v>1539</v>
      </c>
      <c r="E975" s="3"/>
      <c r="F975" s="14" t="s">
        <v>1538</v>
      </c>
      <c r="G975" s="3">
        <v>12</v>
      </c>
      <c r="H975" s="2">
        <v>2.11</v>
      </c>
      <c r="I975" s="1">
        <f t="shared" si="29"/>
        <v>0.17583333333333331</v>
      </c>
    </row>
    <row r="976" spans="4:9">
      <c r="D976" s="36" t="s">
        <v>1541</v>
      </c>
      <c r="E976" s="6" t="s">
        <v>806</v>
      </c>
      <c r="F976" s="14" t="s">
        <v>1540</v>
      </c>
      <c r="G976" s="3">
        <v>50</v>
      </c>
      <c r="H976" s="2">
        <v>44.06</v>
      </c>
      <c r="I976" s="1">
        <f t="shared" si="29"/>
        <v>0.88120000000000009</v>
      </c>
    </row>
    <row r="977" spans="4:9">
      <c r="D977" s="36" t="s">
        <v>1543</v>
      </c>
      <c r="E977" s="3"/>
      <c r="F977" s="14" t="s">
        <v>1542</v>
      </c>
      <c r="G977" s="3">
        <v>16</v>
      </c>
      <c r="H977" s="2">
        <v>31.013000000000002</v>
      </c>
      <c r="I977" s="1">
        <f t="shared" si="29"/>
        <v>1.9383125000000001</v>
      </c>
    </row>
    <row r="978" spans="4:9">
      <c r="D978" s="36" t="s">
        <v>1545</v>
      </c>
      <c r="E978" s="14" t="s">
        <v>1544</v>
      </c>
      <c r="F978" s="14" t="s">
        <v>1544</v>
      </c>
      <c r="G978" s="3">
        <v>25</v>
      </c>
      <c r="H978" s="2">
        <v>22.05</v>
      </c>
      <c r="I978" s="1">
        <f t="shared" si="29"/>
        <v>0.88200000000000001</v>
      </c>
    </row>
    <row r="979" spans="4:9">
      <c r="D979" s="36" t="s">
        <v>1547</v>
      </c>
      <c r="E979" s="3" t="s">
        <v>1048</v>
      </c>
      <c r="F979" s="14" t="s">
        <v>1546</v>
      </c>
      <c r="G979" s="3">
        <v>25</v>
      </c>
      <c r="H979" s="2">
        <v>22.05</v>
      </c>
      <c r="I979" s="1">
        <f t="shared" si="29"/>
        <v>0.88200000000000001</v>
      </c>
    </row>
    <row r="980" spans="4:9">
      <c r="D980" s="36" t="s">
        <v>1549</v>
      </c>
      <c r="E980" s="3"/>
      <c r="F980" s="14" t="s">
        <v>1548</v>
      </c>
      <c r="G980" s="3">
        <v>24</v>
      </c>
      <c r="H980" s="2">
        <v>2.11</v>
      </c>
      <c r="I980" s="1">
        <f t="shared" si="29"/>
        <v>8.7916666666666657E-2</v>
      </c>
    </row>
    <row r="981" spans="4:9">
      <c r="D981" s="17">
        <v>573809</v>
      </c>
      <c r="E981" s="6" t="s">
        <v>435</v>
      </c>
      <c r="F981" s="3" t="s">
        <v>74</v>
      </c>
      <c r="G981" s="3">
        <v>400</v>
      </c>
      <c r="H981" s="2">
        <v>41.5</v>
      </c>
      <c r="I981" s="1">
        <f t="shared" si="29"/>
        <v>0.10375</v>
      </c>
    </row>
    <row r="982" spans="4:9">
      <c r="D982" s="36" t="s">
        <v>1552</v>
      </c>
      <c r="E982" s="14" t="s">
        <v>1551</v>
      </c>
      <c r="F982" s="14" t="s">
        <v>1551</v>
      </c>
      <c r="G982" s="3">
        <v>1</v>
      </c>
      <c r="H982" s="2">
        <v>0.13</v>
      </c>
      <c r="I982" s="1">
        <f t="shared" si="29"/>
        <v>0.13</v>
      </c>
    </row>
    <row r="983" spans="4:9">
      <c r="D983" s="17">
        <v>573816</v>
      </c>
      <c r="E983" s="6" t="s">
        <v>435</v>
      </c>
      <c r="F983" s="3" t="s">
        <v>604</v>
      </c>
      <c r="G983" s="3">
        <v>192</v>
      </c>
      <c r="H983" s="2">
        <v>19.899999999999999</v>
      </c>
      <c r="I983" s="1">
        <f t="shared" si="29"/>
        <v>0.10364583333333333</v>
      </c>
    </row>
    <row r="984" spans="4:9">
      <c r="D984" s="36" t="s">
        <v>1555</v>
      </c>
      <c r="E984" s="3" t="s">
        <v>655</v>
      </c>
      <c r="F984" s="14" t="s">
        <v>1554</v>
      </c>
      <c r="G984" s="3">
        <v>72</v>
      </c>
      <c r="H984" s="2">
        <v>17.440000000000001</v>
      </c>
      <c r="I984" s="1">
        <f t="shared" si="29"/>
        <v>0.24222222222222223</v>
      </c>
    </row>
    <row r="985" spans="4:9">
      <c r="D985" s="36" t="s">
        <v>1559</v>
      </c>
      <c r="E985" s="3"/>
      <c r="F985" s="14" t="s">
        <v>1558</v>
      </c>
      <c r="G985" s="3">
        <v>25</v>
      </c>
      <c r="H985" s="2">
        <v>19.3</v>
      </c>
      <c r="I985" s="1">
        <f t="shared" si="29"/>
        <v>0.77200000000000002</v>
      </c>
    </row>
    <row r="986" spans="4:9">
      <c r="D986" s="36" t="s">
        <v>1557</v>
      </c>
      <c r="E986" s="6" t="s">
        <v>1048</v>
      </c>
      <c r="F986" s="14" t="s">
        <v>1556</v>
      </c>
      <c r="G986" s="3">
        <v>9</v>
      </c>
      <c r="H986" s="2">
        <v>15.84</v>
      </c>
      <c r="I986" s="1">
        <f t="shared" si="29"/>
        <v>1.76</v>
      </c>
    </row>
    <row r="987" spans="4:9">
      <c r="D987" s="36" t="s">
        <v>1561</v>
      </c>
      <c r="E987" s="3"/>
      <c r="F987" s="14" t="s">
        <v>1560</v>
      </c>
      <c r="G987" s="3">
        <v>25</v>
      </c>
      <c r="H987" s="2">
        <v>22.05</v>
      </c>
      <c r="I987" s="1">
        <f t="shared" si="29"/>
        <v>0.88200000000000001</v>
      </c>
    </row>
    <row r="988" spans="4:9">
      <c r="D988" s="36" t="s">
        <v>1563</v>
      </c>
      <c r="E988" s="3"/>
      <c r="F988" s="14" t="s">
        <v>1562</v>
      </c>
      <c r="G988" s="3">
        <v>16</v>
      </c>
      <c r="H988" s="2">
        <v>3.18</v>
      </c>
      <c r="I988" s="1">
        <f t="shared" si="29"/>
        <v>0.19875000000000001</v>
      </c>
    </row>
    <row r="989" spans="4:9">
      <c r="D989" s="36" t="s">
        <v>1565</v>
      </c>
      <c r="E989" s="3"/>
      <c r="F989" s="14" t="s">
        <v>1564</v>
      </c>
      <c r="G989" s="3">
        <v>25</v>
      </c>
      <c r="H989" s="2">
        <v>22.05</v>
      </c>
      <c r="I989" s="1">
        <f t="shared" si="29"/>
        <v>0.88200000000000001</v>
      </c>
    </row>
    <row r="990" spans="4:9">
      <c r="D990" s="36" t="s">
        <v>1567</v>
      </c>
      <c r="E990" s="3"/>
      <c r="F990" s="14" t="s">
        <v>1566</v>
      </c>
      <c r="G990" s="3">
        <v>24</v>
      </c>
      <c r="H990" s="2">
        <v>11.15</v>
      </c>
      <c r="I990" s="1">
        <f t="shared" si="29"/>
        <v>0.46458333333333335</v>
      </c>
    </row>
    <row r="991" spans="4:9">
      <c r="D991" s="36" t="s">
        <v>1148</v>
      </c>
      <c r="E991" s="3"/>
      <c r="F991" s="14" t="s">
        <v>1512</v>
      </c>
      <c r="G991" s="3">
        <v>25</v>
      </c>
      <c r="H991" s="2">
        <v>22.02</v>
      </c>
      <c r="I991" s="1">
        <f t="shared" si="29"/>
        <v>0.88080000000000003</v>
      </c>
    </row>
    <row r="992" spans="4:9">
      <c r="D992" s="36">
        <v>68637139</v>
      </c>
      <c r="E992" s="3"/>
      <c r="F992" s="14" t="s">
        <v>1568</v>
      </c>
      <c r="G992" s="3">
        <v>12</v>
      </c>
      <c r="H992" s="2">
        <v>13.22</v>
      </c>
      <c r="I992" s="1">
        <f t="shared" si="29"/>
        <v>1.1016666666666668</v>
      </c>
    </row>
    <row r="993" spans="4:9">
      <c r="D993" s="36">
        <v>67409923</v>
      </c>
      <c r="E993" s="3"/>
      <c r="F993" s="14" t="s">
        <v>1569</v>
      </c>
      <c r="G993" s="3">
        <v>4</v>
      </c>
      <c r="H993" s="2">
        <v>10.58</v>
      </c>
      <c r="I993" s="1">
        <f t="shared" si="29"/>
        <v>2.645</v>
      </c>
    </row>
    <row r="994" spans="4:9">
      <c r="D994" s="36" t="s">
        <v>1571</v>
      </c>
      <c r="E994" s="3"/>
      <c r="F994" s="14" t="s">
        <v>1570</v>
      </c>
      <c r="G994" s="3">
        <v>25</v>
      </c>
      <c r="H994" s="2">
        <v>19.3</v>
      </c>
      <c r="I994" s="1">
        <f t="shared" si="29"/>
        <v>0.77200000000000002</v>
      </c>
    </row>
    <row r="995" spans="4:9">
      <c r="D995" s="36" t="s">
        <v>1573</v>
      </c>
      <c r="E995" s="3"/>
      <c r="F995" s="14" t="s">
        <v>1572</v>
      </c>
      <c r="G995" s="3">
        <v>32</v>
      </c>
      <c r="H995" s="2">
        <v>26.44</v>
      </c>
      <c r="I995" s="1">
        <f t="shared" si="29"/>
        <v>0.82625000000000004</v>
      </c>
    </row>
    <row r="996" spans="4:9">
      <c r="D996" s="36">
        <v>67611019</v>
      </c>
      <c r="E996" s="3"/>
      <c r="F996" s="14" t="s">
        <v>1574</v>
      </c>
      <c r="G996" s="3">
        <v>8</v>
      </c>
      <c r="H996" s="2">
        <v>9.25</v>
      </c>
      <c r="I996" s="1">
        <f t="shared" si="29"/>
        <v>1.15625</v>
      </c>
    </row>
    <row r="997" spans="4:9">
      <c r="D997" s="36">
        <v>60000132</v>
      </c>
      <c r="E997" s="6" t="s">
        <v>1048</v>
      </c>
      <c r="F997" s="14" t="s">
        <v>1575</v>
      </c>
      <c r="G997" s="3">
        <v>1</v>
      </c>
      <c r="H997" s="2">
        <v>25</v>
      </c>
      <c r="I997" s="1">
        <f t="shared" si="29"/>
        <v>25</v>
      </c>
    </row>
    <row r="998" spans="4:9">
      <c r="D998" s="36" t="s">
        <v>1577</v>
      </c>
      <c r="E998" s="3"/>
      <c r="F998" s="14" t="s">
        <v>1576</v>
      </c>
      <c r="G998" s="3">
        <v>24</v>
      </c>
      <c r="H998" s="2">
        <v>8.1999999999999993</v>
      </c>
      <c r="I998" s="1">
        <f t="shared" si="29"/>
        <v>0.34166666666666662</v>
      </c>
    </row>
    <row r="999" spans="4:9">
      <c r="D999" s="36" t="s">
        <v>1580</v>
      </c>
      <c r="E999" s="3"/>
      <c r="F999" s="14" t="s">
        <v>1579</v>
      </c>
      <c r="G999" s="3">
        <v>6</v>
      </c>
      <c r="H999" s="2">
        <v>3.11</v>
      </c>
      <c r="I999" s="1">
        <f t="shared" si="29"/>
        <v>0.51833333333333331</v>
      </c>
    </row>
    <row r="1000" spans="4:9">
      <c r="D1000" s="36">
        <v>84150507</v>
      </c>
      <c r="E1000" s="3"/>
      <c r="F1000" s="14" t="s">
        <v>1581</v>
      </c>
      <c r="G1000" s="3">
        <v>12</v>
      </c>
      <c r="H1000" s="2">
        <v>1.35</v>
      </c>
      <c r="I1000" s="1">
        <f t="shared" si="29"/>
        <v>0.1125</v>
      </c>
    </row>
    <row r="1001" spans="4:9">
      <c r="D1001" s="36" t="s">
        <v>1582</v>
      </c>
      <c r="E1001" s="3"/>
      <c r="F1001" s="14" t="s">
        <v>542</v>
      </c>
      <c r="G1001" s="3">
        <v>48</v>
      </c>
      <c r="H1001" s="2">
        <v>16.649999999999999</v>
      </c>
      <c r="I1001" s="1">
        <f t="shared" si="29"/>
        <v>0.34687499999999999</v>
      </c>
    </row>
    <row r="1002" spans="4:9">
      <c r="D1002" s="36">
        <v>67707595</v>
      </c>
      <c r="E1002" s="3"/>
      <c r="F1002" s="14" t="s">
        <v>1583</v>
      </c>
      <c r="G1002" s="3">
        <v>12</v>
      </c>
      <c r="H1002" s="2">
        <v>2.4</v>
      </c>
      <c r="I1002" s="1">
        <f t="shared" si="29"/>
        <v>0.19999999999999998</v>
      </c>
    </row>
    <row r="1003" spans="4:9">
      <c r="D1003" s="36" t="s">
        <v>1586</v>
      </c>
      <c r="E1003" s="3"/>
      <c r="F1003" s="14" t="s">
        <v>1585</v>
      </c>
      <c r="G1003" s="3">
        <v>1</v>
      </c>
      <c r="H1003" s="2">
        <v>22.5</v>
      </c>
      <c r="I1003" s="1">
        <f t="shared" si="29"/>
        <v>22.5</v>
      </c>
    </row>
    <row r="1004" spans="4:9">
      <c r="D1004" s="36" t="s">
        <v>1588</v>
      </c>
      <c r="E1004" s="3"/>
      <c r="F1004" s="14" t="s">
        <v>1587</v>
      </c>
      <c r="G1004" s="3">
        <v>6</v>
      </c>
      <c r="H1004" s="2">
        <v>2.0499999999999998</v>
      </c>
      <c r="I1004" s="1">
        <f t="shared" si="29"/>
        <v>0.34166666666666662</v>
      </c>
    </row>
    <row r="1005" spans="4:9">
      <c r="D1005" s="36">
        <v>52460025</v>
      </c>
      <c r="E1005" s="3"/>
      <c r="F1005" s="14" t="s">
        <v>1589</v>
      </c>
      <c r="G1005" s="3">
        <v>40</v>
      </c>
      <c r="H1005" s="2">
        <v>19.829999999999998</v>
      </c>
      <c r="I1005" s="1">
        <f t="shared" si="29"/>
        <v>0.49574999999999997</v>
      </c>
    </row>
    <row r="1006" spans="4:9">
      <c r="D1006" s="36" t="s">
        <v>1591</v>
      </c>
      <c r="E1006" s="3"/>
      <c r="F1006" s="14" t="s">
        <v>1590</v>
      </c>
      <c r="G1006" s="3">
        <v>4</v>
      </c>
      <c r="H1006" s="2">
        <v>33.35</v>
      </c>
      <c r="I1006" s="1">
        <f t="shared" si="29"/>
        <v>8.3375000000000004</v>
      </c>
    </row>
    <row r="1007" spans="4:9">
      <c r="D1007" s="36">
        <v>69584487</v>
      </c>
      <c r="E1007" s="3" t="s">
        <v>435</v>
      </c>
      <c r="F1007" s="14" t="s">
        <v>1550</v>
      </c>
      <c r="G1007" s="3">
        <v>192</v>
      </c>
      <c r="H1007" s="2">
        <v>19.04</v>
      </c>
      <c r="I1007" s="1">
        <f t="shared" si="29"/>
        <v>9.9166666666666667E-2</v>
      </c>
    </row>
    <row r="1008" spans="4:9">
      <c r="D1008" s="49">
        <v>68864406</v>
      </c>
      <c r="E1008" s="6"/>
      <c r="F1008" s="13" t="s">
        <v>1595</v>
      </c>
      <c r="G1008" s="6">
        <v>5</v>
      </c>
      <c r="H1008" s="5">
        <v>13.16</v>
      </c>
      <c r="I1008" s="4">
        <f t="shared" ref="I1008:I1009" si="30">H1008/G1008</f>
        <v>2.6320000000000001</v>
      </c>
    </row>
    <row r="1009" spans="4:9">
      <c r="D1009" s="36">
        <v>68865804</v>
      </c>
      <c r="E1009" s="3"/>
      <c r="F1009" s="14" t="s">
        <v>1594</v>
      </c>
      <c r="G1009" s="3">
        <v>5</v>
      </c>
      <c r="H1009" s="2">
        <v>13.16</v>
      </c>
      <c r="I1009" s="1">
        <f t="shared" si="30"/>
        <v>2.6320000000000001</v>
      </c>
    </row>
    <row r="1010" spans="4:9">
      <c r="D1010" s="36" t="s">
        <v>1607</v>
      </c>
      <c r="E1010" s="6"/>
      <c r="F1010" s="14" t="s">
        <v>1606</v>
      </c>
      <c r="G1010" s="3">
        <v>60</v>
      </c>
      <c r="H1010" s="2">
        <v>26.44</v>
      </c>
      <c r="I1010" s="1">
        <f>H1010/G1010</f>
        <v>0.44066666666666671</v>
      </c>
    </row>
    <row r="1011" spans="4:9">
      <c r="D1011" s="49" t="s">
        <v>1605</v>
      </c>
      <c r="E1011" s="6"/>
      <c r="F1011" s="13" t="s">
        <v>1604</v>
      </c>
      <c r="G1011" s="6">
        <v>42</v>
      </c>
      <c r="H1011" s="5">
        <v>18.510000000000002</v>
      </c>
      <c r="I1011" s="4">
        <f t="shared" ref="I1011:I1015" si="31">H1011/G1011</f>
        <v>0.44071428571428573</v>
      </c>
    </row>
    <row r="1012" spans="4:9">
      <c r="D1012" s="49" t="s">
        <v>1603</v>
      </c>
      <c r="E1012" s="6"/>
      <c r="F1012" s="13" t="s">
        <v>1602</v>
      </c>
      <c r="G1012" s="6">
        <v>60</v>
      </c>
      <c r="H1012" s="5">
        <v>26.44</v>
      </c>
      <c r="I1012" s="4">
        <f t="shared" si="31"/>
        <v>0.44066666666666671</v>
      </c>
    </row>
    <row r="1013" spans="4:9">
      <c r="D1013" s="49" t="s">
        <v>1601</v>
      </c>
      <c r="E1013" s="6"/>
      <c r="F1013" s="13" t="s">
        <v>1600</v>
      </c>
      <c r="G1013" s="6">
        <v>20</v>
      </c>
      <c r="H1013" s="5">
        <v>8.15</v>
      </c>
      <c r="I1013" s="4">
        <f t="shared" si="31"/>
        <v>0.40750000000000003</v>
      </c>
    </row>
    <row r="1014" spans="4:9">
      <c r="D1014" s="49" t="s">
        <v>1599</v>
      </c>
      <c r="E1014" s="6"/>
      <c r="F1014" s="13" t="s">
        <v>1598</v>
      </c>
      <c r="G1014" s="6">
        <v>10</v>
      </c>
      <c r="H1014" s="5">
        <v>13.75</v>
      </c>
      <c r="I1014" s="4">
        <f t="shared" si="31"/>
        <v>1.375</v>
      </c>
    </row>
    <row r="1015" spans="4:9">
      <c r="D1015" s="36" t="s">
        <v>1597</v>
      </c>
      <c r="E1015" s="3"/>
      <c r="F1015" s="14" t="s">
        <v>1596</v>
      </c>
      <c r="G1015" s="3">
        <v>12</v>
      </c>
      <c r="H1015" s="2">
        <v>13.22</v>
      </c>
      <c r="I1015" s="1">
        <f t="shared" si="31"/>
        <v>1.1016666666666668</v>
      </c>
    </row>
    <row r="1016" spans="4:9">
      <c r="D1016" s="36" t="s">
        <v>1609</v>
      </c>
      <c r="E1016" s="3"/>
      <c r="F1016" s="14" t="s">
        <v>1608</v>
      </c>
      <c r="G1016" s="3">
        <v>20</v>
      </c>
      <c r="H1016" s="2">
        <v>7.49</v>
      </c>
      <c r="I1016" s="1">
        <f>H1016/G1016</f>
        <v>0.3745</v>
      </c>
    </row>
    <row r="1017" spans="4:9">
      <c r="D1017" s="49" t="s">
        <v>1617</v>
      </c>
      <c r="E1017" s="6"/>
      <c r="F1017" s="13" t="s">
        <v>1616</v>
      </c>
      <c r="G1017" s="6">
        <v>42</v>
      </c>
      <c r="H1017" s="5">
        <v>18.510000000000002</v>
      </c>
      <c r="I1017" s="4">
        <f t="shared" ref="I1017:I1018" si="32">H1017/G1017</f>
        <v>0.44071428571428573</v>
      </c>
    </row>
    <row r="1018" spans="4:9">
      <c r="D1018" s="36" t="s">
        <v>1615</v>
      </c>
      <c r="E1018" s="6"/>
      <c r="F1018" s="14" t="s">
        <v>1614</v>
      </c>
      <c r="G1018" s="3">
        <v>42</v>
      </c>
      <c r="H1018" s="2">
        <v>18.510000000000002</v>
      </c>
      <c r="I1018" s="1">
        <f t="shared" si="32"/>
        <v>0.44071428571428573</v>
      </c>
    </row>
    <row r="1019" spans="4:9">
      <c r="D1019" s="49" t="s">
        <v>1613</v>
      </c>
      <c r="E1019" s="6"/>
      <c r="F1019" s="13" t="s">
        <v>1612</v>
      </c>
      <c r="G1019" s="6">
        <v>20</v>
      </c>
      <c r="H1019" s="5">
        <v>8.82</v>
      </c>
      <c r="I1019" s="4">
        <f t="shared" ref="I1019:I1020" si="33">H1019/G1019</f>
        <v>0.441</v>
      </c>
    </row>
    <row r="1020" spans="4:9">
      <c r="D1020" s="36" t="s">
        <v>1611</v>
      </c>
      <c r="E1020" s="3"/>
      <c r="F1020" s="14" t="s">
        <v>1610</v>
      </c>
      <c r="G1020" s="3">
        <v>42</v>
      </c>
      <c r="H1020" s="2">
        <v>16.66</v>
      </c>
      <c r="I1020" s="1">
        <f t="shared" si="33"/>
        <v>0.39666666666666667</v>
      </c>
    </row>
    <row r="1021" spans="4:9">
      <c r="D1021" s="49" t="s">
        <v>1621</v>
      </c>
      <c r="E1021" s="6"/>
      <c r="F1021" s="13" t="s">
        <v>1620</v>
      </c>
      <c r="G1021" s="6">
        <v>50</v>
      </c>
      <c r="H1021" s="5">
        <v>22.03</v>
      </c>
      <c r="I1021" s="4">
        <f t="shared" ref="I1021:I1022" si="34">H1021/G1021</f>
        <v>0.44060000000000005</v>
      </c>
    </row>
    <row r="1022" spans="4:9">
      <c r="D1022" s="36" t="s">
        <v>1619</v>
      </c>
      <c r="E1022" s="3"/>
      <c r="F1022" s="14" t="s">
        <v>1618</v>
      </c>
      <c r="G1022" s="3">
        <v>42</v>
      </c>
      <c r="H1022" s="2">
        <v>18.510000000000002</v>
      </c>
      <c r="I1022" s="1">
        <f t="shared" si="34"/>
        <v>0.44071428571428573</v>
      </c>
    </row>
    <row r="1023" spans="4:9">
      <c r="D1023" s="49">
        <v>50491112</v>
      </c>
      <c r="E1023" s="6"/>
      <c r="F1023" s="13" t="s">
        <v>1630</v>
      </c>
      <c r="G1023" s="6">
        <v>6</v>
      </c>
      <c r="H1023" s="5">
        <v>17.45</v>
      </c>
      <c r="I1023" s="4">
        <f>H1023/G1023</f>
        <v>2.9083333333333332</v>
      </c>
    </row>
    <row r="1024" spans="4:9">
      <c r="D1024" s="49">
        <v>50491113</v>
      </c>
      <c r="E1024" s="6"/>
      <c r="F1024" s="13" t="s">
        <v>1629</v>
      </c>
      <c r="G1024" s="6">
        <v>6</v>
      </c>
      <c r="H1024" s="5">
        <v>17.45</v>
      </c>
      <c r="I1024" s="4">
        <f>H1023/G1023</f>
        <v>2.9083333333333332</v>
      </c>
    </row>
    <row r="1025" spans="4:9">
      <c r="D1025" s="36">
        <v>50491114</v>
      </c>
      <c r="E1025" s="3"/>
      <c r="F1025" s="14" t="s">
        <v>1628</v>
      </c>
      <c r="G1025" s="6">
        <v>6</v>
      </c>
      <c r="H1025" s="5">
        <v>17.45</v>
      </c>
      <c r="I1025" s="4">
        <f>H1023/G1023</f>
        <v>2.9083333333333332</v>
      </c>
    </row>
    <row r="1026" spans="4:9">
      <c r="D1026" s="36">
        <v>68649838</v>
      </c>
      <c r="E1026" s="3"/>
      <c r="F1026" s="14" t="s">
        <v>1626</v>
      </c>
      <c r="G1026" s="3">
        <v>24</v>
      </c>
      <c r="H1026" s="2">
        <v>20.09</v>
      </c>
      <c r="I1026" s="1">
        <f>H1026/G1026</f>
        <v>0.83708333333333329</v>
      </c>
    </row>
    <row r="1027" spans="4:9">
      <c r="D1027" s="49" t="s">
        <v>1625</v>
      </c>
      <c r="E1027" s="6"/>
      <c r="F1027" s="13" t="s">
        <v>1624</v>
      </c>
      <c r="G1027" s="6">
        <v>20</v>
      </c>
      <c r="H1027" s="5">
        <v>8.82</v>
      </c>
      <c r="I1027" s="4">
        <f t="shared" ref="I1027:I1028" si="35">H1027/G1027</f>
        <v>0.441</v>
      </c>
    </row>
    <row r="1028" spans="4:9">
      <c r="D1028" s="36" t="s">
        <v>1623</v>
      </c>
      <c r="E1028" s="3"/>
      <c r="F1028" s="14" t="s">
        <v>1622</v>
      </c>
      <c r="G1028" s="3">
        <v>20</v>
      </c>
      <c r="H1028" s="2">
        <v>8.82</v>
      </c>
      <c r="I1028" s="1">
        <f t="shared" si="35"/>
        <v>0.441</v>
      </c>
    </row>
    <row r="1029" spans="4:9">
      <c r="D1029" s="49">
        <v>68874809</v>
      </c>
      <c r="E1029" s="6"/>
      <c r="F1029" s="13" t="s">
        <v>1633</v>
      </c>
      <c r="G1029" s="6">
        <v>12</v>
      </c>
      <c r="H1029" s="5">
        <v>19.920000000000002</v>
      </c>
      <c r="I1029" s="4">
        <f t="shared" ref="I1029:I1031" si="36">H1029/G1029</f>
        <v>1.6600000000000001</v>
      </c>
    </row>
    <row r="1030" spans="4:9">
      <c r="D1030" s="49">
        <v>68874810</v>
      </c>
      <c r="E1030" s="6"/>
      <c r="F1030" s="13" t="s">
        <v>1632</v>
      </c>
      <c r="G1030" s="6">
        <v>12</v>
      </c>
      <c r="H1030" s="5">
        <v>19.920000000000002</v>
      </c>
      <c r="I1030" s="4">
        <f t="shared" si="36"/>
        <v>1.6600000000000001</v>
      </c>
    </row>
    <row r="1031" spans="4:9">
      <c r="D1031" s="36">
        <v>68875985</v>
      </c>
      <c r="E1031" s="3"/>
      <c r="F1031" s="14" t="s">
        <v>1631</v>
      </c>
      <c r="G1031" s="3">
        <v>30</v>
      </c>
      <c r="H1031" s="2">
        <v>7.61</v>
      </c>
      <c r="I1031" s="1">
        <f t="shared" si="36"/>
        <v>0.25366666666666665</v>
      </c>
    </row>
    <row r="1032" spans="4:9">
      <c r="D1032" s="30" t="s">
        <v>1637</v>
      </c>
      <c r="E1032" s="3"/>
      <c r="F1032" s="14" t="s">
        <v>1636</v>
      </c>
      <c r="G1032" s="3">
        <v>1</v>
      </c>
      <c r="H1032" s="2">
        <v>8.81</v>
      </c>
      <c r="I1032" s="1">
        <f t="shared" ref="I1032:I1038" si="37">H1032/G1032</f>
        <v>8.81</v>
      </c>
    </row>
    <row r="1033" spans="4:9">
      <c r="D1033" s="36" t="s">
        <v>1639</v>
      </c>
      <c r="E1033" s="3"/>
      <c r="F1033" s="3" t="s">
        <v>1638</v>
      </c>
      <c r="G1033" s="3">
        <v>12</v>
      </c>
      <c r="H1033" s="2">
        <v>0.48</v>
      </c>
      <c r="I1033" s="1">
        <f t="shared" si="37"/>
        <v>0.04</v>
      </c>
    </row>
    <row r="1034" spans="4:9">
      <c r="D1034" s="36" t="s">
        <v>1641</v>
      </c>
      <c r="E1034" s="3"/>
      <c r="F1034" s="30" t="s">
        <v>1640</v>
      </c>
      <c r="G1034" s="3">
        <v>12</v>
      </c>
      <c r="H1034" s="2">
        <v>0.49</v>
      </c>
      <c r="I1034" s="1">
        <f t="shared" si="37"/>
        <v>4.0833333333333333E-2</v>
      </c>
    </row>
    <row r="1035" spans="4:9">
      <c r="D1035" s="36" t="s">
        <v>1644</v>
      </c>
      <c r="E1035" s="3"/>
      <c r="F1035" s="14" t="s">
        <v>1643</v>
      </c>
      <c r="G1035" s="3">
        <v>12</v>
      </c>
      <c r="H1035" s="2">
        <v>0.48</v>
      </c>
      <c r="I1035" s="1">
        <f t="shared" si="37"/>
        <v>0.04</v>
      </c>
    </row>
    <row r="1036" spans="4:9">
      <c r="D1036" s="36" t="s">
        <v>1646</v>
      </c>
      <c r="E1036" s="3"/>
      <c r="F1036" s="30" t="s">
        <v>1645</v>
      </c>
      <c r="G1036" s="3">
        <v>12</v>
      </c>
      <c r="H1036" s="2">
        <v>0.48</v>
      </c>
      <c r="I1036" s="1">
        <f t="shared" si="37"/>
        <v>0.04</v>
      </c>
    </row>
    <row r="1037" spans="4:9">
      <c r="D1037" s="36" t="s">
        <v>1651</v>
      </c>
      <c r="E1037" s="3"/>
      <c r="F1037" s="30" t="s">
        <v>1650</v>
      </c>
      <c r="G1037" s="3">
        <v>1</v>
      </c>
      <c r="H1037" s="2">
        <v>2.5099999999999998</v>
      </c>
      <c r="I1037" s="1">
        <f t="shared" si="37"/>
        <v>2.5099999999999998</v>
      </c>
    </row>
    <row r="1038" spans="4:9">
      <c r="D1038" s="36" t="s">
        <v>1649</v>
      </c>
      <c r="E1038" s="3"/>
      <c r="F1038" s="30" t="s">
        <v>1648</v>
      </c>
      <c r="G1038" s="3">
        <v>2</v>
      </c>
      <c r="H1038" s="2">
        <v>4.5599999999999996</v>
      </c>
      <c r="I1038" s="1">
        <f t="shared" si="37"/>
        <v>2.2799999999999998</v>
      </c>
    </row>
    <row r="1039" spans="4:9">
      <c r="D1039" s="49" t="s">
        <v>1659</v>
      </c>
      <c r="E1039" s="6"/>
      <c r="F1039" s="18" t="s">
        <v>1658</v>
      </c>
      <c r="G1039" s="6">
        <v>12</v>
      </c>
      <c r="H1039" s="5">
        <v>13.22</v>
      </c>
      <c r="I1039" s="4">
        <f t="shared" ref="I1039:I1040" si="38">H1039/G1039</f>
        <v>1.1016666666666668</v>
      </c>
    </row>
    <row r="1040" spans="4:9">
      <c r="D1040" s="36" t="s">
        <v>1657</v>
      </c>
      <c r="E1040" s="3"/>
      <c r="F1040" s="18" t="s">
        <v>1656</v>
      </c>
      <c r="G1040" s="3">
        <v>12</v>
      </c>
      <c r="H1040" s="2">
        <v>13.22</v>
      </c>
      <c r="I1040" s="1">
        <f t="shared" si="38"/>
        <v>1.1016666666666668</v>
      </c>
    </row>
    <row r="1041" spans="4:9">
      <c r="D1041" s="36" t="s">
        <v>1655</v>
      </c>
      <c r="E1041" s="3"/>
      <c r="F1041" s="30" t="s">
        <v>1654</v>
      </c>
      <c r="G1041" s="3">
        <v>24</v>
      </c>
      <c r="H1041" s="2">
        <v>18</v>
      </c>
      <c r="I1041" s="1">
        <f t="shared" ref="I1041:I1046" si="39">H1041/G1041</f>
        <v>0.75</v>
      </c>
    </row>
    <row r="1042" spans="4:9">
      <c r="D1042" s="36" t="s">
        <v>1653</v>
      </c>
      <c r="E1042" s="3"/>
      <c r="F1042" s="18" t="s">
        <v>1652</v>
      </c>
      <c r="G1042" s="3">
        <v>50</v>
      </c>
      <c r="H1042" s="2">
        <v>22.013999999999999</v>
      </c>
      <c r="I1042" s="1">
        <f t="shared" si="39"/>
        <v>0.44028</v>
      </c>
    </row>
    <row r="1043" spans="4:9">
      <c r="D1043" s="36" t="s">
        <v>1661</v>
      </c>
      <c r="E1043" s="3"/>
      <c r="F1043" s="32" t="s">
        <v>1660</v>
      </c>
      <c r="G1043" s="3">
        <v>48</v>
      </c>
      <c r="H1043" s="2">
        <v>13.9</v>
      </c>
      <c r="I1043" s="1">
        <f t="shared" si="39"/>
        <v>0.28958333333333336</v>
      </c>
    </row>
    <row r="1044" spans="4:9">
      <c r="D1044" s="36" t="s">
        <v>1664</v>
      </c>
      <c r="E1044" s="3"/>
      <c r="F1044" s="14" t="s">
        <v>1663</v>
      </c>
      <c r="G1044" s="3">
        <v>24</v>
      </c>
      <c r="H1044" s="2">
        <v>18</v>
      </c>
      <c r="I1044" s="1">
        <f t="shared" si="39"/>
        <v>0.75</v>
      </c>
    </row>
    <row r="1045" spans="4:9">
      <c r="D1045" s="36">
        <v>579319</v>
      </c>
      <c r="E1045" s="3"/>
      <c r="F1045" s="14" t="s">
        <v>1665</v>
      </c>
      <c r="G1045" s="3">
        <v>12</v>
      </c>
      <c r="H1045" s="2">
        <v>1.35</v>
      </c>
      <c r="I1045" s="1">
        <f t="shared" si="39"/>
        <v>0.1125</v>
      </c>
    </row>
    <row r="1046" spans="4:9">
      <c r="D1046" s="36" t="s">
        <v>1667</v>
      </c>
      <c r="E1046" s="3"/>
      <c r="F1046" s="14" t="s">
        <v>1666</v>
      </c>
      <c r="G1046" s="3">
        <v>12</v>
      </c>
      <c r="H1046" s="2">
        <v>9.52</v>
      </c>
      <c r="I1046" s="1">
        <f t="shared" si="39"/>
        <v>0.79333333333333333</v>
      </c>
    </row>
    <row r="1047" spans="4:9">
      <c r="D1047" s="36">
        <v>52460005</v>
      </c>
      <c r="E1047" s="3"/>
      <c r="F1047" s="14" t="s">
        <v>1668</v>
      </c>
      <c r="G1047" s="3">
        <v>20</v>
      </c>
      <c r="H1047" s="2">
        <v>21.81</v>
      </c>
      <c r="I1047" s="1">
        <f t="shared" ref="I1047:I1055" si="40">H1047/G1047</f>
        <v>1.0905</v>
      </c>
    </row>
    <row r="1048" spans="4:9">
      <c r="D1048" s="36">
        <v>69584500</v>
      </c>
      <c r="E1048" s="3"/>
      <c r="F1048" s="14" t="s">
        <v>1669</v>
      </c>
      <c r="G1048" s="3">
        <v>400</v>
      </c>
      <c r="H1048" s="2">
        <v>39.65</v>
      </c>
      <c r="I1048" s="1">
        <f t="shared" si="40"/>
        <v>9.9124999999999991E-2</v>
      </c>
    </row>
    <row r="1049" spans="4:9">
      <c r="D1049" s="36" t="s">
        <v>1671</v>
      </c>
      <c r="E1049" s="3"/>
      <c r="F1049" s="14" t="s">
        <v>1670</v>
      </c>
      <c r="G1049" s="3">
        <v>16</v>
      </c>
      <c r="H1049" s="2">
        <v>14.4</v>
      </c>
      <c r="I1049" s="1">
        <f t="shared" si="40"/>
        <v>0.9</v>
      </c>
    </row>
    <row r="1050" spans="4:9">
      <c r="D1050" s="36">
        <v>67611021</v>
      </c>
      <c r="E1050" s="3"/>
      <c r="F1050" s="14" t="s">
        <v>1672</v>
      </c>
      <c r="G1050" s="3">
        <v>8</v>
      </c>
      <c r="H1050" s="2">
        <v>9.25</v>
      </c>
      <c r="I1050" s="1">
        <f t="shared" si="40"/>
        <v>1.15625</v>
      </c>
    </row>
    <row r="1051" spans="4:9">
      <c r="D1051" s="36">
        <v>576002</v>
      </c>
      <c r="E1051" s="3"/>
      <c r="F1051" s="14" t="s">
        <v>1675</v>
      </c>
      <c r="G1051" s="3">
        <v>144</v>
      </c>
      <c r="H1051" s="2">
        <v>18.399999999999999</v>
      </c>
      <c r="I1051" s="1">
        <f t="shared" si="40"/>
        <v>0.12777777777777777</v>
      </c>
    </row>
    <row r="1052" spans="4:9">
      <c r="D1052" s="36">
        <v>67986536</v>
      </c>
      <c r="E1052" s="3"/>
      <c r="F1052" s="14" t="s">
        <v>1137</v>
      </c>
      <c r="G1052" s="3">
        <v>12</v>
      </c>
      <c r="H1052" s="2">
        <v>8</v>
      </c>
      <c r="I1052" s="1">
        <f t="shared" si="40"/>
        <v>0.66666666666666663</v>
      </c>
    </row>
    <row r="1053" spans="4:9">
      <c r="D1053" s="36" t="s">
        <v>1674</v>
      </c>
      <c r="E1053" s="3"/>
      <c r="F1053" s="14" t="s">
        <v>1673</v>
      </c>
      <c r="G1053" s="3">
        <v>16</v>
      </c>
      <c r="H1053" s="2">
        <v>14.4</v>
      </c>
      <c r="I1053" s="1">
        <f t="shared" si="40"/>
        <v>0.9</v>
      </c>
    </row>
    <row r="1054" spans="4:9">
      <c r="D1054" s="36" t="s">
        <v>1677</v>
      </c>
      <c r="E1054" s="3"/>
      <c r="F1054" s="14" t="s">
        <v>1676</v>
      </c>
      <c r="G1054" s="3">
        <v>100</v>
      </c>
      <c r="H1054" s="2">
        <v>8.82</v>
      </c>
      <c r="I1054" s="1">
        <f t="shared" si="40"/>
        <v>8.8200000000000001E-2</v>
      </c>
    </row>
    <row r="1055" spans="4:9">
      <c r="D1055" s="36" t="s">
        <v>1679</v>
      </c>
      <c r="E1055" s="3"/>
      <c r="F1055" s="14" t="s">
        <v>1678</v>
      </c>
      <c r="G1055" s="3">
        <v>72</v>
      </c>
      <c r="H1055" s="2">
        <v>23.79</v>
      </c>
      <c r="I1055" s="1">
        <f t="shared" si="40"/>
        <v>0.33041666666666664</v>
      </c>
    </row>
    <row r="1056" spans="4:9">
      <c r="D1056" s="49">
        <v>68865803</v>
      </c>
      <c r="E1056" s="6"/>
      <c r="F1056" s="13" t="s">
        <v>1681</v>
      </c>
      <c r="G1056" s="6">
        <v>24</v>
      </c>
      <c r="H1056" s="5">
        <v>22.47</v>
      </c>
      <c r="I1056" s="4">
        <f t="shared" ref="I1056:I1057" si="41">H1056/G1056</f>
        <v>0.93624999999999992</v>
      </c>
    </row>
    <row r="1057" spans="4:9">
      <c r="D1057" s="36">
        <v>68865806</v>
      </c>
      <c r="E1057" s="3"/>
      <c r="F1057" s="14" t="s">
        <v>1680</v>
      </c>
      <c r="G1057" s="6">
        <v>24</v>
      </c>
      <c r="H1057" s="5">
        <v>22.47</v>
      </c>
      <c r="I1057" s="1">
        <f t="shared" si="41"/>
        <v>0.93624999999999992</v>
      </c>
    </row>
    <row r="1058" spans="4:9">
      <c r="D1058" s="36" t="s">
        <v>1683</v>
      </c>
      <c r="E1058" s="3"/>
      <c r="F1058" s="14" t="s">
        <v>1682</v>
      </c>
      <c r="G1058" s="3">
        <v>100</v>
      </c>
      <c r="H1058" s="2">
        <v>8.82</v>
      </c>
      <c r="I1058" s="1">
        <f>H1058/G1058</f>
        <v>8.8200000000000001E-2</v>
      </c>
    </row>
    <row r="1059" spans="4:9">
      <c r="D1059" s="36" t="s">
        <v>1685</v>
      </c>
      <c r="E1059" s="3"/>
      <c r="F1059" s="14" t="s">
        <v>1684</v>
      </c>
      <c r="G1059" s="3">
        <v>24</v>
      </c>
      <c r="H1059" s="2">
        <v>5</v>
      </c>
      <c r="I1059" s="1">
        <f>H1059/G1059</f>
        <v>0.20833333333333334</v>
      </c>
    </row>
    <row r="1060" spans="4:9">
      <c r="D1060" s="36" t="s">
        <v>1688</v>
      </c>
      <c r="E1060" s="3"/>
      <c r="F1060" s="14" t="s">
        <v>1687</v>
      </c>
      <c r="G1060" s="3">
        <v>4</v>
      </c>
      <c r="H1060" s="2">
        <v>33.36</v>
      </c>
      <c r="I1060" s="1">
        <f>H1060/G1060</f>
        <v>8.34</v>
      </c>
    </row>
    <row r="1061" spans="4:9">
      <c r="D1061" s="49" t="s">
        <v>1692</v>
      </c>
      <c r="E1061" s="6"/>
      <c r="F1061" s="13" t="s">
        <v>1691</v>
      </c>
      <c r="G1061" s="6">
        <v>40</v>
      </c>
      <c r="H1061" s="5">
        <v>37.01</v>
      </c>
      <c r="I1061" s="4">
        <f t="shared" ref="I1061:I1062" si="42">H1061/G1061</f>
        <v>0.92524999999999991</v>
      </c>
    </row>
    <row r="1062" spans="4:9">
      <c r="D1062" s="36" t="s">
        <v>1690</v>
      </c>
      <c r="E1062" s="3"/>
      <c r="F1062" s="14" t="s">
        <v>1689</v>
      </c>
      <c r="G1062" s="3">
        <v>40</v>
      </c>
      <c r="H1062" s="2">
        <v>37.01</v>
      </c>
      <c r="I1062" s="1">
        <f t="shared" si="42"/>
        <v>0.92524999999999991</v>
      </c>
    </row>
    <row r="1063" spans="4:9">
      <c r="D1063" s="36" t="s">
        <v>1694</v>
      </c>
      <c r="E1063" s="6" t="s">
        <v>305</v>
      </c>
      <c r="F1063" s="14" t="s">
        <v>1693</v>
      </c>
      <c r="G1063" s="3">
        <v>10</v>
      </c>
      <c r="H1063" s="2">
        <v>6</v>
      </c>
      <c r="I1063" s="1">
        <f>H1063/G1063</f>
        <v>0.6</v>
      </c>
    </row>
    <row r="1064" spans="4:9">
      <c r="D1064" s="36" t="s">
        <v>1696</v>
      </c>
      <c r="E1064" s="6" t="s">
        <v>305</v>
      </c>
      <c r="F1064" s="14" t="s">
        <v>1695</v>
      </c>
      <c r="G1064" s="3">
        <v>10</v>
      </c>
      <c r="H1064" s="2">
        <v>6</v>
      </c>
      <c r="I1064" s="1">
        <f>H1064/G1064</f>
        <v>0.6</v>
      </c>
    </row>
    <row r="1065" spans="4:9">
      <c r="D1065" s="49" t="s">
        <v>1702</v>
      </c>
      <c r="E1065" s="6"/>
      <c r="F1065" s="13" t="s">
        <v>1701</v>
      </c>
      <c r="G1065" s="6">
        <v>24</v>
      </c>
      <c r="H1065" s="5">
        <v>14</v>
      </c>
      <c r="I1065" s="4">
        <f t="shared" ref="I1065:I1066" si="43">H1065/G1065</f>
        <v>0.58333333333333337</v>
      </c>
    </row>
    <row r="1066" spans="4:9">
      <c r="D1066" s="36" t="s">
        <v>1700</v>
      </c>
      <c r="E1066" s="3"/>
      <c r="F1066" s="14" t="s">
        <v>1699</v>
      </c>
      <c r="G1066" s="3">
        <v>50</v>
      </c>
      <c r="H1066" s="2">
        <v>17.2</v>
      </c>
      <c r="I1066" s="1">
        <f t="shared" si="43"/>
        <v>0.34399999999999997</v>
      </c>
    </row>
    <row r="1067" spans="4:9">
      <c r="D1067" s="36" t="s">
        <v>1698</v>
      </c>
      <c r="E1067" s="3"/>
      <c r="F1067" s="14" t="s">
        <v>1697</v>
      </c>
      <c r="G1067" s="3">
        <v>20</v>
      </c>
      <c r="H1067" s="2">
        <v>15</v>
      </c>
      <c r="I1067" s="1">
        <f>H1067/G1067</f>
        <v>0.75</v>
      </c>
    </row>
    <row r="1068" spans="4:9">
      <c r="D1068" s="36" t="s">
        <v>1704</v>
      </c>
      <c r="E1068" s="6" t="s">
        <v>806</v>
      </c>
      <c r="F1068" s="14" t="s">
        <v>1703</v>
      </c>
      <c r="G1068" s="3">
        <v>50</v>
      </c>
      <c r="H1068" s="2">
        <v>8.26</v>
      </c>
      <c r="I1068" s="1">
        <f>H1068/G1068</f>
        <v>0.16519999999999999</v>
      </c>
    </row>
    <row r="1069" spans="4:9">
      <c r="D1069" s="49" t="s">
        <v>1712</v>
      </c>
      <c r="E1069" s="6"/>
      <c r="F1069" s="13" t="s">
        <v>1711</v>
      </c>
      <c r="G1069" s="6">
        <v>10</v>
      </c>
      <c r="H1069" s="5">
        <v>6</v>
      </c>
      <c r="I1069" s="4">
        <f t="shared" ref="I1069:I1072" si="44">H1069/G1069</f>
        <v>0.6</v>
      </c>
    </row>
    <row r="1070" spans="4:9">
      <c r="D1070" s="49" t="s">
        <v>1710</v>
      </c>
      <c r="E1070" s="6"/>
      <c r="F1070" s="13" t="s">
        <v>1709</v>
      </c>
      <c r="G1070" s="6">
        <v>10</v>
      </c>
      <c r="H1070" s="5">
        <v>6</v>
      </c>
      <c r="I1070" s="4">
        <f t="shared" si="44"/>
        <v>0.6</v>
      </c>
    </row>
    <row r="1071" spans="4:9">
      <c r="D1071" s="49" t="s">
        <v>1708</v>
      </c>
      <c r="E1071" s="6"/>
      <c r="F1071" s="13" t="s">
        <v>1707</v>
      </c>
      <c r="G1071" s="6">
        <v>10</v>
      </c>
      <c r="H1071" s="5">
        <v>6</v>
      </c>
      <c r="I1071" s="4">
        <f t="shared" si="44"/>
        <v>0.6</v>
      </c>
    </row>
    <row r="1072" spans="4:9">
      <c r="D1072" s="36" t="s">
        <v>1706</v>
      </c>
      <c r="E1072" s="3"/>
      <c r="F1072" s="14" t="s">
        <v>1705</v>
      </c>
      <c r="G1072" s="6">
        <v>10</v>
      </c>
      <c r="H1072" s="5">
        <v>6</v>
      </c>
      <c r="I1072" s="1">
        <f t="shared" si="44"/>
        <v>0.6</v>
      </c>
    </row>
    <row r="1073" spans="4:9">
      <c r="D1073" s="49" t="s">
        <v>1716</v>
      </c>
      <c r="E1073" s="6"/>
      <c r="F1073" s="13" t="s">
        <v>1715</v>
      </c>
      <c r="G1073" s="6">
        <v>24</v>
      </c>
      <c r="H1073" s="5">
        <v>6</v>
      </c>
      <c r="I1073" s="4">
        <f t="shared" ref="I1073:I1074" si="45">H1073/G1073</f>
        <v>0.25</v>
      </c>
    </row>
    <row r="1074" spans="4:9">
      <c r="D1074" s="36" t="s">
        <v>1714</v>
      </c>
      <c r="E1074" s="3"/>
      <c r="F1074" s="14" t="s">
        <v>1713</v>
      </c>
      <c r="G1074" s="3">
        <v>48</v>
      </c>
      <c r="H1074" s="2">
        <v>15</v>
      </c>
      <c r="I1074" s="1">
        <f t="shared" si="45"/>
        <v>0.3125</v>
      </c>
    </row>
    <row r="1075" spans="4:9">
      <c r="D1075" s="36" t="s">
        <v>1718</v>
      </c>
      <c r="E1075" s="3"/>
      <c r="F1075" s="14" t="s">
        <v>1717</v>
      </c>
      <c r="G1075" s="3">
        <v>10</v>
      </c>
      <c r="H1075" s="2">
        <v>6</v>
      </c>
      <c r="I1075" s="1">
        <f>H1075/G1075</f>
        <v>0.6</v>
      </c>
    </row>
    <row r="1076" spans="4:9">
      <c r="D1076" s="36" t="s">
        <v>1720</v>
      </c>
      <c r="E1076" s="3"/>
      <c r="F1076" s="14" t="s">
        <v>1719</v>
      </c>
      <c r="G1076" s="3">
        <v>24</v>
      </c>
      <c r="H1076" s="2">
        <v>21</v>
      </c>
      <c r="I1076" s="1">
        <f>H1076/G1076</f>
        <v>0.875</v>
      </c>
    </row>
    <row r="1077" spans="4:9">
      <c r="D1077" s="36" t="s">
        <v>1724</v>
      </c>
      <c r="E1077" s="3"/>
      <c r="F1077" s="14" t="s">
        <v>1723</v>
      </c>
      <c r="G1077" s="3">
        <v>12</v>
      </c>
      <c r="H1077" s="2">
        <v>21</v>
      </c>
      <c r="I1077" s="1">
        <f>H1077/G1077</f>
        <v>1.75</v>
      </c>
    </row>
    <row r="1078" spans="4:9">
      <c r="D1078" s="36" t="s">
        <v>1722</v>
      </c>
      <c r="E1078" s="3"/>
      <c r="F1078" s="14" t="s">
        <v>1721</v>
      </c>
      <c r="G1078" s="3">
        <v>10</v>
      </c>
      <c r="H1078" s="2">
        <v>6</v>
      </c>
      <c r="I1078" s="1">
        <f>H1078/G1078</f>
        <v>0.6</v>
      </c>
    </row>
    <row r="1079" spans="4:9">
      <c r="D1079" s="49" t="s">
        <v>1728</v>
      </c>
      <c r="E1079" s="6"/>
      <c r="F1079" s="13" t="s">
        <v>1727</v>
      </c>
      <c r="G1079" s="6">
        <v>80</v>
      </c>
      <c r="H1079" s="5">
        <v>22</v>
      </c>
      <c r="I1079" s="4">
        <f t="shared" ref="I1079:I1080" si="46">H1079/G1079</f>
        <v>0.27500000000000002</v>
      </c>
    </row>
    <row r="1080" spans="4:9">
      <c r="D1080" s="36" t="s">
        <v>1726</v>
      </c>
      <c r="E1080" s="3"/>
      <c r="F1080" s="14" t="s">
        <v>1725</v>
      </c>
      <c r="G1080" s="3">
        <v>80</v>
      </c>
      <c r="H1080" s="2">
        <v>22</v>
      </c>
      <c r="I1080" s="1">
        <f t="shared" si="46"/>
        <v>0.27500000000000002</v>
      </c>
    </row>
    <row r="1081" spans="4:9">
      <c r="D1081" s="36" t="s">
        <v>2218</v>
      </c>
      <c r="E1081" s="3" t="s">
        <v>806</v>
      </c>
      <c r="F1081" s="14" t="s">
        <v>2217</v>
      </c>
      <c r="G1081" s="3">
        <v>12</v>
      </c>
      <c r="H1081" s="2">
        <v>15.75</v>
      </c>
      <c r="I1081" s="1">
        <f>H1081/G1081</f>
        <v>1.3125</v>
      </c>
    </row>
    <row r="1082" spans="4:9">
      <c r="D1082" s="36" t="s">
        <v>1730</v>
      </c>
      <c r="E1082" s="3"/>
      <c r="F1082" s="14" t="s">
        <v>1729</v>
      </c>
      <c r="G1082" s="3">
        <v>90</v>
      </c>
      <c r="H1082" s="2">
        <v>10</v>
      </c>
      <c r="I1082" s="1">
        <f t="shared" ref="I1082:I1095" si="47">H1082/G1082</f>
        <v>0.1111111111111111</v>
      </c>
    </row>
    <row r="1083" spans="4:9">
      <c r="D1083" s="36">
        <v>68875982</v>
      </c>
      <c r="E1083" s="3"/>
      <c r="F1083" s="14" t="s">
        <v>1731</v>
      </c>
      <c r="G1083" s="3">
        <v>30</v>
      </c>
      <c r="H1083" s="2">
        <v>7.6</v>
      </c>
      <c r="I1083" s="1">
        <f t="shared" si="47"/>
        <v>0.2533333333333333</v>
      </c>
    </row>
    <row r="1084" spans="4:9">
      <c r="D1084" s="36" t="s">
        <v>1735</v>
      </c>
      <c r="E1084" s="3"/>
      <c r="F1084" s="14" t="s">
        <v>1734</v>
      </c>
      <c r="G1084" s="3">
        <v>20</v>
      </c>
      <c r="H1084" s="2">
        <v>17.63</v>
      </c>
      <c r="I1084" s="1">
        <f t="shared" si="47"/>
        <v>0.88149999999999995</v>
      </c>
    </row>
    <row r="1085" spans="4:9">
      <c r="D1085" s="36" t="s">
        <v>1738</v>
      </c>
      <c r="E1085" s="3"/>
      <c r="F1085" s="14" t="s">
        <v>1737</v>
      </c>
      <c r="G1085" s="3">
        <v>10</v>
      </c>
      <c r="H1085" s="2">
        <v>6</v>
      </c>
      <c r="I1085" s="1">
        <f t="shared" si="47"/>
        <v>0.6</v>
      </c>
    </row>
    <row r="1086" spans="4:9">
      <c r="D1086" s="36" t="s">
        <v>1740</v>
      </c>
      <c r="E1086" s="3"/>
      <c r="F1086" s="14" t="s">
        <v>1739</v>
      </c>
      <c r="G1086" s="3">
        <v>10</v>
      </c>
      <c r="H1086" s="2">
        <v>6</v>
      </c>
      <c r="I1086" s="1">
        <f t="shared" si="47"/>
        <v>0.6</v>
      </c>
    </row>
    <row r="1087" spans="4:9">
      <c r="D1087" s="36">
        <v>84163138</v>
      </c>
      <c r="E1087" s="3"/>
      <c r="F1087" s="14" t="s">
        <v>1741</v>
      </c>
      <c r="G1087" s="3">
        <v>12</v>
      </c>
      <c r="H1087" s="2">
        <v>10.6</v>
      </c>
      <c r="I1087" s="1">
        <f t="shared" si="47"/>
        <v>0.8833333333333333</v>
      </c>
    </row>
    <row r="1088" spans="4:9">
      <c r="D1088" s="55">
        <v>246</v>
      </c>
      <c r="E1088" s="6"/>
      <c r="F1088" s="13" t="s">
        <v>1693</v>
      </c>
      <c r="G1088" s="6">
        <v>10</v>
      </c>
      <c r="H1088" s="5">
        <v>6</v>
      </c>
      <c r="I1088" s="1">
        <f t="shared" si="47"/>
        <v>0.6</v>
      </c>
    </row>
    <row r="1089" spans="4:9">
      <c r="D1089" s="55">
        <v>247</v>
      </c>
      <c r="E1089" s="6"/>
      <c r="F1089" s="13" t="s">
        <v>1737</v>
      </c>
      <c r="G1089" s="6">
        <v>10</v>
      </c>
      <c r="H1089" s="5">
        <v>6</v>
      </c>
      <c r="I1089" s="1">
        <f t="shared" si="47"/>
        <v>0.6</v>
      </c>
    </row>
    <row r="1090" spans="4:9">
      <c r="D1090" s="55">
        <v>250</v>
      </c>
      <c r="E1090" s="6"/>
      <c r="F1090" s="13" t="s">
        <v>1695</v>
      </c>
      <c r="G1090" s="6">
        <v>10</v>
      </c>
      <c r="H1090" s="5">
        <v>6</v>
      </c>
      <c r="I1090" s="1">
        <f t="shared" si="47"/>
        <v>0.6</v>
      </c>
    </row>
    <row r="1091" spans="4:9">
      <c r="D1091" s="55">
        <v>251</v>
      </c>
      <c r="E1091" s="6"/>
      <c r="F1091" s="13" t="s">
        <v>1711</v>
      </c>
      <c r="G1091" s="6">
        <v>10</v>
      </c>
      <c r="H1091" s="5">
        <v>6</v>
      </c>
      <c r="I1091" s="1">
        <f t="shared" si="47"/>
        <v>0.6</v>
      </c>
    </row>
    <row r="1092" spans="4:9">
      <c r="D1092" s="55">
        <v>253</v>
      </c>
      <c r="E1092" s="6"/>
      <c r="F1092" s="13" t="s">
        <v>1721</v>
      </c>
      <c r="G1092" s="6">
        <v>10</v>
      </c>
      <c r="H1092" s="5">
        <v>6</v>
      </c>
      <c r="I1092" s="1">
        <f t="shared" si="47"/>
        <v>0.6</v>
      </c>
    </row>
    <row r="1093" spans="4:9">
      <c r="D1093" s="55">
        <v>254</v>
      </c>
      <c r="E1093" s="6"/>
      <c r="F1093" s="13" t="s">
        <v>1739</v>
      </c>
      <c r="G1093" s="6">
        <v>10</v>
      </c>
      <c r="H1093" s="5">
        <v>6</v>
      </c>
      <c r="I1093" s="1">
        <f t="shared" si="47"/>
        <v>0.6</v>
      </c>
    </row>
    <row r="1094" spans="4:9">
      <c r="D1094" s="55">
        <v>255</v>
      </c>
      <c r="E1094" s="6"/>
      <c r="F1094" s="13" t="s">
        <v>1707</v>
      </c>
      <c r="G1094" s="6">
        <v>10</v>
      </c>
      <c r="H1094" s="5">
        <v>6</v>
      </c>
      <c r="I1094" s="1">
        <f t="shared" si="47"/>
        <v>0.6</v>
      </c>
    </row>
    <row r="1095" spans="4:9">
      <c r="D1095" s="56">
        <v>256</v>
      </c>
      <c r="E1095" s="3"/>
      <c r="F1095" s="14" t="s">
        <v>1705</v>
      </c>
      <c r="G1095" s="6">
        <v>10</v>
      </c>
      <c r="H1095" s="5">
        <v>6</v>
      </c>
      <c r="I1095" s="1">
        <f t="shared" si="47"/>
        <v>0.6</v>
      </c>
    </row>
    <row r="1096" spans="4:9">
      <c r="D1096" s="36">
        <v>68882798</v>
      </c>
      <c r="E1096" s="3"/>
      <c r="F1096" s="14" t="s">
        <v>1742</v>
      </c>
      <c r="G1096" s="3">
        <v>30</v>
      </c>
      <c r="H1096" s="2">
        <v>7.6</v>
      </c>
      <c r="I1096" s="1">
        <f t="shared" ref="I1096:I1101" si="48">H1096/G1096</f>
        <v>0.2533333333333333</v>
      </c>
    </row>
    <row r="1097" spans="4:9">
      <c r="D1097" s="56">
        <v>249</v>
      </c>
      <c r="E1097" s="3"/>
      <c r="F1097" s="14" t="s">
        <v>1717</v>
      </c>
      <c r="G1097" s="3">
        <v>10</v>
      </c>
      <c r="H1097" s="2">
        <v>6</v>
      </c>
      <c r="I1097" s="1">
        <f t="shared" si="48"/>
        <v>0.6</v>
      </c>
    </row>
    <row r="1098" spans="4:9">
      <c r="D1098" s="36" t="s">
        <v>1744</v>
      </c>
      <c r="E1098" s="6" t="s">
        <v>790</v>
      </c>
      <c r="F1098" s="14" t="s">
        <v>1743</v>
      </c>
      <c r="G1098" s="3">
        <v>24</v>
      </c>
      <c r="H1098" s="2">
        <v>2</v>
      </c>
      <c r="I1098" s="1">
        <f t="shared" si="48"/>
        <v>8.3333333333333329E-2</v>
      </c>
    </row>
    <row r="1099" spans="4:9">
      <c r="D1099" s="56">
        <v>252</v>
      </c>
      <c r="E1099" s="3"/>
      <c r="F1099" s="14" t="s">
        <v>1709</v>
      </c>
      <c r="G1099" s="3">
        <v>10</v>
      </c>
      <c r="H1099" s="2">
        <v>6</v>
      </c>
      <c r="I1099" s="1">
        <f t="shared" si="48"/>
        <v>0.6</v>
      </c>
    </row>
    <row r="1100" spans="4:9">
      <c r="D1100" s="56">
        <v>1000</v>
      </c>
      <c r="E1100" s="3" t="s">
        <v>305</v>
      </c>
      <c r="F1100" s="14" t="s">
        <v>300</v>
      </c>
      <c r="G1100" s="3">
        <v>9</v>
      </c>
      <c r="H1100" s="2">
        <v>8.35</v>
      </c>
      <c r="I1100" s="1">
        <f t="shared" si="48"/>
        <v>0.9277777777777777</v>
      </c>
    </row>
    <row r="1101" spans="4:9">
      <c r="D1101" s="36" t="s">
        <v>1746</v>
      </c>
      <c r="E1101" s="3"/>
      <c r="F1101" s="14" t="s">
        <v>1745</v>
      </c>
      <c r="G1101" s="3">
        <v>144</v>
      </c>
      <c r="H1101" s="2">
        <v>7</v>
      </c>
      <c r="I1101" s="1">
        <f t="shared" si="48"/>
        <v>4.8611111111111112E-2</v>
      </c>
    </row>
    <row r="1102" spans="4:9">
      <c r="D1102" s="36">
        <v>50491121</v>
      </c>
      <c r="E1102" s="3"/>
      <c r="F1102" s="14" t="s">
        <v>1747</v>
      </c>
      <c r="G1102" s="3">
        <v>6</v>
      </c>
      <c r="H1102" s="2">
        <v>15.86</v>
      </c>
      <c r="I1102" s="1">
        <f t="shared" ref="I1102:I1107" si="49">H1102/G1102</f>
        <v>2.6433333333333331</v>
      </c>
    </row>
    <row r="1103" spans="4:9">
      <c r="D1103" s="36" t="s">
        <v>1753</v>
      </c>
      <c r="E1103" s="3"/>
      <c r="F1103" s="14" t="s">
        <v>1752</v>
      </c>
      <c r="G1103" s="3">
        <v>24</v>
      </c>
      <c r="H1103" s="2">
        <v>17.13</v>
      </c>
      <c r="I1103" s="1">
        <f t="shared" si="49"/>
        <v>0.71375</v>
      </c>
    </row>
    <row r="1104" spans="4:9">
      <c r="D1104" s="36" t="s">
        <v>1751</v>
      </c>
      <c r="E1104" s="3"/>
      <c r="F1104" s="14" t="s">
        <v>1750</v>
      </c>
      <c r="G1104" s="3">
        <v>24</v>
      </c>
      <c r="H1104" s="2">
        <v>5.82</v>
      </c>
      <c r="I1104" s="1">
        <f t="shared" si="49"/>
        <v>0.24250000000000002</v>
      </c>
    </row>
    <row r="1105" spans="4:9">
      <c r="D1105" s="36" t="s">
        <v>1749</v>
      </c>
      <c r="E1105" s="3"/>
      <c r="F1105" s="14" t="s">
        <v>1748</v>
      </c>
      <c r="G1105" s="3">
        <v>24</v>
      </c>
      <c r="H1105" s="2">
        <v>17.13</v>
      </c>
      <c r="I1105" s="1">
        <f t="shared" si="49"/>
        <v>0.71375</v>
      </c>
    </row>
    <row r="1106" spans="4:9">
      <c r="D1106" s="36" t="s">
        <v>1757</v>
      </c>
      <c r="E1106" s="3"/>
      <c r="F1106" s="14" t="s">
        <v>1756</v>
      </c>
      <c r="G1106" s="3">
        <v>6</v>
      </c>
      <c r="H1106" s="2">
        <v>42.29</v>
      </c>
      <c r="I1106" s="1">
        <f t="shared" si="49"/>
        <v>7.0483333333333329</v>
      </c>
    </row>
    <row r="1107" spans="4:9">
      <c r="D1107" s="36" t="s">
        <v>1755</v>
      </c>
      <c r="E1107" s="3"/>
      <c r="F1107" s="14" t="s">
        <v>1754</v>
      </c>
      <c r="G1107" s="3">
        <v>6</v>
      </c>
      <c r="H1107" s="2">
        <v>42.29</v>
      </c>
      <c r="I1107" s="1">
        <f t="shared" si="49"/>
        <v>7.0483333333333329</v>
      </c>
    </row>
    <row r="1108" spans="4:9">
      <c r="D1108" s="49">
        <v>50491131</v>
      </c>
      <c r="E1108" s="6" t="s">
        <v>1076</v>
      </c>
      <c r="F1108" s="13" t="s">
        <v>1759</v>
      </c>
      <c r="G1108" s="6">
        <v>6</v>
      </c>
      <c r="H1108" s="5">
        <v>19.75</v>
      </c>
      <c r="I1108" s="4">
        <f t="shared" ref="I1108:I1109" si="50">H1108/G1108</f>
        <v>3.2916666666666665</v>
      </c>
    </row>
    <row r="1109" spans="4:9">
      <c r="D1109" s="36">
        <v>50491134</v>
      </c>
      <c r="E1109" s="6" t="s">
        <v>1076</v>
      </c>
      <c r="F1109" s="14" t="s">
        <v>1758</v>
      </c>
      <c r="G1109" s="3">
        <v>6</v>
      </c>
      <c r="H1109" s="2">
        <v>19.75</v>
      </c>
      <c r="I1109" s="1">
        <f t="shared" si="50"/>
        <v>3.2916666666666665</v>
      </c>
    </row>
    <row r="1110" spans="4:9">
      <c r="D1110" s="36"/>
      <c r="E1110" s="3"/>
      <c r="F1110" s="14" t="s">
        <v>1736</v>
      </c>
      <c r="G1110" s="3">
        <v>100</v>
      </c>
      <c r="H1110" s="2">
        <v>30</v>
      </c>
      <c r="I1110" s="1">
        <f>H1110/G1110</f>
        <v>0.3</v>
      </c>
    </row>
    <row r="1111" spans="4:9">
      <c r="D1111" s="49">
        <v>50491132</v>
      </c>
      <c r="E1111" s="6" t="s">
        <v>1076</v>
      </c>
      <c r="F1111" s="13" t="s">
        <v>1762</v>
      </c>
      <c r="G1111" s="6">
        <v>6</v>
      </c>
      <c r="H1111" s="5">
        <v>19.829999999999998</v>
      </c>
      <c r="I1111" s="4">
        <f t="shared" ref="I1111:I1112" si="51">H1111/G1111</f>
        <v>3.3049999999999997</v>
      </c>
    </row>
    <row r="1112" spans="4:9">
      <c r="D1112" s="36">
        <v>50491133</v>
      </c>
      <c r="E1112" s="6" t="s">
        <v>1076</v>
      </c>
      <c r="F1112" s="14" t="s">
        <v>1761</v>
      </c>
      <c r="G1112" s="3">
        <v>6</v>
      </c>
      <c r="H1112" s="2">
        <v>19.829999999999998</v>
      </c>
      <c r="I1112" s="1">
        <f t="shared" si="51"/>
        <v>3.3049999999999997</v>
      </c>
    </row>
    <row r="1113" spans="4:9">
      <c r="D1113" s="36">
        <v>69618163</v>
      </c>
      <c r="E1113" s="3"/>
      <c r="F1113" s="14" t="s">
        <v>1760</v>
      </c>
      <c r="G1113" s="3">
        <v>96</v>
      </c>
      <c r="H1113" s="2">
        <v>21.2</v>
      </c>
      <c r="I1113" s="1">
        <f>H1113/G1113</f>
        <v>0.22083333333333333</v>
      </c>
    </row>
    <row r="1114" spans="4:9">
      <c r="D1114" s="36" t="s">
        <v>1764</v>
      </c>
      <c r="E1114" s="6" t="s">
        <v>666</v>
      </c>
      <c r="F1114" s="14" t="s">
        <v>1763</v>
      </c>
      <c r="G1114" s="3">
        <v>28</v>
      </c>
      <c r="H1114" s="2">
        <v>24.37</v>
      </c>
      <c r="I1114" s="1">
        <f>H1114/G1114</f>
        <v>0.87035714285714294</v>
      </c>
    </row>
    <row r="1115" spans="4:9">
      <c r="D1115" s="36" t="s">
        <v>1766</v>
      </c>
      <c r="E1115" s="6" t="s">
        <v>666</v>
      </c>
      <c r="F1115" s="14" t="s">
        <v>1765</v>
      </c>
      <c r="G1115" s="3">
        <v>28</v>
      </c>
      <c r="H1115" s="2">
        <v>24.37</v>
      </c>
      <c r="I1115" s="1">
        <f>H1115/G1115</f>
        <v>0.87035714285714294</v>
      </c>
    </row>
    <row r="1116" spans="4:9">
      <c r="D1116" s="36">
        <v>69629503</v>
      </c>
      <c r="E1116" s="3"/>
      <c r="F1116" s="14" t="s">
        <v>1767</v>
      </c>
      <c r="G1116" s="3">
        <v>15</v>
      </c>
      <c r="H1116" s="2">
        <v>29.74</v>
      </c>
      <c r="I1116" s="1">
        <f>H1116/G1116</f>
        <v>1.9826666666666666</v>
      </c>
    </row>
    <row r="1117" spans="4:9">
      <c r="D1117" s="49" t="s">
        <v>1774</v>
      </c>
      <c r="E1117" s="6"/>
      <c r="F1117" s="13" t="s">
        <v>1773</v>
      </c>
      <c r="G1117" s="6">
        <v>30</v>
      </c>
      <c r="H1117" s="5">
        <v>6.94</v>
      </c>
      <c r="I1117" s="4">
        <f t="shared" ref="I1117:I1119" si="52">H1117/G1117</f>
        <v>0.23133333333333334</v>
      </c>
    </row>
    <row r="1118" spans="4:9">
      <c r="D1118" s="49" t="s">
        <v>1772</v>
      </c>
      <c r="E1118" s="6"/>
      <c r="F1118" s="13" t="s">
        <v>1770</v>
      </c>
      <c r="G1118" s="6">
        <v>12</v>
      </c>
      <c r="H1118" s="5">
        <v>10.31</v>
      </c>
      <c r="I1118" s="4">
        <f t="shared" si="52"/>
        <v>0.85916666666666675</v>
      </c>
    </row>
    <row r="1119" spans="4:9">
      <c r="D1119" s="36" t="s">
        <v>1771</v>
      </c>
      <c r="E1119" s="6"/>
      <c r="F1119" s="14" t="s">
        <v>1770</v>
      </c>
      <c r="G1119" s="3">
        <v>12</v>
      </c>
      <c r="H1119" s="2">
        <v>10.31</v>
      </c>
      <c r="I1119" s="1">
        <f t="shared" si="52"/>
        <v>0.85916666666666675</v>
      </c>
    </row>
    <row r="1120" spans="4:9">
      <c r="D1120" s="36" t="s">
        <v>1769</v>
      </c>
      <c r="E1120" s="3"/>
      <c r="F1120" s="14" t="s">
        <v>1768</v>
      </c>
      <c r="G1120" s="3">
        <v>100</v>
      </c>
      <c r="H1120" s="2">
        <v>19.829999999999998</v>
      </c>
      <c r="I1120" s="1">
        <f t="shared" ref="I1120:I1125" si="53">H1120/G1120</f>
        <v>0.19829999999999998</v>
      </c>
    </row>
    <row r="1121" spans="4:9">
      <c r="D1121" s="36" t="s">
        <v>1776</v>
      </c>
      <c r="E1121" s="3"/>
      <c r="F1121" s="14" t="s">
        <v>1775</v>
      </c>
      <c r="G1121" s="3">
        <v>24</v>
      </c>
      <c r="H1121" s="2">
        <v>8.4600000000000009</v>
      </c>
      <c r="I1121" s="1">
        <f t="shared" si="53"/>
        <v>0.35250000000000004</v>
      </c>
    </row>
    <row r="1122" spans="4:9">
      <c r="D1122" s="36">
        <v>69629507</v>
      </c>
      <c r="E1122" s="3"/>
      <c r="F1122" s="14" t="s">
        <v>1777</v>
      </c>
      <c r="G1122" s="3">
        <v>15</v>
      </c>
      <c r="H1122" s="2">
        <v>29.74</v>
      </c>
      <c r="I1122" s="1">
        <f t="shared" si="53"/>
        <v>1.9826666666666666</v>
      </c>
    </row>
    <row r="1123" spans="4:9">
      <c r="D1123" s="36">
        <v>20110020</v>
      </c>
      <c r="E1123" s="3" t="s">
        <v>1076</v>
      </c>
      <c r="F1123" s="14" t="s">
        <v>1778</v>
      </c>
      <c r="G1123" s="3">
        <v>24</v>
      </c>
      <c r="H1123" s="2">
        <v>21.2</v>
      </c>
      <c r="I1123" s="1">
        <f t="shared" si="53"/>
        <v>0.8833333333333333</v>
      </c>
    </row>
    <row r="1124" spans="4:9">
      <c r="D1124" s="36">
        <v>69620218</v>
      </c>
      <c r="E1124" s="3" t="s">
        <v>153</v>
      </c>
      <c r="F1124" s="14" t="s">
        <v>1779</v>
      </c>
      <c r="G1124" s="3">
        <v>30</v>
      </c>
      <c r="H1124" s="2">
        <v>26.44</v>
      </c>
      <c r="I1124" s="1">
        <f t="shared" si="53"/>
        <v>0.88133333333333341</v>
      </c>
    </row>
    <row r="1125" spans="4:9">
      <c r="D1125" s="36">
        <v>68564978</v>
      </c>
      <c r="E1125" s="3"/>
      <c r="F1125" s="14" t="s">
        <v>1780</v>
      </c>
      <c r="G1125" s="3">
        <v>24</v>
      </c>
      <c r="H1125" s="2">
        <v>22.3</v>
      </c>
      <c r="I1125" s="1">
        <f t="shared" si="53"/>
        <v>0.9291666666666667</v>
      </c>
    </row>
    <row r="1126" spans="4:9">
      <c r="D1126" s="49" t="s">
        <v>1784</v>
      </c>
      <c r="E1126" s="6" t="s">
        <v>666</v>
      </c>
      <c r="F1126" s="13" t="s">
        <v>1783</v>
      </c>
      <c r="G1126" s="6">
        <v>25</v>
      </c>
      <c r="H1126" s="5">
        <v>24.8</v>
      </c>
      <c r="I1126" s="4">
        <f t="shared" ref="I1126:I1127" si="54">H1126/G1126</f>
        <v>0.99199999999999999</v>
      </c>
    </row>
    <row r="1127" spans="4:9">
      <c r="D1127" s="36" t="s">
        <v>1782</v>
      </c>
      <c r="E1127" s="6" t="s">
        <v>666</v>
      </c>
      <c r="F1127" s="14" t="s">
        <v>1781</v>
      </c>
      <c r="G1127" s="3">
        <v>25</v>
      </c>
      <c r="H1127" s="2">
        <v>24.8</v>
      </c>
      <c r="I1127" s="1">
        <f t="shared" si="54"/>
        <v>0.99199999999999999</v>
      </c>
    </row>
    <row r="1128" spans="4:9">
      <c r="D1128" s="36">
        <v>68357624</v>
      </c>
      <c r="E1128" s="3"/>
      <c r="F1128" s="14" t="s">
        <v>1787</v>
      </c>
      <c r="G1128" s="3">
        <v>12</v>
      </c>
      <c r="H1128" s="2">
        <v>1.33</v>
      </c>
      <c r="I1128" s="1">
        <f t="shared" ref="I1128:I1134" si="55">H1128/G1128</f>
        <v>0.11083333333333334</v>
      </c>
    </row>
    <row r="1129" spans="4:9">
      <c r="D1129" s="36" t="s">
        <v>1786</v>
      </c>
      <c r="E1129" s="6" t="s">
        <v>666</v>
      </c>
      <c r="F1129" s="14" t="s">
        <v>1785</v>
      </c>
      <c r="G1129" s="3">
        <v>2</v>
      </c>
      <c r="H1129" s="2">
        <v>9.6</v>
      </c>
      <c r="I1129" s="1">
        <f t="shared" si="55"/>
        <v>4.8</v>
      </c>
    </row>
    <row r="1130" spans="4:9">
      <c r="D1130" s="36">
        <v>642694</v>
      </c>
      <c r="E1130" s="6" t="s">
        <v>655</v>
      </c>
      <c r="F1130" s="14" t="s">
        <v>1788</v>
      </c>
      <c r="G1130" s="3">
        <v>6</v>
      </c>
      <c r="H1130" s="2">
        <v>15.9</v>
      </c>
      <c r="I1130" s="1">
        <f t="shared" si="55"/>
        <v>2.65</v>
      </c>
    </row>
    <row r="1131" spans="4:9">
      <c r="D1131" s="36" t="s">
        <v>1793</v>
      </c>
      <c r="E1131" s="3"/>
      <c r="F1131" s="14" t="s">
        <v>1792</v>
      </c>
      <c r="G1131" s="3">
        <v>72</v>
      </c>
      <c r="H1131" s="2">
        <v>13.5</v>
      </c>
      <c r="I1131" s="1">
        <f t="shared" si="55"/>
        <v>0.1875</v>
      </c>
    </row>
    <row r="1132" spans="4:9">
      <c r="D1132" s="36" t="s">
        <v>1797</v>
      </c>
      <c r="E1132" s="6"/>
      <c r="F1132" s="14" t="s">
        <v>1796</v>
      </c>
      <c r="G1132" s="3">
        <v>75</v>
      </c>
      <c r="H1132" s="2">
        <v>15</v>
      </c>
      <c r="I1132" s="1">
        <f t="shared" si="55"/>
        <v>0.2</v>
      </c>
    </row>
    <row r="1133" spans="4:9">
      <c r="D1133" s="36" t="s">
        <v>1795</v>
      </c>
      <c r="E1133" s="3"/>
      <c r="F1133" s="14" t="s">
        <v>1794</v>
      </c>
      <c r="G1133" s="3">
        <v>75</v>
      </c>
      <c r="H1133" s="2">
        <v>15</v>
      </c>
      <c r="I1133" s="1">
        <f t="shared" si="55"/>
        <v>0.2</v>
      </c>
    </row>
    <row r="1134" spans="4:9">
      <c r="D1134" s="36" t="s">
        <v>1799</v>
      </c>
      <c r="E1134" s="3"/>
      <c r="F1134" s="14" t="s">
        <v>1798</v>
      </c>
      <c r="G1134" s="3">
        <v>12</v>
      </c>
      <c r="H1134" s="2">
        <v>10</v>
      </c>
      <c r="I1134" s="1">
        <f t="shared" si="55"/>
        <v>0.83333333333333337</v>
      </c>
    </row>
    <row r="1135" spans="4:9">
      <c r="D1135" s="36" t="s">
        <v>1801</v>
      </c>
      <c r="E1135" s="3"/>
      <c r="F1135" s="14" t="s">
        <v>1800</v>
      </c>
      <c r="G1135" s="3">
        <v>12</v>
      </c>
      <c r="H1135" s="2">
        <v>5</v>
      </c>
      <c r="I1135" s="1">
        <f t="shared" ref="I1135:I1142" si="56">H1135/G1135</f>
        <v>0.41666666666666669</v>
      </c>
    </row>
    <row r="1136" spans="4:9">
      <c r="D1136" s="36" t="s">
        <v>1803</v>
      </c>
      <c r="E1136" s="3"/>
      <c r="F1136" s="14" t="s">
        <v>1802</v>
      </c>
      <c r="G1136" s="3">
        <v>10</v>
      </c>
      <c r="H1136" s="2">
        <v>6</v>
      </c>
      <c r="I1136" s="1">
        <f t="shared" si="56"/>
        <v>0.6</v>
      </c>
    </row>
    <row r="1137" spans="4:9">
      <c r="D1137" s="36">
        <v>68802170</v>
      </c>
      <c r="E1137" s="3"/>
      <c r="F1137" s="14" t="s">
        <v>1805</v>
      </c>
      <c r="G1137" s="3">
        <v>12</v>
      </c>
      <c r="H1137" s="2">
        <v>2.35</v>
      </c>
      <c r="I1137" s="1">
        <f t="shared" si="56"/>
        <v>0.19583333333333333</v>
      </c>
    </row>
    <row r="1138" spans="4:9">
      <c r="D1138" s="36">
        <v>68780160</v>
      </c>
      <c r="E1138" s="3"/>
      <c r="F1138" s="14" t="s">
        <v>1806</v>
      </c>
      <c r="G1138" s="3">
        <v>12</v>
      </c>
      <c r="H1138" s="2">
        <v>2.57</v>
      </c>
      <c r="I1138" s="1">
        <f t="shared" si="56"/>
        <v>0.21416666666666664</v>
      </c>
    </row>
    <row r="1139" spans="4:9">
      <c r="D1139" s="36" t="s">
        <v>1808</v>
      </c>
      <c r="E1139" s="6" t="s">
        <v>666</v>
      </c>
      <c r="F1139" s="14" t="s">
        <v>1807</v>
      </c>
      <c r="G1139" s="3">
        <v>24</v>
      </c>
      <c r="H1139" s="2">
        <v>12</v>
      </c>
      <c r="I1139" s="1">
        <f t="shared" si="56"/>
        <v>0.5</v>
      </c>
    </row>
    <row r="1140" spans="4:9">
      <c r="D1140" s="36">
        <v>69629504</v>
      </c>
      <c r="E1140" s="3"/>
      <c r="F1140" s="14" t="s">
        <v>1811</v>
      </c>
      <c r="G1140" s="3">
        <v>15</v>
      </c>
      <c r="H1140" s="2">
        <v>30</v>
      </c>
      <c r="I1140" s="1">
        <f t="shared" si="56"/>
        <v>2</v>
      </c>
    </row>
    <row r="1141" spans="4:9">
      <c r="D1141" s="36">
        <v>68441503</v>
      </c>
      <c r="E1141" s="3"/>
      <c r="F1141" s="14" t="s">
        <v>1804</v>
      </c>
      <c r="G1141" s="3">
        <v>12</v>
      </c>
      <c r="H1141" s="2">
        <v>2.57</v>
      </c>
      <c r="I1141" s="1">
        <f t="shared" si="56"/>
        <v>0.21416666666666664</v>
      </c>
    </row>
    <row r="1142" spans="4:9">
      <c r="D1142" s="36" t="s">
        <v>1810</v>
      </c>
      <c r="E1142" s="6" t="s">
        <v>666</v>
      </c>
      <c r="F1142" s="14" t="s">
        <v>1809</v>
      </c>
      <c r="G1142" s="3">
        <v>12</v>
      </c>
      <c r="H1142" s="2">
        <v>12</v>
      </c>
      <c r="I1142" s="1">
        <f t="shared" si="56"/>
        <v>1</v>
      </c>
    </row>
    <row r="1143" spans="4:9">
      <c r="D1143" s="36" t="s">
        <v>1813</v>
      </c>
      <c r="E1143" s="6" t="s">
        <v>666</v>
      </c>
      <c r="F1143" s="14" t="s">
        <v>1812</v>
      </c>
      <c r="G1143" s="3">
        <v>12</v>
      </c>
      <c r="H1143" s="2">
        <v>12</v>
      </c>
      <c r="I1143" s="1">
        <f t="shared" ref="I1143:I1148" si="57">H1143/G1143</f>
        <v>1</v>
      </c>
    </row>
    <row r="1144" spans="4:9">
      <c r="D1144" s="36" t="s">
        <v>1815</v>
      </c>
      <c r="E1144" s="3"/>
      <c r="F1144" s="14" t="s">
        <v>1814</v>
      </c>
      <c r="G1144" s="3">
        <v>12</v>
      </c>
      <c r="H1144" s="2">
        <v>3</v>
      </c>
      <c r="I1144" s="1">
        <f t="shared" si="57"/>
        <v>0.25</v>
      </c>
    </row>
    <row r="1145" spans="4:9">
      <c r="D1145" s="36" t="s">
        <v>1817</v>
      </c>
      <c r="E1145" s="3"/>
      <c r="F1145" s="14" t="s">
        <v>1816</v>
      </c>
      <c r="G1145" s="3">
        <v>10</v>
      </c>
      <c r="H1145" s="2">
        <v>6</v>
      </c>
      <c r="I1145" s="1">
        <f t="shared" si="57"/>
        <v>0.6</v>
      </c>
    </row>
    <row r="1146" spans="4:9">
      <c r="D1146" s="36" t="s">
        <v>1819</v>
      </c>
      <c r="E1146" s="6" t="s">
        <v>666</v>
      </c>
      <c r="F1146" s="14" t="s">
        <v>1818</v>
      </c>
      <c r="G1146" s="3">
        <v>28</v>
      </c>
      <c r="H1146" s="2">
        <v>24.37</v>
      </c>
      <c r="I1146" s="1">
        <f t="shared" si="57"/>
        <v>0.87035714285714294</v>
      </c>
    </row>
    <row r="1147" spans="4:9">
      <c r="D1147" s="36" t="s">
        <v>1821</v>
      </c>
      <c r="E1147" s="3"/>
      <c r="F1147" s="14" t="s">
        <v>1820</v>
      </c>
      <c r="G1147" s="3">
        <v>12</v>
      </c>
      <c r="H1147" s="2">
        <v>15.86</v>
      </c>
      <c r="I1147" s="1">
        <f t="shared" si="57"/>
        <v>1.3216666666666665</v>
      </c>
    </row>
    <row r="1148" spans="4:9">
      <c r="D1148" s="36" t="s">
        <v>1823</v>
      </c>
      <c r="E1148" s="6" t="s">
        <v>666</v>
      </c>
      <c r="F1148" s="14" t="s">
        <v>1822</v>
      </c>
      <c r="G1148" s="3">
        <v>28</v>
      </c>
      <c r="H1148" s="2">
        <v>24.67</v>
      </c>
      <c r="I1148" s="1">
        <f t="shared" si="57"/>
        <v>0.88107142857142862</v>
      </c>
    </row>
    <row r="1149" spans="4:9">
      <c r="D1149" s="36" t="s">
        <v>1825</v>
      </c>
      <c r="E1149" s="6" t="s">
        <v>457</v>
      </c>
      <c r="F1149" s="14" t="s">
        <v>1824</v>
      </c>
      <c r="G1149" s="3">
        <v>6</v>
      </c>
      <c r="H1149" s="2">
        <v>36</v>
      </c>
      <c r="I1149" s="1">
        <f>H1149/G1149</f>
        <v>6</v>
      </c>
    </row>
    <row r="1150" spans="4:9">
      <c r="D1150" s="49">
        <v>60000262</v>
      </c>
      <c r="E1150" s="6"/>
      <c r="F1150" s="13" t="s">
        <v>1832</v>
      </c>
      <c r="G1150" s="6">
        <v>20</v>
      </c>
      <c r="H1150" s="5">
        <v>8.82</v>
      </c>
      <c r="I1150" s="4">
        <f t="shared" ref="I1150:I1151" si="58">H1150/G1150</f>
        <v>0.441</v>
      </c>
    </row>
    <row r="1151" spans="4:9">
      <c r="D1151" s="36">
        <v>60000264</v>
      </c>
      <c r="E1151" s="3"/>
      <c r="F1151" s="14" t="s">
        <v>1829</v>
      </c>
      <c r="G1151" s="3">
        <v>20</v>
      </c>
      <c r="H1151" s="2">
        <v>8.82</v>
      </c>
      <c r="I1151" s="1">
        <f t="shared" si="58"/>
        <v>0.441</v>
      </c>
    </row>
    <row r="1152" spans="4:9">
      <c r="D1152" s="36" t="s">
        <v>1828</v>
      </c>
      <c r="E1152" s="3"/>
      <c r="F1152" s="14" t="s">
        <v>1827</v>
      </c>
      <c r="G1152" s="3">
        <v>1</v>
      </c>
      <c r="H1152" s="2"/>
      <c r="I1152" s="1">
        <v>0.26</v>
      </c>
    </row>
    <row r="1153" spans="4:9">
      <c r="D1153" s="36" t="s">
        <v>1831</v>
      </c>
      <c r="E1153" s="3"/>
      <c r="F1153" s="14" t="s">
        <v>1830</v>
      </c>
      <c r="G1153" s="3"/>
      <c r="H1153" s="2"/>
      <c r="I1153" s="1">
        <v>0.1</v>
      </c>
    </row>
    <row r="1154" spans="4:9">
      <c r="D1154" s="36">
        <v>68354542</v>
      </c>
      <c r="E1154" s="3"/>
      <c r="F1154" s="14" t="s">
        <v>1833</v>
      </c>
      <c r="G1154" s="3">
        <v>12</v>
      </c>
      <c r="H1154" s="2">
        <v>0.99</v>
      </c>
      <c r="I1154" s="1">
        <f t="shared" ref="I1154:I1160" si="59">H1154/G1154</f>
        <v>8.2500000000000004E-2</v>
      </c>
    </row>
    <row r="1155" spans="4:9">
      <c r="D1155" s="36">
        <v>69584486</v>
      </c>
      <c r="E1155" s="3"/>
      <c r="F1155" s="14" t="s">
        <v>1834</v>
      </c>
      <c r="G1155" s="3">
        <v>16</v>
      </c>
      <c r="H1155" s="2">
        <v>19.05</v>
      </c>
      <c r="I1155" s="1">
        <f t="shared" si="59"/>
        <v>1.190625</v>
      </c>
    </row>
    <row r="1156" spans="4:9">
      <c r="D1156" s="36" t="s">
        <v>1836</v>
      </c>
      <c r="E1156" s="3"/>
      <c r="F1156" s="14" t="s">
        <v>1835</v>
      </c>
      <c r="G1156" s="3">
        <v>1</v>
      </c>
      <c r="H1156" s="2">
        <v>0.03</v>
      </c>
      <c r="I1156" s="1">
        <f t="shared" si="59"/>
        <v>0.03</v>
      </c>
    </row>
    <row r="1157" spans="4:9">
      <c r="D1157" s="36" t="s">
        <v>1841</v>
      </c>
      <c r="E1157" s="3"/>
      <c r="F1157" s="14" t="s">
        <v>1840</v>
      </c>
      <c r="G1157" s="3">
        <v>28</v>
      </c>
      <c r="H1157" s="2">
        <v>24.69</v>
      </c>
      <c r="I1157" s="1">
        <f t="shared" si="59"/>
        <v>0.88178571428571428</v>
      </c>
    </row>
    <row r="1158" spans="4:9">
      <c r="D1158" s="36" t="s">
        <v>1839</v>
      </c>
      <c r="E1158" s="3"/>
      <c r="F1158" s="14" t="s">
        <v>1838</v>
      </c>
      <c r="G1158" s="3">
        <v>28</v>
      </c>
      <c r="H1158" s="2">
        <v>24.69</v>
      </c>
      <c r="I1158" s="1">
        <f t="shared" si="59"/>
        <v>0.88178571428571428</v>
      </c>
    </row>
    <row r="1159" spans="4:9">
      <c r="D1159" s="36" t="s">
        <v>1845</v>
      </c>
      <c r="E1159" s="6"/>
      <c r="F1159" s="14" t="s">
        <v>1844</v>
      </c>
      <c r="G1159" s="3">
        <v>12</v>
      </c>
      <c r="H1159" s="2">
        <v>9.52</v>
      </c>
      <c r="I1159" s="1">
        <f t="shared" si="59"/>
        <v>0.79333333333333333</v>
      </c>
    </row>
    <row r="1160" spans="4:9">
      <c r="D1160" s="36" t="s">
        <v>1843</v>
      </c>
      <c r="E1160" s="3"/>
      <c r="F1160" s="14" t="s">
        <v>1842</v>
      </c>
      <c r="G1160" s="3">
        <v>24</v>
      </c>
      <c r="H1160" s="2">
        <v>17.13</v>
      </c>
      <c r="I1160" s="1">
        <f t="shared" si="59"/>
        <v>0.71375</v>
      </c>
    </row>
    <row r="1161" spans="4:9">
      <c r="D1161" s="49">
        <v>50470105</v>
      </c>
      <c r="E1161" s="6"/>
      <c r="F1161" s="13" t="s">
        <v>1846</v>
      </c>
      <c r="G1161" s="6">
        <v>6</v>
      </c>
      <c r="H1161" s="5">
        <v>15.87</v>
      </c>
      <c r="I1161" s="4">
        <f t="shared" ref="I1161:I1162" si="60">H1161/G1161</f>
        <v>2.645</v>
      </c>
    </row>
    <row r="1162" spans="4:9">
      <c r="D1162" s="36">
        <v>50470106</v>
      </c>
      <c r="E1162" s="3"/>
      <c r="F1162" s="14" t="s">
        <v>1847</v>
      </c>
      <c r="G1162" s="3">
        <v>6</v>
      </c>
      <c r="H1162" s="2">
        <v>15.87</v>
      </c>
      <c r="I1162" s="1">
        <f t="shared" si="60"/>
        <v>2.645</v>
      </c>
    </row>
    <row r="1163" spans="4:9">
      <c r="D1163" s="49" t="s">
        <v>1856</v>
      </c>
      <c r="E1163" s="6"/>
      <c r="F1163" s="13" t="s">
        <v>1855</v>
      </c>
      <c r="G1163" s="6">
        <v>4</v>
      </c>
      <c r="H1163" s="5">
        <v>4</v>
      </c>
      <c r="I1163" s="4">
        <f t="shared" ref="I1163:I1165" si="61">H1163/G1163</f>
        <v>1</v>
      </c>
    </row>
    <row r="1164" spans="4:9">
      <c r="D1164" s="49" t="s">
        <v>1854</v>
      </c>
      <c r="E1164" s="6"/>
      <c r="F1164" s="13" t="s">
        <v>1853</v>
      </c>
      <c r="G1164" s="6">
        <v>4</v>
      </c>
      <c r="H1164" s="5">
        <v>4</v>
      </c>
      <c r="I1164" s="4">
        <f t="shared" si="61"/>
        <v>1</v>
      </c>
    </row>
    <row r="1165" spans="4:9">
      <c r="D1165" s="36" t="s">
        <v>1852</v>
      </c>
      <c r="E1165" s="6"/>
      <c r="F1165" s="14" t="s">
        <v>1851</v>
      </c>
      <c r="G1165" s="3">
        <v>4</v>
      </c>
      <c r="H1165" s="2">
        <v>4</v>
      </c>
      <c r="I1165" s="1">
        <f t="shared" si="61"/>
        <v>1</v>
      </c>
    </row>
    <row r="1166" spans="4:9">
      <c r="D1166" s="36" t="s">
        <v>1850</v>
      </c>
      <c r="E1166" s="3"/>
      <c r="F1166" s="14" t="s">
        <v>1849</v>
      </c>
      <c r="G1166" s="3">
        <v>12</v>
      </c>
      <c r="H1166" s="2">
        <v>5</v>
      </c>
      <c r="I1166" s="1">
        <f t="shared" ref="I1166:I1171" si="62">H1166/G1166</f>
        <v>0.41666666666666669</v>
      </c>
    </row>
    <row r="1167" spans="4:9">
      <c r="D1167" s="36" t="s">
        <v>1858</v>
      </c>
      <c r="E1167" s="3"/>
      <c r="F1167" s="14" t="s">
        <v>1857</v>
      </c>
      <c r="G1167" s="3">
        <v>4</v>
      </c>
      <c r="H1167" s="2">
        <v>4</v>
      </c>
      <c r="I1167" s="1">
        <f t="shared" si="62"/>
        <v>1</v>
      </c>
    </row>
    <row r="1168" spans="4:9">
      <c r="D1168" s="36">
        <v>68444066</v>
      </c>
      <c r="E1168" s="3"/>
      <c r="F1168" s="14" t="s">
        <v>1859</v>
      </c>
      <c r="G1168" s="3">
        <v>12</v>
      </c>
      <c r="H1168" s="2">
        <v>2.33</v>
      </c>
      <c r="I1168" s="1">
        <f t="shared" si="62"/>
        <v>0.19416666666666668</v>
      </c>
    </row>
    <row r="1169" spans="4:9">
      <c r="D1169" s="36" t="s">
        <v>1863</v>
      </c>
      <c r="E1169" s="3"/>
      <c r="F1169" s="14" t="s">
        <v>1862</v>
      </c>
      <c r="G1169" s="3">
        <v>28</v>
      </c>
      <c r="H1169" s="2">
        <v>24.69</v>
      </c>
      <c r="I1169" s="1">
        <f t="shared" si="62"/>
        <v>0.88178571428571428</v>
      </c>
    </row>
    <row r="1170" spans="4:9">
      <c r="D1170" s="36" t="s">
        <v>1861</v>
      </c>
      <c r="E1170" s="3"/>
      <c r="F1170" s="14" t="s">
        <v>1860</v>
      </c>
      <c r="G1170" s="3">
        <v>1</v>
      </c>
      <c r="H1170" s="2">
        <v>0.1</v>
      </c>
      <c r="I1170" s="1">
        <f t="shared" si="62"/>
        <v>0.1</v>
      </c>
    </row>
    <row r="1171" spans="4:9">
      <c r="D1171" s="36" t="s">
        <v>1865</v>
      </c>
      <c r="E1171" s="3"/>
      <c r="F1171" s="14" t="s">
        <v>1864</v>
      </c>
      <c r="G1171" s="3">
        <v>24</v>
      </c>
      <c r="H1171" s="2">
        <v>12.7</v>
      </c>
      <c r="I1171" s="1">
        <f t="shared" si="62"/>
        <v>0.52916666666666667</v>
      </c>
    </row>
    <row r="1172" spans="4:9">
      <c r="D1172" s="36">
        <v>68647722</v>
      </c>
      <c r="E1172" s="14"/>
      <c r="F1172" s="14" t="s">
        <v>1866</v>
      </c>
      <c r="G1172" s="3">
        <v>24</v>
      </c>
      <c r="H1172" s="2">
        <v>10.6</v>
      </c>
      <c r="I1172" s="1">
        <f>H1172/G1172</f>
        <v>0.44166666666666665</v>
      </c>
    </row>
    <row r="1173" spans="4:9">
      <c r="D1173" s="36" t="s">
        <v>1876</v>
      </c>
      <c r="E1173" s="6"/>
      <c r="F1173" s="14" t="s">
        <v>1875</v>
      </c>
      <c r="G1173" s="3">
        <v>1</v>
      </c>
      <c r="H1173" s="2">
        <v>0.3</v>
      </c>
      <c r="I1173" s="1">
        <f>H1173/G1173</f>
        <v>0.3</v>
      </c>
    </row>
    <row r="1174" spans="4:9">
      <c r="D1174" s="49" t="s">
        <v>1874</v>
      </c>
      <c r="E1174" s="6"/>
      <c r="F1174" s="13" t="s">
        <v>1873</v>
      </c>
      <c r="G1174" s="6">
        <v>1</v>
      </c>
      <c r="H1174" s="5">
        <v>0.3</v>
      </c>
      <c r="I1174" s="4">
        <f t="shared" ref="I1174:I1177" si="63">H1174/G1174</f>
        <v>0.3</v>
      </c>
    </row>
    <row r="1175" spans="4:9">
      <c r="D1175" s="49" t="s">
        <v>1872</v>
      </c>
      <c r="E1175" s="6"/>
      <c r="F1175" s="13" t="s">
        <v>1871</v>
      </c>
      <c r="G1175" s="6">
        <v>1</v>
      </c>
      <c r="H1175" s="5">
        <v>0.3</v>
      </c>
      <c r="I1175" s="4">
        <f t="shared" si="63"/>
        <v>0.3</v>
      </c>
    </row>
    <row r="1176" spans="4:9">
      <c r="D1176" s="49" t="s">
        <v>1870</v>
      </c>
      <c r="E1176" s="6"/>
      <c r="F1176" s="13" t="s">
        <v>1869</v>
      </c>
      <c r="G1176" s="6">
        <v>1</v>
      </c>
      <c r="H1176" s="5">
        <v>0.3</v>
      </c>
      <c r="I1176" s="4">
        <f t="shared" si="63"/>
        <v>0.3</v>
      </c>
    </row>
    <row r="1177" spans="4:9">
      <c r="D1177" s="36" t="s">
        <v>1868</v>
      </c>
      <c r="E1177" s="3"/>
      <c r="F1177" s="14" t="s">
        <v>1867</v>
      </c>
      <c r="G1177" s="3">
        <v>1</v>
      </c>
      <c r="H1177" s="2">
        <v>0.3</v>
      </c>
      <c r="I1177" s="1">
        <f t="shared" si="63"/>
        <v>0.3</v>
      </c>
    </row>
    <row r="1178" spans="4:9">
      <c r="D1178" s="36" t="s">
        <v>1878</v>
      </c>
      <c r="E1178" s="3"/>
      <c r="F1178" s="14" t="s">
        <v>1877</v>
      </c>
      <c r="G1178" s="3">
        <v>1</v>
      </c>
      <c r="H1178" s="2">
        <v>0.13</v>
      </c>
      <c r="I1178" s="1">
        <f>H1178/G1178</f>
        <v>0.13</v>
      </c>
    </row>
    <row r="1179" spans="4:9">
      <c r="D1179" s="36" t="s">
        <v>1880</v>
      </c>
      <c r="E1179" s="3"/>
      <c r="F1179" s="14" t="s">
        <v>1879</v>
      </c>
      <c r="G1179" s="3">
        <v>1</v>
      </c>
      <c r="H1179" s="2">
        <v>0.3</v>
      </c>
      <c r="I1179" s="1">
        <f>H1179/G1179</f>
        <v>0.3</v>
      </c>
    </row>
    <row r="1180" spans="4:9">
      <c r="D1180" s="49" t="s">
        <v>1882</v>
      </c>
      <c r="E1180" s="3"/>
      <c r="F1180" s="6" t="s">
        <v>1881</v>
      </c>
      <c r="G1180" s="3">
        <v>4</v>
      </c>
      <c r="H1180" s="2">
        <v>4</v>
      </c>
      <c r="I1180" s="1">
        <f t="shared" ref="I1180" si="64">H1180/G1180</f>
        <v>1</v>
      </c>
    </row>
    <row r="1181" spans="4:9">
      <c r="D1181" s="36" t="s">
        <v>1884</v>
      </c>
      <c r="E1181" s="3"/>
      <c r="F1181" s="14" t="s">
        <v>1883</v>
      </c>
      <c r="G1181" s="3">
        <v>24</v>
      </c>
      <c r="H1181" s="2">
        <v>7.62</v>
      </c>
      <c r="I1181" s="1">
        <f t="shared" ref="I1181:I1186" si="65">H1181/G1181</f>
        <v>0.3175</v>
      </c>
    </row>
    <row r="1182" spans="4:9">
      <c r="D1182" s="38" t="s">
        <v>1886</v>
      </c>
      <c r="E1182" s="3"/>
      <c r="F1182" s="3" t="s">
        <v>1885</v>
      </c>
      <c r="G1182" s="3">
        <v>96</v>
      </c>
      <c r="H1182" s="2">
        <v>22.43</v>
      </c>
      <c r="I1182" s="1">
        <f t="shared" si="65"/>
        <v>0.23364583333333333</v>
      </c>
    </row>
    <row r="1183" spans="4:9">
      <c r="D1183" s="36" t="s">
        <v>1892</v>
      </c>
      <c r="E1183" s="3"/>
      <c r="F1183" s="14" t="s">
        <v>1891</v>
      </c>
      <c r="G1183" s="3">
        <v>16</v>
      </c>
      <c r="H1183" s="2">
        <v>14.4</v>
      </c>
      <c r="I1183" s="1">
        <f t="shared" si="65"/>
        <v>0.9</v>
      </c>
    </row>
    <row r="1184" spans="4:9">
      <c r="D1184" s="38">
        <v>68380353</v>
      </c>
      <c r="E1184" s="6"/>
      <c r="F1184" s="3" t="s">
        <v>1890</v>
      </c>
      <c r="G1184" s="3">
        <v>12</v>
      </c>
      <c r="H1184" s="2">
        <v>2.2999999999999998</v>
      </c>
      <c r="I1184" s="1">
        <f t="shared" si="65"/>
        <v>0.19166666666666665</v>
      </c>
    </row>
    <row r="1185" spans="4:9">
      <c r="D1185" s="38">
        <v>68818454</v>
      </c>
      <c r="E1185" s="6"/>
      <c r="F1185" s="3" t="s">
        <v>1889</v>
      </c>
      <c r="G1185" s="3">
        <v>12</v>
      </c>
      <c r="H1185" s="2">
        <v>7.94</v>
      </c>
      <c r="I1185" s="1">
        <f t="shared" si="65"/>
        <v>0.66166666666666674</v>
      </c>
    </row>
    <row r="1186" spans="4:9">
      <c r="D1186" s="38" t="s">
        <v>1888</v>
      </c>
      <c r="E1186" s="3"/>
      <c r="F1186" s="3" t="s">
        <v>1887</v>
      </c>
      <c r="G1186" s="3">
        <v>1</v>
      </c>
      <c r="H1186" s="2">
        <v>1.06</v>
      </c>
      <c r="I1186" s="1">
        <f t="shared" si="65"/>
        <v>1.06</v>
      </c>
    </row>
    <row r="1187" spans="4:9">
      <c r="D1187" s="36" t="s">
        <v>1894</v>
      </c>
      <c r="E1187" s="3"/>
      <c r="F1187" s="14" t="s">
        <v>1893</v>
      </c>
      <c r="G1187" s="3">
        <v>24</v>
      </c>
      <c r="H1187" s="2">
        <v>21.2</v>
      </c>
      <c r="I1187" s="1">
        <f t="shared" ref="I1187:I1194" si="66">H1187/G1187</f>
        <v>0.8833333333333333</v>
      </c>
    </row>
    <row r="1188" spans="4:9">
      <c r="D1188" s="36">
        <v>69629500</v>
      </c>
      <c r="E1188" s="3"/>
      <c r="F1188" s="14" t="s">
        <v>1896</v>
      </c>
      <c r="G1188" s="3">
        <v>15</v>
      </c>
      <c r="H1188" s="2">
        <v>29.75</v>
      </c>
      <c r="I1188" s="1">
        <f t="shared" si="66"/>
        <v>1.9833333333333334</v>
      </c>
    </row>
    <row r="1189" spans="4:9">
      <c r="D1189" s="36">
        <v>68787808</v>
      </c>
      <c r="E1189" s="3"/>
      <c r="F1189" s="14" t="s">
        <v>1895</v>
      </c>
      <c r="G1189" s="3">
        <v>12</v>
      </c>
      <c r="H1189" s="2">
        <v>1.35</v>
      </c>
      <c r="I1189" s="1">
        <f t="shared" si="66"/>
        <v>0.1125</v>
      </c>
    </row>
    <row r="1190" spans="4:9">
      <c r="D1190" s="36" t="s">
        <v>1908</v>
      </c>
      <c r="E1190" s="3"/>
      <c r="F1190" s="14" t="s">
        <v>1907</v>
      </c>
      <c r="G1190" s="3">
        <v>24</v>
      </c>
      <c r="H1190" s="2">
        <v>19.579999999999998</v>
      </c>
      <c r="I1190" s="1">
        <f t="shared" si="66"/>
        <v>0.8158333333333333</v>
      </c>
    </row>
    <row r="1191" spans="4:9">
      <c r="D1191" s="36">
        <v>5049280</v>
      </c>
      <c r="E1191" s="3"/>
      <c r="F1191" s="14" t="s">
        <v>1900</v>
      </c>
      <c r="G1191" s="3">
        <v>6</v>
      </c>
      <c r="H1191" s="2">
        <v>15.9</v>
      </c>
      <c r="I1191" s="1">
        <f t="shared" si="66"/>
        <v>2.65</v>
      </c>
    </row>
    <row r="1192" spans="4:9">
      <c r="D1192" s="36" t="s">
        <v>1904</v>
      </c>
      <c r="E1192" s="6"/>
      <c r="F1192" s="14" t="s">
        <v>1903</v>
      </c>
      <c r="G1192" s="3">
        <v>12</v>
      </c>
      <c r="H1192" s="2">
        <v>24</v>
      </c>
      <c r="I1192" s="1">
        <f t="shared" si="66"/>
        <v>2</v>
      </c>
    </row>
    <row r="1193" spans="4:9">
      <c r="D1193" s="36" t="s">
        <v>1902</v>
      </c>
      <c r="E1193" s="3"/>
      <c r="F1193" s="14" t="s">
        <v>1901</v>
      </c>
      <c r="G1193" s="3">
        <v>20</v>
      </c>
      <c r="H1193" s="2">
        <v>8.82</v>
      </c>
      <c r="I1193" s="1">
        <f t="shared" si="66"/>
        <v>0.441</v>
      </c>
    </row>
    <row r="1194" spans="4:9">
      <c r="D1194" s="36" t="s">
        <v>1906</v>
      </c>
      <c r="E1194" s="3"/>
      <c r="F1194" s="14" t="s">
        <v>1905</v>
      </c>
      <c r="G1194" s="3">
        <v>4</v>
      </c>
      <c r="H1194" s="2">
        <v>4</v>
      </c>
      <c r="I1194" s="1">
        <f t="shared" si="66"/>
        <v>1</v>
      </c>
    </row>
    <row r="1195" spans="4:9">
      <c r="D1195" s="38">
        <v>68436592</v>
      </c>
      <c r="E1195" s="6"/>
      <c r="F1195" s="3" t="s">
        <v>1909</v>
      </c>
      <c r="G1195" s="3">
        <v>12</v>
      </c>
      <c r="H1195" s="2">
        <v>1.22</v>
      </c>
      <c r="I1195" s="1">
        <f>H1195/G1195</f>
        <v>0.10166666666666667</v>
      </c>
    </row>
    <row r="1196" spans="4:9">
      <c r="D1196" s="38">
        <v>68766039</v>
      </c>
      <c r="E1196" s="6"/>
      <c r="F1196" s="3" t="s">
        <v>1910</v>
      </c>
      <c r="G1196" s="3">
        <v>12</v>
      </c>
      <c r="H1196" s="2">
        <v>2.35</v>
      </c>
      <c r="I1196" s="1">
        <f>H1196/G1196</f>
        <v>0.19583333333333333</v>
      </c>
    </row>
    <row r="1197" spans="4:9">
      <c r="D1197" s="38" t="s">
        <v>1911</v>
      </c>
      <c r="E1197" s="6"/>
      <c r="F1197" s="3" t="s">
        <v>1912</v>
      </c>
      <c r="G1197" s="3">
        <v>1</v>
      </c>
      <c r="H1197" s="2">
        <v>0.03</v>
      </c>
      <c r="I1197" s="1">
        <f>H1197/G1197</f>
        <v>0.03</v>
      </c>
    </row>
    <row r="1198" spans="4:9">
      <c r="D1198" s="38" t="s">
        <v>1913</v>
      </c>
      <c r="E1198" s="6"/>
      <c r="F1198" s="3" t="s">
        <v>1914</v>
      </c>
      <c r="G1198" s="3">
        <v>1</v>
      </c>
      <c r="H1198" s="2">
        <v>0.03</v>
      </c>
      <c r="I1198" s="1">
        <f>H1198/G1198</f>
        <v>0.03</v>
      </c>
    </row>
    <row r="1199" spans="4:9">
      <c r="D1199" s="38" t="s">
        <v>1915</v>
      </c>
      <c r="E1199" s="6"/>
      <c r="F1199" s="3" t="s">
        <v>1916</v>
      </c>
      <c r="G1199" s="3">
        <v>1</v>
      </c>
      <c r="H1199" s="2">
        <v>0.03</v>
      </c>
      <c r="I1199" s="1">
        <f>H1199/G1199</f>
        <v>0.03</v>
      </c>
    </row>
    <row r="1200" spans="4:9">
      <c r="D1200" s="59" t="s">
        <v>1917</v>
      </c>
      <c r="E1200" s="6"/>
      <c r="F1200" s="6" t="s">
        <v>1918</v>
      </c>
      <c r="G1200" s="6">
        <v>1</v>
      </c>
      <c r="H1200" s="2">
        <v>0.03</v>
      </c>
      <c r="I1200" s="4">
        <f t="shared" ref="I1200:I1201" si="67">H1200/G1200</f>
        <v>0.03</v>
      </c>
    </row>
    <row r="1201" spans="4:9">
      <c r="D1201" s="38" t="s">
        <v>1919</v>
      </c>
      <c r="E1201" s="6"/>
      <c r="F1201" s="3" t="s">
        <v>1920</v>
      </c>
      <c r="G1201" s="3">
        <v>1</v>
      </c>
      <c r="H1201" s="2">
        <v>0.03</v>
      </c>
      <c r="I1201" s="1">
        <f t="shared" si="67"/>
        <v>0.03</v>
      </c>
    </row>
    <row r="1202" spans="4:9">
      <c r="D1202" s="38" t="s">
        <v>1921</v>
      </c>
      <c r="E1202" s="6"/>
      <c r="F1202" s="3" t="s">
        <v>1922</v>
      </c>
      <c r="G1202" s="3">
        <v>1</v>
      </c>
      <c r="H1202" s="2">
        <v>0.03</v>
      </c>
      <c r="I1202" s="1">
        <f>H1202/G1202</f>
        <v>0.03</v>
      </c>
    </row>
    <row r="1203" spans="4:9">
      <c r="D1203" s="38" t="s">
        <v>1923</v>
      </c>
      <c r="E1203" s="6"/>
      <c r="F1203" s="3" t="s">
        <v>1924</v>
      </c>
      <c r="G1203" s="3">
        <v>1</v>
      </c>
      <c r="H1203" s="2">
        <v>0.03</v>
      </c>
      <c r="I1203" s="1">
        <f t="shared" ref="I1203" si="68">H1203/G1203</f>
        <v>0.03</v>
      </c>
    </row>
    <row r="1204" spans="4:9">
      <c r="D1204" s="38" t="s">
        <v>1925</v>
      </c>
      <c r="E1204" s="6"/>
      <c r="F1204" s="3" t="s">
        <v>1926</v>
      </c>
      <c r="G1204" s="3">
        <v>1</v>
      </c>
      <c r="H1204" s="2">
        <v>0.03</v>
      </c>
      <c r="I1204" s="1">
        <f t="shared" ref="I1204:I1210" si="69">H1204/G1204</f>
        <v>0.03</v>
      </c>
    </row>
    <row r="1205" spans="4:9">
      <c r="D1205" s="38" t="s">
        <v>1927</v>
      </c>
      <c r="E1205" s="6"/>
      <c r="F1205" s="3" t="s">
        <v>1928</v>
      </c>
      <c r="G1205" s="3">
        <v>1</v>
      </c>
      <c r="H1205" s="2">
        <v>0.03</v>
      </c>
      <c r="I1205" s="1">
        <f t="shared" si="69"/>
        <v>0.03</v>
      </c>
    </row>
    <row r="1206" spans="4:9">
      <c r="D1206" s="38" t="s">
        <v>1929</v>
      </c>
      <c r="E1206" s="6"/>
      <c r="F1206" s="3" t="s">
        <v>1930</v>
      </c>
      <c r="G1206" s="3">
        <v>24</v>
      </c>
      <c r="H1206" s="2">
        <v>2.38</v>
      </c>
      <c r="I1206" s="1">
        <f t="shared" si="69"/>
        <v>9.9166666666666667E-2</v>
      </c>
    </row>
    <row r="1207" spans="4:9">
      <c r="D1207" s="38" t="s">
        <v>1931</v>
      </c>
      <c r="E1207" s="6"/>
      <c r="F1207" s="3" t="s">
        <v>1932</v>
      </c>
      <c r="G1207" s="3">
        <v>1</v>
      </c>
      <c r="H1207" s="2">
        <v>0.44</v>
      </c>
      <c r="I1207" s="1">
        <f t="shared" si="69"/>
        <v>0.44</v>
      </c>
    </row>
    <row r="1208" spans="4:9">
      <c r="D1208" s="38" t="s">
        <v>1933</v>
      </c>
      <c r="E1208" s="6"/>
      <c r="F1208" s="3" t="s">
        <v>1934</v>
      </c>
      <c r="G1208" s="3">
        <v>8</v>
      </c>
      <c r="H1208" s="2">
        <v>2.85</v>
      </c>
      <c r="I1208" s="1">
        <f t="shared" si="69"/>
        <v>0.35625000000000001</v>
      </c>
    </row>
    <row r="1209" spans="4:9">
      <c r="D1209" s="38" t="s">
        <v>1935</v>
      </c>
      <c r="E1209" s="6"/>
      <c r="F1209" s="3" t="s">
        <v>1936</v>
      </c>
      <c r="G1209" s="3">
        <v>12</v>
      </c>
      <c r="H1209" s="2">
        <v>13.21</v>
      </c>
      <c r="I1209" s="1">
        <f t="shared" si="69"/>
        <v>1.1008333333333333</v>
      </c>
    </row>
    <row r="1210" spans="4:9">
      <c r="D1210" s="38" t="s">
        <v>1937</v>
      </c>
      <c r="E1210" s="3"/>
      <c r="F1210" s="3" t="s">
        <v>1938</v>
      </c>
      <c r="G1210" s="3">
        <v>24</v>
      </c>
      <c r="H1210" s="2">
        <v>3.7</v>
      </c>
      <c r="I1210" s="1">
        <f t="shared" si="69"/>
        <v>0.15416666666666667</v>
      </c>
    </row>
    <row r="1211" spans="4:9">
      <c r="D1211" s="36">
        <v>52480086</v>
      </c>
      <c r="E1211" s="3"/>
      <c r="F1211" s="14" t="s">
        <v>1939</v>
      </c>
      <c r="G1211" s="3">
        <v>72</v>
      </c>
      <c r="H1211" s="2">
        <v>17.14</v>
      </c>
      <c r="I1211" s="1">
        <f t="shared" ref="I1211:I1216" si="70">H1211/G1211</f>
        <v>0.23805555555555558</v>
      </c>
    </row>
    <row r="1212" spans="4:9">
      <c r="D1212" s="36">
        <v>69717303</v>
      </c>
      <c r="E1212" s="3"/>
      <c r="F1212" s="14" t="s">
        <v>1942</v>
      </c>
      <c r="G1212" s="3">
        <v>1</v>
      </c>
      <c r="H1212" s="2">
        <v>0.25</v>
      </c>
      <c r="I1212" s="1">
        <f t="shared" si="70"/>
        <v>0.25</v>
      </c>
    </row>
    <row r="1213" spans="4:9">
      <c r="D1213" s="36" t="s">
        <v>1941</v>
      </c>
      <c r="E1213" s="3"/>
      <c r="F1213" s="14" t="s">
        <v>1940</v>
      </c>
      <c r="G1213" s="3">
        <v>48</v>
      </c>
      <c r="H1213" s="60">
        <v>5</v>
      </c>
      <c r="I1213" s="1">
        <f t="shared" si="70"/>
        <v>0.10416666666666667</v>
      </c>
    </row>
    <row r="1214" spans="4:9">
      <c r="D1214" s="36" t="s">
        <v>1944</v>
      </c>
      <c r="E1214" s="3"/>
      <c r="F1214" s="14" t="s">
        <v>1943</v>
      </c>
      <c r="G1214" s="3">
        <v>48</v>
      </c>
      <c r="H1214" s="60">
        <v>5</v>
      </c>
      <c r="I1214" s="1">
        <f t="shared" si="70"/>
        <v>0.10416666666666667</v>
      </c>
    </row>
    <row r="1215" spans="4:9">
      <c r="D1215" s="36">
        <v>68193097</v>
      </c>
      <c r="E1215" s="3"/>
      <c r="F1215" s="14" t="s">
        <v>1945</v>
      </c>
      <c r="G1215" s="3">
        <v>12</v>
      </c>
      <c r="H1215" s="2">
        <v>1.35</v>
      </c>
      <c r="I1215" s="1">
        <f t="shared" si="70"/>
        <v>0.1125</v>
      </c>
    </row>
    <row r="1216" spans="4:9">
      <c r="D1216" s="36" t="s">
        <v>1947</v>
      </c>
      <c r="E1216" s="3"/>
      <c r="F1216" s="14" t="s">
        <v>1946</v>
      </c>
      <c r="G1216" s="3">
        <v>12</v>
      </c>
      <c r="H1216" s="2">
        <v>26.25</v>
      </c>
      <c r="I1216" s="1">
        <f t="shared" si="70"/>
        <v>2.1875</v>
      </c>
    </row>
    <row r="1217" spans="4:9">
      <c r="D1217" s="36" t="s">
        <v>1949</v>
      </c>
      <c r="E1217" s="14"/>
      <c r="F1217" s="14" t="s">
        <v>1948</v>
      </c>
      <c r="G1217" s="3">
        <v>24</v>
      </c>
      <c r="H1217" s="2">
        <v>17.13</v>
      </c>
      <c r="I1217" s="1">
        <f t="shared" ref="I1217:I1222" si="71">H1217/G1217</f>
        <v>0.71375</v>
      </c>
    </row>
    <row r="1218" spans="4:9">
      <c r="D1218" s="36">
        <v>69780941</v>
      </c>
      <c r="E1218" s="3"/>
      <c r="F1218" s="14" t="s">
        <v>1951</v>
      </c>
      <c r="G1218" s="3">
        <v>24</v>
      </c>
      <c r="H1218" s="2">
        <v>4.76</v>
      </c>
      <c r="I1218" s="1">
        <f t="shared" si="71"/>
        <v>0.19833333333333333</v>
      </c>
    </row>
    <row r="1219" spans="4:9">
      <c r="D1219" s="36" t="s">
        <v>1955</v>
      </c>
      <c r="E1219" s="6"/>
      <c r="F1219" s="14" t="s">
        <v>1954</v>
      </c>
      <c r="G1219" s="3">
        <v>24</v>
      </c>
      <c r="H1219" s="2">
        <v>6</v>
      </c>
      <c r="I1219" s="1">
        <f t="shared" si="71"/>
        <v>0.25</v>
      </c>
    </row>
    <row r="1220" spans="4:9">
      <c r="D1220" s="36" t="s">
        <v>1953</v>
      </c>
      <c r="E1220" s="3"/>
      <c r="F1220" s="14" t="s">
        <v>1952</v>
      </c>
      <c r="G1220" s="3">
        <v>70</v>
      </c>
      <c r="H1220" s="2">
        <v>1.1000000000000001</v>
      </c>
      <c r="I1220" s="1">
        <f t="shared" si="71"/>
        <v>1.5714285714285715E-2</v>
      </c>
    </row>
    <row r="1221" spans="4:9">
      <c r="D1221" s="36" t="s">
        <v>1959</v>
      </c>
      <c r="E1221" s="6"/>
      <c r="F1221" s="14" t="s">
        <v>1958</v>
      </c>
      <c r="G1221" s="3">
        <v>96</v>
      </c>
      <c r="H1221" s="2">
        <v>23.28</v>
      </c>
      <c r="I1221" s="1">
        <f t="shared" si="71"/>
        <v>0.24250000000000002</v>
      </c>
    </row>
    <row r="1222" spans="4:9">
      <c r="D1222" s="36" t="s">
        <v>1957</v>
      </c>
      <c r="E1222" s="3"/>
      <c r="F1222" s="14" t="s">
        <v>1956</v>
      </c>
      <c r="G1222" s="3">
        <v>25</v>
      </c>
      <c r="H1222" s="2">
        <v>5</v>
      </c>
      <c r="I1222" s="1">
        <f t="shared" si="71"/>
        <v>0.2</v>
      </c>
    </row>
    <row r="1223" spans="4:9">
      <c r="D1223" s="14" t="s">
        <v>1961</v>
      </c>
      <c r="E1223" s="3"/>
      <c r="F1223" s="14" t="s">
        <v>1960</v>
      </c>
      <c r="G1223" s="3">
        <v>24</v>
      </c>
      <c r="H1223" s="2">
        <v>17.13</v>
      </c>
      <c r="I1223" s="1">
        <f t="shared" ref="I1223:I1228" si="72">H1223/G1223</f>
        <v>0.71375</v>
      </c>
    </row>
    <row r="1224" spans="4:9">
      <c r="D1224" s="36" t="s">
        <v>1963</v>
      </c>
      <c r="E1224" s="3"/>
      <c r="F1224" s="14" t="s">
        <v>1962</v>
      </c>
      <c r="G1224" s="3">
        <v>12</v>
      </c>
      <c r="H1224" s="2">
        <v>5.08</v>
      </c>
      <c r="I1224" s="1">
        <f t="shared" si="72"/>
        <v>0.42333333333333334</v>
      </c>
    </row>
    <row r="1225" spans="4:9">
      <c r="D1225" s="36" t="s">
        <v>1965</v>
      </c>
      <c r="E1225" s="3"/>
      <c r="F1225" s="14" t="s">
        <v>1964</v>
      </c>
      <c r="G1225" s="3">
        <v>50</v>
      </c>
      <c r="H1225" s="2">
        <v>24.8</v>
      </c>
      <c r="I1225" s="1">
        <f t="shared" si="72"/>
        <v>0.496</v>
      </c>
    </row>
    <row r="1226" spans="4:9">
      <c r="D1226" s="36" t="s">
        <v>1967</v>
      </c>
      <c r="E1226" s="14"/>
      <c r="F1226" s="14" t="s">
        <v>1966</v>
      </c>
      <c r="G1226" s="3">
        <v>10</v>
      </c>
      <c r="H1226" s="2">
        <v>17.62</v>
      </c>
      <c r="I1226" s="1">
        <f t="shared" si="72"/>
        <v>1.762</v>
      </c>
    </row>
    <row r="1227" spans="4:9">
      <c r="D1227" s="36">
        <v>69714162</v>
      </c>
      <c r="E1227" s="3"/>
      <c r="F1227" s="14" t="s">
        <v>1968</v>
      </c>
      <c r="G1227" s="3">
        <v>13</v>
      </c>
      <c r="H1227" s="2">
        <v>22.93</v>
      </c>
      <c r="I1227" s="1">
        <f t="shared" si="72"/>
        <v>1.7638461538461538</v>
      </c>
    </row>
    <row r="1228" spans="4:9">
      <c r="D1228" s="36">
        <v>69620216</v>
      </c>
      <c r="E1228" s="3"/>
      <c r="F1228" s="14" t="s">
        <v>1969</v>
      </c>
      <c r="G1228" s="3">
        <v>13</v>
      </c>
      <c r="H1228" s="2">
        <v>22.93</v>
      </c>
      <c r="I1228" s="1">
        <f t="shared" si="72"/>
        <v>1.7638461538461538</v>
      </c>
    </row>
    <row r="1229" spans="4:9">
      <c r="D1229" s="36" t="s">
        <v>1971</v>
      </c>
      <c r="E1229" s="3"/>
      <c r="F1229" s="14" t="s">
        <v>1970</v>
      </c>
      <c r="G1229" s="3">
        <v>24</v>
      </c>
      <c r="H1229" s="2">
        <v>14</v>
      </c>
      <c r="I1229" s="1">
        <f>H1229/G1229</f>
        <v>0.58333333333333337</v>
      </c>
    </row>
    <row r="1230" spans="4:9">
      <c r="D1230" s="14">
        <v>69761870</v>
      </c>
      <c r="E1230" s="3"/>
      <c r="F1230" s="14" t="s">
        <v>1972</v>
      </c>
      <c r="G1230" s="3">
        <v>96</v>
      </c>
      <c r="H1230" s="2">
        <v>19.04</v>
      </c>
      <c r="I1230" s="1">
        <f>H1230/G1230</f>
        <v>0.19833333333333333</v>
      </c>
    </row>
    <row r="1231" spans="4:9">
      <c r="D1231" s="36" t="s">
        <v>1974</v>
      </c>
      <c r="E1231" s="14"/>
      <c r="F1231" s="14" t="s">
        <v>1973</v>
      </c>
      <c r="G1231" s="3">
        <v>20</v>
      </c>
      <c r="H1231" s="2">
        <v>9.52</v>
      </c>
      <c r="I1231" s="1">
        <f>H1231/G1231</f>
        <v>0.47599999999999998</v>
      </c>
    </row>
    <row r="1232" spans="4:9">
      <c r="D1232" s="36" t="s">
        <v>1976</v>
      </c>
      <c r="E1232" s="3"/>
      <c r="F1232" s="14" t="s">
        <v>1975</v>
      </c>
      <c r="G1232" s="3">
        <v>20</v>
      </c>
      <c r="H1232" s="2">
        <v>9.52</v>
      </c>
      <c r="I1232" s="1">
        <f>H1232/G1232</f>
        <v>0.47599999999999998</v>
      </c>
    </row>
    <row r="1233" spans="4:9">
      <c r="D1233" s="49" t="s">
        <v>1980</v>
      </c>
      <c r="E1233" s="6"/>
      <c r="F1233" s="13" t="s">
        <v>1979</v>
      </c>
      <c r="G1233" s="6">
        <v>17.989999999999998</v>
      </c>
      <c r="H1233" s="5">
        <v>24</v>
      </c>
      <c r="I1233" s="4">
        <f t="shared" ref="I1233:I1234" si="73">H1233/G1233</f>
        <v>1.3340744858254587</v>
      </c>
    </row>
    <row r="1234" spans="4:9">
      <c r="D1234" s="36" t="s">
        <v>1978</v>
      </c>
      <c r="E1234" s="3"/>
      <c r="F1234" s="14" t="s">
        <v>1977</v>
      </c>
      <c r="G1234" s="3">
        <v>1</v>
      </c>
      <c r="H1234" s="2">
        <v>0.33</v>
      </c>
      <c r="I1234" s="1">
        <f t="shared" si="73"/>
        <v>0.33</v>
      </c>
    </row>
    <row r="1235" spans="4:9">
      <c r="D1235" s="36" t="s">
        <v>1982</v>
      </c>
      <c r="E1235" s="3"/>
      <c r="F1235" s="14" t="s">
        <v>1981</v>
      </c>
      <c r="G1235" s="3">
        <v>40</v>
      </c>
      <c r="H1235" s="2">
        <v>22.05</v>
      </c>
      <c r="I1235" s="1">
        <f t="shared" ref="I1235:I1240" si="74">H1235/G1235</f>
        <v>0.55125000000000002</v>
      </c>
    </row>
    <row r="1236" spans="4:9">
      <c r="D1236" s="36" t="s">
        <v>1986</v>
      </c>
      <c r="E1236" s="3"/>
      <c r="F1236" s="14" t="s">
        <v>1985</v>
      </c>
      <c r="G1236" s="3">
        <v>30</v>
      </c>
      <c r="H1236" s="2">
        <v>18.52</v>
      </c>
      <c r="I1236" s="1">
        <f t="shared" si="74"/>
        <v>0.61733333333333329</v>
      </c>
    </row>
    <row r="1237" spans="4:9">
      <c r="D1237" s="36" t="s">
        <v>1984</v>
      </c>
      <c r="E1237" s="3"/>
      <c r="F1237" s="14" t="s">
        <v>1983</v>
      </c>
      <c r="G1237" s="3">
        <v>6</v>
      </c>
      <c r="H1237" s="2">
        <v>7.94</v>
      </c>
      <c r="I1237" s="1">
        <f t="shared" si="74"/>
        <v>1.3233333333333335</v>
      </c>
    </row>
    <row r="1238" spans="4:9">
      <c r="D1238" s="36" t="s">
        <v>1989</v>
      </c>
      <c r="E1238" s="3"/>
      <c r="F1238" s="14" t="s">
        <v>1988</v>
      </c>
      <c r="G1238" s="3">
        <v>1</v>
      </c>
      <c r="H1238" s="2">
        <v>0.33</v>
      </c>
      <c r="I1238" s="1">
        <f t="shared" si="74"/>
        <v>0.33</v>
      </c>
    </row>
    <row r="1239" spans="4:9">
      <c r="D1239" s="36">
        <v>69761861</v>
      </c>
      <c r="E1239" s="3"/>
      <c r="F1239" s="14" t="s">
        <v>1987</v>
      </c>
      <c r="G1239" s="3">
        <v>96</v>
      </c>
      <c r="H1239" s="2">
        <v>19.04</v>
      </c>
      <c r="I1239" s="1">
        <f t="shared" si="74"/>
        <v>0.19833333333333333</v>
      </c>
    </row>
    <row r="1240" spans="4:9">
      <c r="D1240" s="36" t="s">
        <v>1996</v>
      </c>
      <c r="E1240" s="14"/>
      <c r="F1240" s="14" t="s">
        <v>1995</v>
      </c>
      <c r="G1240" s="3">
        <v>30</v>
      </c>
      <c r="H1240" s="2">
        <v>18.52</v>
      </c>
      <c r="I1240" s="1">
        <f t="shared" si="74"/>
        <v>0.61733333333333329</v>
      </c>
    </row>
    <row r="1241" spans="4:9">
      <c r="D1241" s="49" t="s">
        <v>1991</v>
      </c>
      <c r="E1241" s="6"/>
      <c r="F1241" s="13" t="s">
        <v>1990</v>
      </c>
      <c r="G1241" s="6">
        <v>6</v>
      </c>
      <c r="H1241" s="5">
        <v>7.9</v>
      </c>
      <c r="I1241" s="4">
        <f t="shared" ref="I1241:I1242" si="75">H1241/G1241</f>
        <v>1.3166666666666667</v>
      </c>
    </row>
    <row r="1242" spans="4:9">
      <c r="D1242" s="36" t="s">
        <v>1998</v>
      </c>
      <c r="E1242" s="6"/>
      <c r="F1242" s="14" t="s">
        <v>1997</v>
      </c>
      <c r="G1242" s="3">
        <v>30</v>
      </c>
      <c r="H1242" s="2">
        <v>18.52</v>
      </c>
      <c r="I1242" s="1">
        <f t="shared" si="75"/>
        <v>0.61733333333333329</v>
      </c>
    </row>
    <row r="1243" spans="4:9">
      <c r="D1243" s="36" t="s">
        <v>2002</v>
      </c>
      <c r="E1243" s="3"/>
      <c r="F1243" s="14" t="s">
        <v>2001</v>
      </c>
      <c r="G1243" s="3">
        <v>16</v>
      </c>
      <c r="H1243" s="2">
        <v>11.57</v>
      </c>
      <c r="I1243" s="1">
        <f>H1243/G1243</f>
        <v>0.72312500000000002</v>
      </c>
    </row>
    <row r="1244" spans="4:9">
      <c r="D1244" s="36" t="s">
        <v>2000</v>
      </c>
      <c r="E1244" s="3"/>
      <c r="F1244" s="14" t="s">
        <v>1999</v>
      </c>
      <c r="G1244" s="3">
        <v>6</v>
      </c>
      <c r="H1244" s="2">
        <v>10.71</v>
      </c>
      <c r="I1244" s="1">
        <f>H1244/G1244</f>
        <v>1.7850000000000001</v>
      </c>
    </row>
    <row r="1245" spans="4:9">
      <c r="D1245" s="36">
        <v>68876989</v>
      </c>
      <c r="E1245" s="3"/>
      <c r="F1245" s="14" t="s">
        <v>1994</v>
      </c>
      <c r="G1245" s="3">
        <v>12</v>
      </c>
      <c r="H1245" s="2">
        <v>7.45</v>
      </c>
      <c r="I1245" s="1">
        <f>H1245/G1245</f>
        <v>0.62083333333333335</v>
      </c>
    </row>
    <row r="1246" spans="4:9">
      <c r="D1246" s="49">
        <v>68798139</v>
      </c>
      <c r="E1246" s="6"/>
      <c r="F1246" s="13" t="s">
        <v>1993</v>
      </c>
      <c r="G1246" s="6">
        <v>12</v>
      </c>
      <c r="H1246" s="5">
        <v>1.53</v>
      </c>
      <c r="I1246" s="4">
        <f t="shared" ref="I1246:I1247" si="76">H1246/G1246</f>
        <v>0.1275</v>
      </c>
    </row>
    <row r="1247" spans="4:9">
      <c r="D1247" s="36">
        <v>68798140</v>
      </c>
      <c r="E1247" s="3"/>
      <c r="F1247" s="14" t="s">
        <v>1992</v>
      </c>
      <c r="G1247" s="3">
        <v>12</v>
      </c>
      <c r="H1247" s="2">
        <v>1.53</v>
      </c>
      <c r="I1247" s="1">
        <f t="shared" si="76"/>
        <v>0.1275</v>
      </c>
    </row>
    <row r="1248" spans="4:9">
      <c r="D1248" s="36">
        <v>50470118</v>
      </c>
      <c r="E1248" s="3"/>
      <c r="F1248" s="14" t="s">
        <v>2005</v>
      </c>
      <c r="G1248" s="3">
        <v>4</v>
      </c>
      <c r="H1248" s="2">
        <v>3.31</v>
      </c>
      <c r="I1248" s="1">
        <f t="shared" ref="I1248:I1253" si="77">H1248/G1248</f>
        <v>0.82750000000000001</v>
      </c>
    </row>
    <row r="1249" spans="4:9">
      <c r="D1249" s="36" t="s">
        <v>2007</v>
      </c>
      <c r="E1249" s="3"/>
      <c r="F1249" s="14" t="s">
        <v>2006</v>
      </c>
      <c r="G1249" s="3">
        <v>6</v>
      </c>
      <c r="H1249" s="2">
        <v>12.7</v>
      </c>
      <c r="I1249" s="1">
        <f t="shared" si="77"/>
        <v>2.1166666666666667</v>
      </c>
    </row>
    <row r="1250" spans="4:9">
      <c r="D1250" s="36">
        <v>69627014</v>
      </c>
      <c r="E1250" s="3"/>
      <c r="F1250" s="14" t="s">
        <v>2003</v>
      </c>
      <c r="G1250" s="3">
        <v>12</v>
      </c>
      <c r="H1250" s="2">
        <v>2.2999999999999998</v>
      </c>
      <c r="I1250" s="1">
        <f t="shared" si="77"/>
        <v>0.19166666666666665</v>
      </c>
    </row>
    <row r="1251" spans="4:9">
      <c r="D1251" s="36">
        <v>84168063</v>
      </c>
      <c r="E1251" s="3"/>
      <c r="F1251" s="14" t="s">
        <v>2004</v>
      </c>
      <c r="G1251" s="3">
        <v>12</v>
      </c>
      <c r="H1251" s="2">
        <v>2.35</v>
      </c>
      <c r="I1251" s="1">
        <f t="shared" si="77"/>
        <v>0.19583333333333333</v>
      </c>
    </row>
    <row r="1252" spans="4:9">
      <c r="D1252" s="36">
        <v>67707590</v>
      </c>
      <c r="E1252" s="3"/>
      <c r="F1252" s="14" t="s">
        <v>2009</v>
      </c>
      <c r="G1252" s="3">
        <v>12</v>
      </c>
      <c r="H1252" s="2">
        <v>2.41</v>
      </c>
      <c r="I1252" s="1">
        <f t="shared" si="77"/>
        <v>0.20083333333333334</v>
      </c>
    </row>
    <row r="1253" spans="4:9">
      <c r="D1253" s="36">
        <v>621323</v>
      </c>
      <c r="E1253" s="3"/>
      <c r="F1253" s="14" t="s">
        <v>2011</v>
      </c>
      <c r="G1253" s="3">
        <v>24</v>
      </c>
      <c r="H1253" s="2">
        <v>21.16</v>
      </c>
      <c r="I1253" s="1">
        <f t="shared" si="77"/>
        <v>0.88166666666666671</v>
      </c>
    </row>
    <row r="1254" spans="4:9">
      <c r="D1254" s="36" t="s">
        <v>2013</v>
      </c>
      <c r="E1254" s="3"/>
      <c r="F1254" s="14" t="s">
        <v>2012</v>
      </c>
      <c r="G1254" s="3">
        <v>1</v>
      </c>
      <c r="H1254" s="2"/>
      <c r="I1254" s="1">
        <v>0.26</v>
      </c>
    </row>
    <row r="1255" spans="4:9">
      <c r="D1255" s="36" t="s">
        <v>2017</v>
      </c>
      <c r="E1255" s="3"/>
      <c r="F1255" s="14" t="s">
        <v>2016</v>
      </c>
      <c r="G1255" s="3">
        <v>1</v>
      </c>
      <c r="H1255" s="2"/>
      <c r="I1255" s="1">
        <v>0.45</v>
      </c>
    </row>
    <row r="1256" spans="4:9">
      <c r="D1256" s="36" t="s">
        <v>2015</v>
      </c>
      <c r="E1256" s="3"/>
      <c r="F1256" s="14" t="s">
        <v>2014</v>
      </c>
      <c r="G1256" s="3">
        <v>48</v>
      </c>
      <c r="H1256" s="2">
        <v>24.89</v>
      </c>
      <c r="I1256" s="1">
        <f>H1256/G1256</f>
        <v>0.51854166666666668</v>
      </c>
    </row>
    <row r="1257" spans="4:9">
      <c r="D1257" s="36">
        <v>68193096</v>
      </c>
      <c r="E1257" s="3"/>
      <c r="F1257" s="14" t="s">
        <v>2019</v>
      </c>
      <c r="G1257" s="3">
        <v>12</v>
      </c>
      <c r="H1257" s="2">
        <v>1.32</v>
      </c>
      <c r="I1257" s="1">
        <f>H1257/G1257</f>
        <v>0.11</v>
      </c>
    </row>
    <row r="1258" spans="4:9">
      <c r="D1258" s="36">
        <v>69629502</v>
      </c>
      <c r="E1258" s="14"/>
      <c r="F1258" s="14" t="s">
        <v>2018</v>
      </c>
      <c r="G1258" s="3">
        <v>15</v>
      </c>
      <c r="H1258" s="2">
        <v>29.76</v>
      </c>
      <c r="I1258" s="1">
        <f>H1258/G1258</f>
        <v>1.9840000000000002</v>
      </c>
    </row>
    <row r="1259" spans="4:9">
      <c r="D1259" s="36">
        <v>69761868</v>
      </c>
      <c r="E1259" s="3"/>
      <c r="F1259" s="14" t="s">
        <v>2024</v>
      </c>
      <c r="G1259" s="3">
        <v>96</v>
      </c>
      <c r="H1259" s="2">
        <v>19.05</v>
      </c>
      <c r="I1259" s="1">
        <f>H1259/G1259</f>
        <v>0.19843750000000002</v>
      </c>
    </row>
    <row r="1260" spans="4:9">
      <c r="D1260" s="36" t="s">
        <v>2021</v>
      </c>
      <c r="E1260" s="3"/>
      <c r="F1260" s="14" t="s">
        <v>2020</v>
      </c>
      <c r="G1260" s="3">
        <v>1</v>
      </c>
      <c r="H1260" s="2"/>
      <c r="I1260" s="1">
        <v>0.45</v>
      </c>
    </row>
    <row r="1261" spans="4:9">
      <c r="D1261" s="36" t="s">
        <v>2023</v>
      </c>
      <c r="E1261" s="14"/>
      <c r="F1261" s="14" t="s">
        <v>2022</v>
      </c>
      <c r="G1261" s="3">
        <v>28</v>
      </c>
      <c r="H1261" s="2">
        <v>26.69</v>
      </c>
      <c r="I1261" s="1">
        <f>H1261/G1261</f>
        <v>0.95321428571428579</v>
      </c>
    </row>
    <row r="1262" spans="4:9">
      <c r="D1262" s="36" t="s">
        <v>2026</v>
      </c>
      <c r="E1262" s="3"/>
      <c r="F1262" s="14" t="s">
        <v>2025</v>
      </c>
      <c r="G1262" s="3">
        <v>36</v>
      </c>
      <c r="H1262" s="2">
        <v>2.86</v>
      </c>
      <c r="I1262" s="1">
        <f>H1262/G1262</f>
        <v>7.9444444444444443E-2</v>
      </c>
    </row>
    <row r="1263" spans="4:9">
      <c r="D1263" s="36">
        <v>68754734</v>
      </c>
      <c r="E1263" s="3"/>
      <c r="F1263" s="14" t="s">
        <v>2027</v>
      </c>
      <c r="G1263" s="3">
        <v>6</v>
      </c>
      <c r="H1263" s="2">
        <v>0.4</v>
      </c>
      <c r="I1263" s="1">
        <f>H1263/G1263</f>
        <v>6.6666666666666666E-2</v>
      </c>
    </row>
    <row r="1264" spans="4:9">
      <c r="D1264" s="36" t="s">
        <v>2029</v>
      </c>
      <c r="E1264" s="3"/>
      <c r="F1264" s="14" t="s">
        <v>2028</v>
      </c>
      <c r="G1264" s="3">
        <v>1</v>
      </c>
      <c r="H1264" s="2">
        <v>0.78</v>
      </c>
      <c r="I1264" s="1">
        <f>H1264/G1264</f>
        <v>0.78</v>
      </c>
    </row>
    <row r="1265" spans="4:9">
      <c r="D1265" s="49" t="s">
        <v>2033</v>
      </c>
      <c r="E1265" s="6"/>
      <c r="F1265" s="13" t="s">
        <v>2032</v>
      </c>
      <c r="G1265" s="6">
        <v>6</v>
      </c>
      <c r="H1265" s="5">
        <v>6.61</v>
      </c>
      <c r="I1265" s="4">
        <f t="shared" ref="I1265:I1266" si="78">H1265/G1265</f>
        <v>1.1016666666666668</v>
      </c>
    </row>
    <row r="1266" spans="4:9">
      <c r="D1266" s="36" t="s">
        <v>2031</v>
      </c>
      <c r="E1266" s="3"/>
      <c r="F1266" s="14" t="s">
        <v>2030</v>
      </c>
      <c r="G1266" s="3">
        <v>16</v>
      </c>
      <c r="H1266" s="2">
        <v>14.4</v>
      </c>
      <c r="I1266" s="1">
        <f t="shared" si="78"/>
        <v>0.9</v>
      </c>
    </row>
    <row r="1267" spans="4:9">
      <c r="D1267" s="36" t="s">
        <v>2035</v>
      </c>
      <c r="E1267" s="3"/>
      <c r="F1267" s="14" t="s">
        <v>2034</v>
      </c>
      <c r="G1267" s="3">
        <v>8</v>
      </c>
      <c r="H1267" s="2">
        <v>2.85</v>
      </c>
      <c r="I1267" s="1">
        <f>H1267/G1267</f>
        <v>0.35625000000000001</v>
      </c>
    </row>
    <row r="1268" spans="4:9">
      <c r="D1268" s="36">
        <v>69714154</v>
      </c>
      <c r="E1268" s="3"/>
      <c r="F1268" s="14" t="s">
        <v>2036</v>
      </c>
      <c r="G1268" s="3">
        <v>13</v>
      </c>
      <c r="H1268" s="2">
        <v>22.93</v>
      </c>
      <c r="I1268" s="1">
        <f>H1268/G1268</f>
        <v>1.7638461538461538</v>
      </c>
    </row>
    <row r="1269" spans="4:9">
      <c r="D1269" s="36" t="s">
        <v>2038</v>
      </c>
      <c r="E1269" s="3"/>
      <c r="F1269" s="14" t="s">
        <v>2037</v>
      </c>
      <c r="G1269" s="3">
        <v>1</v>
      </c>
      <c r="H1269" s="2">
        <v>1</v>
      </c>
      <c r="I1269" s="1">
        <f>H1269/G1269</f>
        <v>1</v>
      </c>
    </row>
    <row r="1270" spans="4:9">
      <c r="D1270" s="49" t="s">
        <v>2050</v>
      </c>
      <c r="E1270" s="6"/>
      <c r="F1270" s="13" t="s">
        <v>2049</v>
      </c>
      <c r="G1270" s="6">
        <v>24</v>
      </c>
      <c r="H1270" s="5">
        <v>2.91</v>
      </c>
      <c r="I1270" s="4">
        <f t="shared" ref="I1270:I1275" si="79">H1270/G1270</f>
        <v>0.12125000000000001</v>
      </c>
    </row>
    <row r="1271" spans="4:9">
      <c r="D1271" s="49" t="s">
        <v>2048</v>
      </c>
      <c r="E1271" s="6"/>
      <c r="F1271" s="13" t="s">
        <v>2047</v>
      </c>
      <c r="G1271" s="6">
        <v>24</v>
      </c>
      <c r="H1271" s="5">
        <v>2.91</v>
      </c>
      <c r="I1271" s="4">
        <f t="shared" si="79"/>
        <v>0.12125000000000001</v>
      </c>
    </row>
    <row r="1272" spans="4:9">
      <c r="D1272" s="49" t="s">
        <v>2046</v>
      </c>
      <c r="E1272" s="6"/>
      <c r="F1272" s="13" t="s">
        <v>2045</v>
      </c>
      <c r="G1272" s="6">
        <v>24</v>
      </c>
      <c r="H1272" s="5">
        <v>2.91</v>
      </c>
      <c r="I1272" s="4">
        <f t="shared" si="79"/>
        <v>0.12125000000000001</v>
      </c>
    </row>
    <row r="1273" spans="4:9">
      <c r="D1273" s="49" t="s">
        <v>2044</v>
      </c>
      <c r="E1273" s="6"/>
      <c r="F1273" s="13" t="s">
        <v>2043</v>
      </c>
      <c r="G1273" s="6">
        <v>24</v>
      </c>
      <c r="H1273" s="5">
        <v>2.91</v>
      </c>
      <c r="I1273" s="4">
        <f t="shared" si="79"/>
        <v>0.12125000000000001</v>
      </c>
    </row>
    <row r="1274" spans="4:9">
      <c r="D1274" s="49" t="s">
        <v>2042</v>
      </c>
      <c r="E1274" s="6"/>
      <c r="F1274" s="13" t="s">
        <v>2041</v>
      </c>
      <c r="G1274" s="6">
        <v>24</v>
      </c>
      <c r="H1274" s="5">
        <v>2.91</v>
      </c>
      <c r="I1274" s="4">
        <f t="shared" si="79"/>
        <v>0.12125000000000001</v>
      </c>
    </row>
    <row r="1275" spans="4:9">
      <c r="D1275" s="36" t="s">
        <v>2040</v>
      </c>
      <c r="E1275" s="3"/>
      <c r="F1275" s="14" t="s">
        <v>2039</v>
      </c>
      <c r="G1275" s="3">
        <v>24</v>
      </c>
      <c r="H1275" s="5">
        <v>2.91</v>
      </c>
      <c r="I1275" s="1">
        <f t="shared" si="79"/>
        <v>0.12125000000000001</v>
      </c>
    </row>
    <row r="1276" spans="4:9">
      <c r="D1276" s="49">
        <v>50470111</v>
      </c>
      <c r="E1276" s="6"/>
      <c r="F1276" s="13" t="s">
        <v>2055</v>
      </c>
      <c r="G1276" s="6">
        <v>4</v>
      </c>
      <c r="H1276" s="5">
        <v>9.92</v>
      </c>
      <c r="I1276" s="4">
        <f t="shared" ref="I1276:I1279" si="80">H1276/G1276</f>
        <v>2.48</v>
      </c>
    </row>
    <row r="1277" spans="4:9">
      <c r="D1277" s="49">
        <v>50470112</v>
      </c>
      <c r="E1277" s="6"/>
      <c r="F1277" s="13" t="s">
        <v>2054</v>
      </c>
      <c r="G1277" s="6">
        <v>4</v>
      </c>
      <c r="H1277" s="5">
        <v>9.92</v>
      </c>
      <c r="I1277" s="4">
        <f t="shared" si="80"/>
        <v>2.48</v>
      </c>
    </row>
    <row r="1278" spans="4:9">
      <c r="D1278" s="49">
        <v>50470114</v>
      </c>
      <c r="E1278" s="6"/>
      <c r="F1278" s="13" t="s">
        <v>2053</v>
      </c>
      <c r="G1278" s="6">
        <v>4</v>
      </c>
      <c r="H1278" s="5">
        <v>9.92</v>
      </c>
      <c r="I1278" s="4">
        <f t="shared" si="80"/>
        <v>2.48</v>
      </c>
    </row>
    <row r="1279" spans="4:9">
      <c r="D1279" s="36">
        <v>50470115</v>
      </c>
      <c r="E1279" s="3"/>
      <c r="F1279" s="14" t="s">
        <v>2052</v>
      </c>
      <c r="G1279" s="3">
        <v>4</v>
      </c>
      <c r="H1279" s="5">
        <v>9.92</v>
      </c>
      <c r="I1279" s="1">
        <f t="shared" si="80"/>
        <v>2.48</v>
      </c>
    </row>
    <row r="1280" spans="4:9">
      <c r="D1280" s="36">
        <v>652532</v>
      </c>
      <c r="E1280" s="3"/>
      <c r="F1280" s="14" t="s">
        <v>2051</v>
      </c>
      <c r="G1280" s="3">
        <v>24</v>
      </c>
      <c r="H1280" s="2">
        <v>21.16</v>
      </c>
      <c r="I1280" s="1">
        <f t="shared" ref="I1280:I1285" si="81">H1280/G1280</f>
        <v>0.88166666666666671</v>
      </c>
    </row>
    <row r="1281" spans="4:9">
      <c r="D1281" s="36" t="s">
        <v>2057</v>
      </c>
      <c r="E1281" s="3"/>
      <c r="F1281" s="14" t="s">
        <v>2056</v>
      </c>
      <c r="G1281" s="3">
        <v>16</v>
      </c>
      <c r="H1281" s="2">
        <v>7.2</v>
      </c>
      <c r="I1281" s="1">
        <f t="shared" si="81"/>
        <v>0.45</v>
      </c>
    </row>
    <row r="1282" spans="4:9">
      <c r="D1282" s="36" t="s">
        <v>2061</v>
      </c>
      <c r="E1282" s="3"/>
      <c r="F1282" s="14" t="s">
        <v>2060</v>
      </c>
      <c r="G1282" s="3">
        <v>24</v>
      </c>
      <c r="H1282" s="2">
        <v>26.46</v>
      </c>
      <c r="I1282" s="1">
        <f t="shared" si="81"/>
        <v>1.1025</v>
      </c>
    </row>
    <row r="1283" spans="4:9">
      <c r="D1283" s="36" t="s">
        <v>2059</v>
      </c>
      <c r="E1283" s="3"/>
      <c r="F1283" s="14" t="s">
        <v>2058</v>
      </c>
      <c r="G1283" s="3">
        <v>4</v>
      </c>
      <c r="H1283" s="2">
        <v>2.12</v>
      </c>
      <c r="I1283" s="1">
        <f t="shared" si="81"/>
        <v>0.53</v>
      </c>
    </row>
    <row r="1284" spans="4:9">
      <c r="D1284" s="36" t="s">
        <v>2065</v>
      </c>
      <c r="E1284" s="6"/>
      <c r="F1284" s="14" t="s">
        <v>2064</v>
      </c>
      <c r="G1284" s="3">
        <v>24</v>
      </c>
      <c r="H1284" s="2">
        <v>21.16</v>
      </c>
      <c r="I1284" s="1">
        <f t="shared" si="81"/>
        <v>0.88166666666666671</v>
      </c>
    </row>
    <row r="1285" spans="4:9">
      <c r="D1285" s="36" t="s">
        <v>2063</v>
      </c>
      <c r="E1285" s="3"/>
      <c r="F1285" s="14" t="s">
        <v>2062</v>
      </c>
      <c r="G1285" s="3">
        <v>4</v>
      </c>
      <c r="H1285" s="2">
        <v>2.12</v>
      </c>
      <c r="I1285" s="1">
        <f t="shared" si="81"/>
        <v>0.53</v>
      </c>
    </row>
    <row r="1286" spans="4:9">
      <c r="D1286" s="36" t="s">
        <v>2068</v>
      </c>
      <c r="E1286" s="6"/>
      <c r="F1286" s="14" t="s">
        <v>2067</v>
      </c>
      <c r="G1286" s="3">
        <v>12</v>
      </c>
      <c r="H1286" s="2">
        <v>13.21</v>
      </c>
      <c r="I1286" s="1">
        <f t="shared" ref="I1286:I1291" si="82">H1286/G1286</f>
        <v>1.1008333333333333</v>
      </c>
    </row>
    <row r="1287" spans="4:9">
      <c r="D1287" s="36" t="s">
        <v>2070</v>
      </c>
      <c r="E1287" s="3"/>
      <c r="F1287" s="14" t="s">
        <v>2069</v>
      </c>
      <c r="G1287" s="3">
        <v>12</v>
      </c>
      <c r="H1287" s="2">
        <v>7.94</v>
      </c>
      <c r="I1287" s="1">
        <f t="shared" si="82"/>
        <v>0.66166666666666674</v>
      </c>
    </row>
    <row r="1288" spans="4:9">
      <c r="D1288" s="50">
        <v>5467000</v>
      </c>
      <c r="E1288" s="3"/>
      <c r="F1288" s="30" t="s">
        <v>2066</v>
      </c>
      <c r="G1288" s="3">
        <v>1</v>
      </c>
      <c r="H1288" s="2">
        <v>1.1100000000000001</v>
      </c>
      <c r="I1288" s="1">
        <f t="shared" si="82"/>
        <v>1.1100000000000001</v>
      </c>
    </row>
    <row r="1289" spans="4:9">
      <c r="D1289" s="36">
        <v>69786713</v>
      </c>
      <c r="E1289" s="3"/>
      <c r="F1289" s="14" t="s">
        <v>2071</v>
      </c>
      <c r="G1289" s="3">
        <v>96</v>
      </c>
      <c r="H1289" s="2">
        <v>19.05</v>
      </c>
      <c r="I1289" s="1">
        <f t="shared" si="82"/>
        <v>0.19843750000000002</v>
      </c>
    </row>
    <row r="1290" spans="4:9">
      <c r="D1290" s="36" t="s">
        <v>2076</v>
      </c>
      <c r="E1290" s="6"/>
      <c r="F1290" s="14" t="s">
        <v>2075</v>
      </c>
      <c r="G1290" s="3">
        <v>17.600000000000001</v>
      </c>
      <c r="H1290" s="2">
        <v>20</v>
      </c>
      <c r="I1290" s="1">
        <f t="shared" si="82"/>
        <v>1.1363636363636362</v>
      </c>
    </row>
    <row r="1291" spans="4:9">
      <c r="D1291" s="36" t="s">
        <v>2074</v>
      </c>
      <c r="E1291" s="3"/>
      <c r="F1291" s="14" t="s">
        <v>2073</v>
      </c>
      <c r="G1291" s="3">
        <v>16</v>
      </c>
      <c r="H1291" s="2">
        <v>7.2</v>
      </c>
      <c r="I1291" s="1">
        <f t="shared" si="82"/>
        <v>0.45</v>
      </c>
    </row>
    <row r="1292" spans="4:9">
      <c r="D1292" s="49" t="s">
        <v>2082</v>
      </c>
      <c r="E1292" s="6"/>
      <c r="F1292" s="13" t="s">
        <v>2081</v>
      </c>
      <c r="G1292" s="6">
        <v>10</v>
      </c>
      <c r="H1292" s="5">
        <v>1.98</v>
      </c>
      <c r="I1292" s="4">
        <f t="shared" ref="I1292:I1294" si="83">H1292/G1292</f>
        <v>0.19800000000000001</v>
      </c>
    </row>
    <row r="1293" spans="4:9">
      <c r="D1293" s="49" t="s">
        <v>2080</v>
      </c>
      <c r="E1293" s="6"/>
      <c r="F1293" s="13" t="s">
        <v>2079</v>
      </c>
      <c r="G1293" s="6">
        <v>24</v>
      </c>
      <c r="H1293" s="5">
        <v>4.76</v>
      </c>
      <c r="I1293" s="4">
        <f t="shared" si="83"/>
        <v>0.19833333333333333</v>
      </c>
    </row>
    <row r="1294" spans="4:9">
      <c r="D1294" s="36" t="s">
        <v>2078</v>
      </c>
      <c r="E1294" s="3"/>
      <c r="F1294" s="14" t="s">
        <v>2077</v>
      </c>
      <c r="G1294" s="3">
        <v>12</v>
      </c>
      <c r="H1294" s="2">
        <v>1.98</v>
      </c>
      <c r="I1294" s="1">
        <f t="shared" si="83"/>
        <v>0.16500000000000001</v>
      </c>
    </row>
    <row r="1295" spans="4:9">
      <c r="D1295" s="36">
        <v>69584479</v>
      </c>
      <c r="E1295" s="3"/>
      <c r="F1295" s="14" t="s">
        <v>2085</v>
      </c>
      <c r="G1295" s="3">
        <v>40</v>
      </c>
      <c r="H1295" s="2">
        <v>33.07</v>
      </c>
      <c r="I1295" s="1">
        <f t="shared" ref="I1295:I1300" si="84">H1295/G1295</f>
        <v>0.82674999999999998</v>
      </c>
    </row>
    <row r="1296" spans="4:9">
      <c r="D1296" s="36" t="s">
        <v>2087</v>
      </c>
      <c r="E1296" s="3"/>
      <c r="F1296" s="14" t="s">
        <v>2086</v>
      </c>
      <c r="G1296" s="3">
        <v>4</v>
      </c>
      <c r="H1296" s="2">
        <v>3.31</v>
      </c>
      <c r="I1296" s="1">
        <f t="shared" si="84"/>
        <v>0.82750000000000001</v>
      </c>
    </row>
    <row r="1297" spans="4:9">
      <c r="D1297" s="36">
        <v>69678222</v>
      </c>
      <c r="E1297" s="3"/>
      <c r="F1297" s="14" t="s">
        <v>2088</v>
      </c>
      <c r="G1297" s="3">
        <v>24</v>
      </c>
      <c r="H1297" s="2">
        <v>13.3</v>
      </c>
      <c r="I1297" s="1">
        <f t="shared" si="84"/>
        <v>0.5541666666666667</v>
      </c>
    </row>
    <row r="1298" spans="4:9">
      <c r="D1298" s="36" t="s">
        <v>2090</v>
      </c>
      <c r="E1298" s="3"/>
      <c r="F1298" s="14" t="s">
        <v>2089</v>
      </c>
      <c r="G1298" s="3">
        <v>1</v>
      </c>
      <c r="H1298" s="2">
        <v>100</v>
      </c>
      <c r="I1298" s="1">
        <f t="shared" si="84"/>
        <v>100</v>
      </c>
    </row>
    <row r="1299" spans="4:9">
      <c r="D1299" s="36" t="s">
        <v>2092</v>
      </c>
      <c r="E1299" s="3"/>
      <c r="F1299" s="14" t="s">
        <v>2091</v>
      </c>
      <c r="G1299" s="3">
        <v>1</v>
      </c>
      <c r="H1299" s="2">
        <v>44</v>
      </c>
      <c r="I1299" s="1">
        <f t="shared" si="84"/>
        <v>44</v>
      </c>
    </row>
    <row r="1300" spans="4:9">
      <c r="D1300" s="36" t="s">
        <v>2094</v>
      </c>
      <c r="E1300" s="3"/>
      <c r="F1300" s="14" t="s">
        <v>2093</v>
      </c>
      <c r="G1300" s="3">
        <v>1</v>
      </c>
      <c r="H1300" s="2">
        <v>50</v>
      </c>
      <c r="I1300" s="1">
        <f t="shared" si="84"/>
        <v>50</v>
      </c>
    </row>
    <row r="1301" spans="4:9">
      <c r="D1301" s="36">
        <v>52480083</v>
      </c>
      <c r="E1301" s="6"/>
      <c r="F1301" s="14" t="s">
        <v>2097</v>
      </c>
      <c r="G1301" s="3">
        <v>12</v>
      </c>
      <c r="H1301" s="2">
        <v>12.7</v>
      </c>
      <c r="I1301" s="1">
        <f>H1301/G1301</f>
        <v>1.0583333333333333</v>
      </c>
    </row>
    <row r="1302" spans="4:9">
      <c r="D1302" s="36" t="s">
        <v>2096</v>
      </c>
      <c r="E1302" s="3"/>
      <c r="F1302" s="14" t="s">
        <v>2095</v>
      </c>
      <c r="G1302" s="3">
        <v>1</v>
      </c>
      <c r="H1302" s="2">
        <v>1.1100000000000001</v>
      </c>
      <c r="I1302" s="1">
        <f>H1302/G1302</f>
        <v>1.1100000000000001</v>
      </c>
    </row>
    <row r="1303" spans="4:9">
      <c r="D1303" s="38" t="s">
        <v>2098</v>
      </c>
      <c r="E1303" s="6"/>
      <c r="F1303" s="3" t="s">
        <v>2099</v>
      </c>
      <c r="G1303" s="3">
        <v>1</v>
      </c>
      <c r="H1303" s="2">
        <v>50</v>
      </c>
      <c r="I1303" s="1">
        <f>H1303/G1303</f>
        <v>50</v>
      </c>
    </row>
    <row r="1304" spans="4:9">
      <c r="D1304" s="59" t="s">
        <v>2100</v>
      </c>
      <c r="E1304" s="6"/>
      <c r="F1304" s="6" t="s">
        <v>2101</v>
      </c>
      <c r="G1304" s="6">
        <v>1</v>
      </c>
      <c r="H1304" s="5">
        <v>44</v>
      </c>
      <c r="I1304" s="4">
        <f t="shared" ref="I1304:I1305" si="85">H1304/G1304</f>
        <v>44</v>
      </c>
    </row>
    <row r="1305" spans="4:9">
      <c r="D1305" s="38" t="s">
        <v>2102</v>
      </c>
      <c r="E1305" s="3"/>
      <c r="F1305" s="3" t="s">
        <v>2103</v>
      </c>
      <c r="G1305" s="3">
        <v>1</v>
      </c>
      <c r="H1305" s="2">
        <v>22</v>
      </c>
      <c r="I1305" s="1">
        <f t="shared" si="85"/>
        <v>22</v>
      </c>
    </row>
    <row r="1306" spans="4:9">
      <c r="D1306" s="38">
        <v>60000140</v>
      </c>
      <c r="E1306" s="3"/>
      <c r="F1306" s="3" t="s">
        <v>2104</v>
      </c>
      <c r="G1306" s="3">
        <v>1</v>
      </c>
      <c r="H1306" s="2">
        <v>25</v>
      </c>
      <c r="I1306" s="1">
        <f t="shared" ref="I1306:I1314" si="86">H1306/G1306</f>
        <v>25</v>
      </c>
    </row>
    <row r="1307" spans="4:9">
      <c r="D1307" s="38">
        <v>67287932</v>
      </c>
      <c r="E1307" s="6"/>
      <c r="F1307" s="3" t="s">
        <v>2105</v>
      </c>
      <c r="G1307" s="3">
        <v>12</v>
      </c>
      <c r="H1307" s="2">
        <v>1.32</v>
      </c>
      <c r="I1307" s="1">
        <f t="shared" si="86"/>
        <v>0.11</v>
      </c>
    </row>
    <row r="1308" spans="4:9">
      <c r="D1308" s="38">
        <v>67622624</v>
      </c>
      <c r="E1308" s="6"/>
      <c r="F1308" s="3" t="s">
        <v>2106</v>
      </c>
      <c r="G1308" s="3">
        <v>12</v>
      </c>
      <c r="H1308" s="2">
        <v>1.32</v>
      </c>
      <c r="I1308" s="1">
        <f t="shared" si="86"/>
        <v>0.11</v>
      </c>
    </row>
    <row r="1309" spans="4:9">
      <c r="D1309" s="38">
        <v>67746895</v>
      </c>
      <c r="E1309" s="6"/>
      <c r="F1309" s="3" t="s">
        <v>2107</v>
      </c>
      <c r="G1309" s="3">
        <v>12</v>
      </c>
      <c r="H1309" s="2">
        <v>1.32</v>
      </c>
      <c r="I1309" s="1">
        <f t="shared" si="86"/>
        <v>0.11</v>
      </c>
    </row>
    <row r="1310" spans="4:9">
      <c r="D1310" s="38">
        <v>680368</v>
      </c>
      <c r="E1310" s="6"/>
      <c r="F1310" s="3" t="s">
        <v>2108</v>
      </c>
      <c r="G1310" s="3">
        <v>96</v>
      </c>
      <c r="H1310" s="2">
        <v>22.43</v>
      </c>
      <c r="I1310" s="1">
        <f t="shared" si="86"/>
        <v>0.23364583333333333</v>
      </c>
    </row>
    <row r="1311" spans="4:9">
      <c r="D1311" s="38">
        <v>68437780</v>
      </c>
      <c r="E1311" s="6"/>
      <c r="F1311" s="3" t="s">
        <v>2109</v>
      </c>
      <c r="G1311" s="3">
        <v>12</v>
      </c>
      <c r="H1311" s="2">
        <v>1.32</v>
      </c>
      <c r="I1311" s="1">
        <f t="shared" si="86"/>
        <v>0.11</v>
      </c>
    </row>
    <row r="1312" spans="4:9">
      <c r="D1312" s="38">
        <v>84157379</v>
      </c>
      <c r="E1312" s="3"/>
      <c r="F1312" s="3" t="s">
        <v>2110</v>
      </c>
      <c r="G1312" s="3">
        <v>12</v>
      </c>
      <c r="H1312" s="2">
        <v>2.38</v>
      </c>
      <c r="I1312" s="1">
        <f t="shared" si="86"/>
        <v>0.19833333333333333</v>
      </c>
    </row>
    <row r="1313" spans="4:9">
      <c r="D1313" s="38" t="s">
        <v>698</v>
      </c>
      <c r="E1313" s="6"/>
      <c r="F1313" s="3" t="s">
        <v>2111</v>
      </c>
      <c r="G1313" s="3">
        <v>1</v>
      </c>
      <c r="H1313" s="2">
        <v>2.91</v>
      </c>
      <c r="I1313" s="1">
        <f t="shared" si="86"/>
        <v>2.91</v>
      </c>
    </row>
    <row r="1314" spans="4:9">
      <c r="D1314" s="38" t="s">
        <v>2112</v>
      </c>
      <c r="E1314" s="3"/>
      <c r="F1314" s="3" t="s">
        <v>2113</v>
      </c>
      <c r="G1314" s="3">
        <v>8</v>
      </c>
      <c r="H1314" s="2">
        <v>2.85</v>
      </c>
      <c r="I1314" s="1">
        <f t="shared" si="86"/>
        <v>0.35625000000000001</v>
      </c>
    </row>
    <row r="1315" spans="4:9">
      <c r="D1315" s="59" t="s">
        <v>1004</v>
      </c>
      <c r="E1315" s="6"/>
      <c r="F1315" s="6" t="s">
        <v>1003</v>
      </c>
      <c r="G1315" s="6">
        <v>12</v>
      </c>
      <c r="H1315" s="5">
        <v>38.090000000000003</v>
      </c>
      <c r="I1315" s="4">
        <f t="shared" ref="I1315:I1316" si="87">H1315/G1315</f>
        <v>3.1741666666666668</v>
      </c>
    </row>
    <row r="1316" spans="4:9">
      <c r="D1316" s="38" t="s">
        <v>2114</v>
      </c>
      <c r="E1316" s="3"/>
      <c r="F1316" s="3" t="s">
        <v>2115</v>
      </c>
      <c r="G1316" s="3">
        <v>6</v>
      </c>
      <c r="H1316" s="2">
        <v>1.27</v>
      </c>
      <c r="I1316" s="1">
        <f t="shared" si="87"/>
        <v>0.21166666666666667</v>
      </c>
    </row>
    <row r="1317" spans="4:9">
      <c r="D1317" s="38" t="s">
        <v>1000</v>
      </c>
      <c r="E1317" s="3"/>
      <c r="F1317" s="3" t="s">
        <v>2116</v>
      </c>
      <c r="G1317" s="3">
        <v>6</v>
      </c>
      <c r="H1317" s="2">
        <v>17.46</v>
      </c>
      <c r="I1317" s="1">
        <f>H1317/G1317</f>
        <v>2.91</v>
      </c>
    </row>
    <row r="1318" spans="4:9">
      <c r="D1318" s="38" t="s">
        <v>2117</v>
      </c>
      <c r="E1318" s="6"/>
      <c r="F1318" s="3" t="s">
        <v>2118</v>
      </c>
      <c r="G1318" s="3">
        <v>24</v>
      </c>
      <c r="H1318" s="2">
        <v>3.8</v>
      </c>
      <c r="I1318" s="1">
        <f>H1318/G1318</f>
        <v>0.15833333333333333</v>
      </c>
    </row>
    <row r="1319" spans="4:9">
      <c r="D1319" s="59" t="s">
        <v>2119</v>
      </c>
      <c r="E1319" s="6"/>
      <c r="F1319" s="6" t="s">
        <v>2120</v>
      </c>
      <c r="G1319" s="6">
        <v>6</v>
      </c>
      <c r="H1319" s="5">
        <v>38.090000000000003</v>
      </c>
      <c r="I1319" s="4">
        <f t="shared" ref="I1319:I1321" si="88">H1319/G1319</f>
        <v>6.3483333333333336</v>
      </c>
    </row>
    <row r="1320" spans="4:9">
      <c r="D1320" s="59" t="s">
        <v>2121</v>
      </c>
      <c r="E1320" s="6"/>
      <c r="F1320" s="6" t="s">
        <v>2122</v>
      </c>
      <c r="G1320" s="6">
        <v>12</v>
      </c>
      <c r="H1320" s="5">
        <v>1</v>
      </c>
      <c r="I1320" s="4">
        <f t="shared" si="88"/>
        <v>8.3333333333333329E-2</v>
      </c>
    </row>
    <row r="1321" spans="4:9">
      <c r="D1321" s="38" t="s">
        <v>2123</v>
      </c>
      <c r="E1321" s="6"/>
      <c r="F1321" s="3" t="s">
        <v>2124</v>
      </c>
      <c r="G1321" s="3">
        <v>12</v>
      </c>
      <c r="H1321" s="2">
        <v>1</v>
      </c>
      <c r="I1321" s="1">
        <f t="shared" si="88"/>
        <v>8.3333333333333329E-2</v>
      </c>
    </row>
    <row r="1322" spans="4:9">
      <c r="D1322" s="38" t="s">
        <v>2125</v>
      </c>
      <c r="E1322" s="6"/>
      <c r="F1322" s="3" t="s">
        <v>2126</v>
      </c>
      <c r="G1322" s="3">
        <v>12</v>
      </c>
      <c r="H1322" s="2">
        <v>9.26</v>
      </c>
      <c r="I1322" s="1">
        <f>H1322/G1322</f>
        <v>0.77166666666666661</v>
      </c>
    </row>
    <row r="1323" spans="4:9">
      <c r="D1323" s="59" t="s">
        <v>2127</v>
      </c>
      <c r="E1323" s="6"/>
      <c r="F1323" s="6" t="s">
        <v>2128</v>
      </c>
      <c r="G1323" s="6">
        <v>1</v>
      </c>
      <c r="H1323" s="5">
        <v>0.18</v>
      </c>
      <c r="I1323" s="4">
        <f t="shared" ref="I1323:I1324" si="89">H1323/G1323</f>
        <v>0.18</v>
      </c>
    </row>
    <row r="1324" spans="4:9">
      <c r="D1324" s="38" t="s">
        <v>2129</v>
      </c>
      <c r="E1324" s="6"/>
      <c r="F1324" s="3" t="s">
        <v>2130</v>
      </c>
      <c r="G1324" s="3">
        <v>1</v>
      </c>
      <c r="H1324" s="2">
        <v>1</v>
      </c>
      <c r="I1324" s="1">
        <f t="shared" si="89"/>
        <v>1</v>
      </c>
    </row>
    <row r="1325" spans="4:9">
      <c r="D1325" s="38" t="s">
        <v>2131</v>
      </c>
      <c r="E1325" s="3"/>
      <c r="F1325" s="3" t="s">
        <v>2132</v>
      </c>
      <c r="G1325" s="3">
        <v>1</v>
      </c>
      <c r="H1325" s="2">
        <v>0.28000000000000003</v>
      </c>
      <c r="I1325" s="1">
        <f>H1325/G1325</f>
        <v>0.28000000000000003</v>
      </c>
    </row>
    <row r="1326" spans="4:9">
      <c r="D1326" s="36">
        <v>69761865</v>
      </c>
      <c r="E1326" s="3"/>
      <c r="F1326" s="14" t="s">
        <v>2134</v>
      </c>
      <c r="G1326" s="3">
        <v>96</v>
      </c>
      <c r="H1326" s="2">
        <v>19.05</v>
      </c>
      <c r="I1326" s="1">
        <f>H1326/G1326</f>
        <v>0.19843750000000002</v>
      </c>
    </row>
    <row r="1327" spans="4:9">
      <c r="D1327" s="36" t="s">
        <v>2138</v>
      </c>
      <c r="E1327" s="3"/>
      <c r="F1327" s="14" t="s">
        <v>2137</v>
      </c>
      <c r="G1327" s="3">
        <v>16</v>
      </c>
      <c r="H1327" s="2">
        <v>14.4</v>
      </c>
      <c r="I1327" s="1">
        <f>H1327/G1327</f>
        <v>0.9</v>
      </c>
    </row>
    <row r="1328" spans="4:9">
      <c r="D1328" s="36" t="s">
        <v>2136</v>
      </c>
      <c r="E1328" s="3"/>
      <c r="F1328" s="14" t="s">
        <v>2135</v>
      </c>
      <c r="G1328" s="3">
        <v>4</v>
      </c>
      <c r="H1328" s="2">
        <v>3.31</v>
      </c>
      <c r="I1328" s="1">
        <f>H1328/G1328</f>
        <v>0.82750000000000001</v>
      </c>
    </row>
    <row r="1329" spans="4:9">
      <c r="D1329" s="49" t="s">
        <v>2142</v>
      </c>
      <c r="E1329" s="6"/>
      <c r="F1329" s="13" t="s">
        <v>2141</v>
      </c>
      <c r="G1329" s="6">
        <v>14.11</v>
      </c>
      <c r="H1329" s="5">
        <v>16</v>
      </c>
      <c r="I1329" s="4">
        <f t="shared" ref="I1329:I1330" si="90">H1329/G1329</f>
        <v>1.1339475549255846</v>
      </c>
    </row>
    <row r="1330" spans="4:9">
      <c r="D1330" s="36" t="s">
        <v>2140</v>
      </c>
      <c r="E1330" s="3"/>
      <c r="F1330" s="14" t="s">
        <v>2139</v>
      </c>
      <c r="G1330" s="3">
        <v>15.87</v>
      </c>
      <c r="H1330" s="2">
        <v>18</v>
      </c>
      <c r="I1330" s="1">
        <f t="shared" si="90"/>
        <v>1.1342155009451795</v>
      </c>
    </row>
    <row r="1331" spans="4:9">
      <c r="D1331" s="36" t="s">
        <v>2144</v>
      </c>
      <c r="E1331" s="3"/>
      <c r="F1331" s="14" t="s">
        <v>2143</v>
      </c>
      <c r="G1331" s="3">
        <v>4</v>
      </c>
      <c r="H1331" s="2">
        <v>3.31</v>
      </c>
      <c r="I1331" s="1">
        <f>H1331/G1331</f>
        <v>0.82750000000000001</v>
      </c>
    </row>
    <row r="1332" spans="4:9">
      <c r="D1332" s="49" t="s">
        <v>2148</v>
      </c>
      <c r="E1332" s="6"/>
      <c r="F1332" s="13" t="s">
        <v>2147</v>
      </c>
      <c r="G1332" s="6">
        <v>48</v>
      </c>
      <c r="H1332" s="5">
        <v>10.58</v>
      </c>
      <c r="I1332" s="4">
        <f t="shared" ref="I1332:I1336" si="91">H1332/G1332</f>
        <v>0.22041666666666668</v>
      </c>
    </row>
    <row r="1333" spans="4:9">
      <c r="D1333" s="49" t="s">
        <v>2146</v>
      </c>
      <c r="E1333" s="6"/>
      <c r="F1333" s="13" t="s">
        <v>2145</v>
      </c>
      <c r="G1333" s="6">
        <v>48</v>
      </c>
      <c r="H1333" s="5">
        <v>11.54</v>
      </c>
      <c r="I1333" s="4">
        <f t="shared" si="91"/>
        <v>0.24041666666666664</v>
      </c>
    </row>
    <row r="1334" spans="4:9">
      <c r="D1334" s="49" t="s">
        <v>2152</v>
      </c>
      <c r="E1334" s="6"/>
      <c r="F1334" s="13" t="s">
        <v>2151</v>
      </c>
      <c r="G1334" s="6">
        <v>48</v>
      </c>
      <c r="H1334" s="5">
        <v>22.75</v>
      </c>
      <c r="I1334" s="4">
        <f t="shared" si="91"/>
        <v>0.47395833333333331</v>
      </c>
    </row>
    <row r="1335" spans="4:9">
      <c r="D1335" s="49" t="s">
        <v>2156</v>
      </c>
      <c r="E1335" s="6"/>
      <c r="F1335" s="13" t="s">
        <v>2155</v>
      </c>
      <c r="G1335" s="6">
        <v>48</v>
      </c>
      <c r="H1335" s="5">
        <v>22.75</v>
      </c>
      <c r="I1335" s="4">
        <f t="shared" si="91"/>
        <v>0.47395833333333331</v>
      </c>
    </row>
    <row r="1336" spans="4:9">
      <c r="D1336" s="36" t="s">
        <v>2158</v>
      </c>
      <c r="E1336" s="3"/>
      <c r="F1336" s="14" t="s">
        <v>2157</v>
      </c>
      <c r="G1336" s="3">
        <v>24</v>
      </c>
      <c r="H1336" s="2">
        <v>21.16</v>
      </c>
      <c r="I1336" s="1">
        <f t="shared" si="91"/>
        <v>0.88166666666666671</v>
      </c>
    </row>
    <row r="1337" spans="4:9">
      <c r="D1337" s="36" t="s">
        <v>2150</v>
      </c>
      <c r="E1337" s="3"/>
      <c r="F1337" s="14" t="s">
        <v>2149</v>
      </c>
      <c r="G1337" s="3">
        <v>1</v>
      </c>
      <c r="H1337" s="2">
        <v>3</v>
      </c>
      <c r="I1337" s="1">
        <f>H1337/G1337</f>
        <v>3</v>
      </c>
    </row>
    <row r="1338" spans="4:9">
      <c r="D1338" s="36" t="s">
        <v>2154</v>
      </c>
      <c r="E1338" s="3"/>
      <c r="F1338" s="14" t="s">
        <v>2153</v>
      </c>
      <c r="G1338" s="3">
        <v>32</v>
      </c>
      <c r="H1338" s="2">
        <v>30.69</v>
      </c>
      <c r="I1338" s="1">
        <f>H1338/G1338</f>
        <v>0.95906250000000004</v>
      </c>
    </row>
    <row r="1339" spans="4:9">
      <c r="D1339" s="49" t="s">
        <v>2162</v>
      </c>
      <c r="E1339" s="6"/>
      <c r="F1339" s="13" t="s">
        <v>2161</v>
      </c>
      <c r="G1339" s="6">
        <v>16</v>
      </c>
      <c r="H1339" s="5">
        <v>33.51</v>
      </c>
      <c r="I1339" s="4">
        <f t="shared" ref="I1339:I1340" si="92">H1339/G1339</f>
        <v>2.0943749999999999</v>
      </c>
    </row>
    <row r="1340" spans="4:9">
      <c r="D1340" s="36" t="s">
        <v>2160</v>
      </c>
      <c r="E1340" s="3"/>
      <c r="F1340" s="14" t="s">
        <v>2159</v>
      </c>
      <c r="G1340" s="3">
        <v>4</v>
      </c>
      <c r="H1340" s="2">
        <v>26.46</v>
      </c>
      <c r="I1340" s="1">
        <f t="shared" si="92"/>
        <v>6.6150000000000002</v>
      </c>
    </row>
    <row r="1341" spans="4:9">
      <c r="D1341" s="36" t="s">
        <v>2164</v>
      </c>
      <c r="E1341" s="3"/>
      <c r="F1341" s="14" t="s">
        <v>2163</v>
      </c>
      <c r="G1341" s="3">
        <v>1</v>
      </c>
      <c r="H1341" s="2">
        <v>1</v>
      </c>
      <c r="I1341" s="1">
        <f>H1341/G1341</f>
        <v>1</v>
      </c>
    </row>
    <row r="1342" spans="4:9">
      <c r="D1342" s="36" t="s">
        <v>2169</v>
      </c>
      <c r="E1342" s="3"/>
      <c r="F1342" s="14" t="s">
        <v>2168</v>
      </c>
      <c r="G1342" s="3">
        <v>10</v>
      </c>
      <c r="H1342" s="2">
        <v>30.86</v>
      </c>
      <c r="I1342" s="1">
        <f>H1342/G1342</f>
        <v>3.0859999999999999</v>
      </c>
    </row>
    <row r="1343" spans="4:9">
      <c r="D1343" s="49">
        <v>69714198</v>
      </c>
      <c r="E1343" s="6"/>
      <c r="F1343" s="13" t="s">
        <v>2173</v>
      </c>
      <c r="G1343" s="6">
        <v>30</v>
      </c>
      <c r="H1343" s="5">
        <v>26.46</v>
      </c>
      <c r="I1343" s="4">
        <f t="shared" ref="I1343:I1344" si="93">H1343/G1343</f>
        <v>0.88200000000000001</v>
      </c>
    </row>
    <row r="1344" spans="4:9">
      <c r="D1344" s="36">
        <v>69714199</v>
      </c>
      <c r="E1344" s="3"/>
      <c r="F1344" s="14" t="s">
        <v>2172</v>
      </c>
      <c r="G1344" s="3">
        <v>30</v>
      </c>
      <c r="H1344" s="2">
        <v>26.46</v>
      </c>
      <c r="I1344" s="1">
        <f t="shared" si="93"/>
        <v>0.88200000000000001</v>
      </c>
    </row>
    <row r="1345" spans="4:9">
      <c r="D1345" s="36" t="s">
        <v>2179</v>
      </c>
      <c r="E1345" s="6"/>
      <c r="F1345" s="14" t="s">
        <v>2178</v>
      </c>
      <c r="G1345" s="3">
        <v>12</v>
      </c>
      <c r="H1345" s="2">
        <v>5.08</v>
      </c>
      <c r="I1345" s="1">
        <f t="shared" ref="I1345:I1351" si="94">H1345/G1345</f>
        <v>0.42333333333333334</v>
      </c>
    </row>
    <row r="1346" spans="4:9">
      <c r="D1346" s="36" t="s">
        <v>2181</v>
      </c>
      <c r="E1346" s="3"/>
      <c r="F1346" s="14" t="s">
        <v>2180</v>
      </c>
      <c r="G1346" s="3">
        <v>1</v>
      </c>
      <c r="H1346" s="2">
        <v>0.17</v>
      </c>
      <c r="I1346" s="1">
        <f t="shared" si="94"/>
        <v>0.17</v>
      </c>
    </row>
    <row r="1347" spans="4:9">
      <c r="D1347" s="36" t="s">
        <v>2177</v>
      </c>
      <c r="E1347" s="3"/>
      <c r="F1347" s="14" t="s">
        <v>2176</v>
      </c>
      <c r="G1347" s="3">
        <v>1</v>
      </c>
      <c r="H1347" s="2">
        <v>0.33</v>
      </c>
      <c r="I1347" s="1">
        <f t="shared" si="94"/>
        <v>0.33</v>
      </c>
    </row>
    <row r="1348" spans="4:9">
      <c r="D1348" s="36" t="s">
        <v>2183</v>
      </c>
      <c r="E1348" s="3"/>
      <c r="F1348" s="14" t="s">
        <v>2182</v>
      </c>
      <c r="G1348" s="3">
        <v>1</v>
      </c>
      <c r="H1348" s="2">
        <v>0.18</v>
      </c>
      <c r="I1348" s="1">
        <f t="shared" si="94"/>
        <v>0.18</v>
      </c>
    </row>
    <row r="1349" spans="4:9">
      <c r="D1349" s="36" t="s">
        <v>2188</v>
      </c>
      <c r="E1349" s="3"/>
      <c r="F1349" s="14" t="s">
        <v>2187</v>
      </c>
      <c r="G1349" s="3">
        <v>24</v>
      </c>
      <c r="H1349" s="2">
        <v>12.7</v>
      </c>
      <c r="I1349" s="1">
        <f t="shared" si="94"/>
        <v>0.52916666666666667</v>
      </c>
    </row>
    <row r="1350" spans="4:9">
      <c r="D1350" s="36" t="s">
        <v>2186</v>
      </c>
      <c r="E1350" s="3"/>
      <c r="F1350" s="14" t="s">
        <v>2185</v>
      </c>
      <c r="G1350" s="3">
        <v>24</v>
      </c>
      <c r="H1350" s="2">
        <v>12.7</v>
      </c>
      <c r="I1350" s="1">
        <f t="shared" si="94"/>
        <v>0.52916666666666667</v>
      </c>
    </row>
    <row r="1351" spans="4:9">
      <c r="D1351" s="36">
        <v>69761866</v>
      </c>
      <c r="E1351" s="3"/>
      <c r="F1351" s="14" t="s">
        <v>2189</v>
      </c>
      <c r="G1351" s="3">
        <v>90</v>
      </c>
      <c r="H1351" s="2">
        <v>19.05</v>
      </c>
      <c r="I1351" s="1">
        <f t="shared" si="94"/>
        <v>0.21166666666666667</v>
      </c>
    </row>
    <row r="1352" spans="4:9">
      <c r="D1352" s="36" t="s">
        <v>2191</v>
      </c>
      <c r="E1352" s="3"/>
      <c r="F1352" s="14" t="s">
        <v>2190</v>
      </c>
      <c r="G1352" s="3">
        <v>24</v>
      </c>
      <c r="H1352" s="2">
        <v>12.7</v>
      </c>
      <c r="I1352" s="1">
        <f t="shared" ref="I1352:I1357" si="95">H1352/G1352</f>
        <v>0.52916666666666667</v>
      </c>
    </row>
    <row r="1353" spans="4:9">
      <c r="D1353" s="36" t="s">
        <v>2194</v>
      </c>
      <c r="E1353" s="3"/>
      <c r="F1353" s="14" t="s">
        <v>2193</v>
      </c>
      <c r="G1353" s="3">
        <v>32</v>
      </c>
      <c r="H1353" s="2">
        <v>21.16</v>
      </c>
      <c r="I1353" s="1">
        <f t="shared" si="95"/>
        <v>0.66125</v>
      </c>
    </row>
    <row r="1354" spans="4:9">
      <c r="D1354" s="36" t="s">
        <v>2196</v>
      </c>
      <c r="E1354" s="3"/>
      <c r="F1354" s="14" t="s">
        <v>2195</v>
      </c>
      <c r="G1354" s="3">
        <v>36</v>
      </c>
      <c r="H1354" s="2">
        <v>18</v>
      </c>
      <c r="I1354" s="1">
        <f t="shared" si="95"/>
        <v>0.5</v>
      </c>
    </row>
    <row r="1355" spans="4:9">
      <c r="D1355" s="36" t="s">
        <v>2200</v>
      </c>
      <c r="E1355" s="6" t="s">
        <v>806</v>
      </c>
      <c r="F1355" s="14" t="s">
        <v>2199</v>
      </c>
      <c r="G1355" s="3">
        <v>50</v>
      </c>
      <c r="H1355" s="2">
        <v>8.24</v>
      </c>
      <c r="I1355" s="1">
        <f t="shared" si="95"/>
        <v>0.1648</v>
      </c>
    </row>
    <row r="1356" spans="4:9">
      <c r="D1356" s="36" t="s">
        <v>2198</v>
      </c>
      <c r="E1356" s="3"/>
      <c r="F1356" s="14" t="s">
        <v>2197</v>
      </c>
      <c r="G1356" s="3">
        <v>1</v>
      </c>
      <c r="H1356" s="2">
        <v>0.15</v>
      </c>
      <c r="I1356" s="1">
        <f t="shared" si="95"/>
        <v>0.15</v>
      </c>
    </row>
    <row r="1357" spans="4:9">
      <c r="D1357" s="36" t="s">
        <v>2204</v>
      </c>
      <c r="E1357" s="3"/>
      <c r="F1357" s="14" t="s">
        <v>2203</v>
      </c>
      <c r="G1357" s="3">
        <v>24</v>
      </c>
      <c r="H1357" s="2">
        <v>17.13</v>
      </c>
      <c r="I1357" s="1">
        <f t="shared" si="95"/>
        <v>0.71375</v>
      </c>
    </row>
    <row r="1358" spans="4:9">
      <c r="D1358" s="49" t="s">
        <v>2208</v>
      </c>
      <c r="E1358" s="6"/>
      <c r="F1358" s="13" t="s">
        <v>2207</v>
      </c>
      <c r="G1358" s="6">
        <v>9</v>
      </c>
      <c r="H1358" s="5">
        <v>8.35</v>
      </c>
      <c r="I1358" s="4">
        <f t="shared" ref="I1358:I1360" si="96">H1358/G1358</f>
        <v>0.9277777777777777</v>
      </c>
    </row>
    <row r="1359" spans="4:9">
      <c r="D1359" s="36" t="s">
        <v>2216</v>
      </c>
      <c r="E1359" s="3"/>
      <c r="F1359" s="14" t="s">
        <v>2215</v>
      </c>
      <c r="G1359" s="3">
        <v>48</v>
      </c>
      <c r="H1359" s="2">
        <v>17.13</v>
      </c>
      <c r="I1359" s="1">
        <f>H1359/G1359</f>
        <v>0.356875</v>
      </c>
    </row>
    <row r="1360" spans="4:9">
      <c r="D1360" s="36" t="s">
        <v>2206</v>
      </c>
      <c r="E1360" s="3"/>
      <c r="F1360" s="14" t="s">
        <v>2205</v>
      </c>
      <c r="G1360" s="3">
        <v>9</v>
      </c>
      <c r="H1360" s="2">
        <v>8.35</v>
      </c>
      <c r="I1360" s="1">
        <f t="shared" si="96"/>
        <v>0.9277777777777777</v>
      </c>
    </row>
    <row r="1361" spans="4:9">
      <c r="D1361" s="36" t="s">
        <v>2210</v>
      </c>
      <c r="E1361" s="3"/>
      <c r="F1361" s="14" t="s">
        <v>2209</v>
      </c>
      <c r="G1361" s="3">
        <v>12</v>
      </c>
      <c r="H1361" s="2">
        <v>17.940000000000001</v>
      </c>
      <c r="I1361" s="1">
        <f>H1361/G1361</f>
        <v>1.4950000000000001</v>
      </c>
    </row>
    <row r="1362" spans="4:9">
      <c r="D1362" s="36" t="s">
        <v>2213</v>
      </c>
      <c r="E1362" s="3"/>
      <c r="F1362" s="14" t="s">
        <v>2212</v>
      </c>
      <c r="G1362" s="3">
        <v>50</v>
      </c>
      <c r="H1362" s="2">
        <v>38.58</v>
      </c>
      <c r="I1362" s="1">
        <f>H1362/G1362</f>
        <v>0.77159999999999995</v>
      </c>
    </row>
    <row r="1363" spans="4:9">
      <c r="D1363" s="36">
        <v>69678220</v>
      </c>
      <c r="E1363" s="14"/>
      <c r="F1363" s="14" t="s">
        <v>2220</v>
      </c>
      <c r="G1363" s="3">
        <v>24</v>
      </c>
      <c r="H1363" s="2">
        <v>14.85</v>
      </c>
      <c r="I1363" s="1">
        <f>H1363/G1363</f>
        <v>0.61875000000000002</v>
      </c>
    </row>
    <row r="1364" spans="4:9">
      <c r="D1364" s="36">
        <v>68786597</v>
      </c>
      <c r="E1364" s="3"/>
      <c r="F1364" s="14" t="s">
        <v>2222</v>
      </c>
      <c r="G1364" s="3">
        <v>12</v>
      </c>
      <c r="H1364" s="2">
        <v>1.32</v>
      </c>
      <c r="I1364" s="1">
        <f>H1364/G1364</f>
        <v>0.11</v>
      </c>
    </row>
    <row r="1365" spans="4:9">
      <c r="D1365" s="49" t="s">
        <v>2226</v>
      </c>
      <c r="E1365" s="6"/>
      <c r="F1365" s="13" t="s">
        <v>2225</v>
      </c>
      <c r="G1365" s="6">
        <v>1</v>
      </c>
      <c r="H1365" s="5">
        <v>0.01</v>
      </c>
      <c r="I1365" s="4">
        <f t="shared" ref="I1365:I1366" si="97">H1365/G1365</f>
        <v>0.01</v>
      </c>
    </row>
    <row r="1366" spans="4:9">
      <c r="D1366" s="36" t="s">
        <v>2224</v>
      </c>
      <c r="E1366" s="3"/>
      <c r="F1366" s="14" t="s">
        <v>2223</v>
      </c>
      <c r="G1366" s="3">
        <v>50</v>
      </c>
      <c r="H1366" s="2">
        <v>0.88</v>
      </c>
      <c r="I1366" s="1">
        <f t="shared" si="97"/>
        <v>1.7600000000000001E-2</v>
      </c>
    </row>
    <row r="1367" spans="4:9">
      <c r="D1367" s="36" t="s">
        <v>2228</v>
      </c>
      <c r="E1367" s="3"/>
      <c r="F1367" s="14" t="s">
        <v>2227</v>
      </c>
      <c r="G1367" s="3">
        <v>48</v>
      </c>
      <c r="H1367" s="2">
        <v>16.3</v>
      </c>
      <c r="I1367" s="1">
        <f t="shared" ref="I1367:I1372" si="98">H1367/G1367</f>
        <v>0.33958333333333335</v>
      </c>
    </row>
    <row r="1368" spans="4:9">
      <c r="D1368" s="36">
        <v>2103011672</v>
      </c>
      <c r="E1368" s="3"/>
      <c r="F1368" s="14" t="s">
        <v>2229</v>
      </c>
      <c r="G1368" s="3">
        <v>54</v>
      </c>
      <c r="H1368" s="2">
        <v>13.69</v>
      </c>
      <c r="I1368" s="1">
        <f t="shared" si="98"/>
        <v>0.25351851851851853</v>
      </c>
    </row>
    <row r="1369" spans="4:9">
      <c r="D1369" s="36" t="s">
        <v>2232</v>
      </c>
      <c r="E1369" s="14"/>
      <c r="F1369" s="14" t="s">
        <v>2231</v>
      </c>
      <c r="G1369" s="3">
        <v>1</v>
      </c>
      <c r="H1369" s="2">
        <v>0.66</v>
      </c>
      <c r="I1369" s="1">
        <f t="shared" si="98"/>
        <v>0.66</v>
      </c>
    </row>
    <row r="1370" spans="4:9">
      <c r="D1370" s="36" t="s">
        <v>2235</v>
      </c>
      <c r="E1370" s="3"/>
      <c r="F1370" s="14" t="s">
        <v>2234</v>
      </c>
      <c r="G1370" s="3">
        <v>1</v>
      </c>
      <c r="H1370" s="2">
        <v>0.66</v>
      </c>
      <c r="I1370" s="1">
        <f t="shared" si="98"/>
        <v>0.66</v>
      </c>
    </row>
    <row r="1371" spans="4:9">
      <c r="D1371" s="36" t="s">
        <v>2239</v>
      </c>
      <c r="E1371" s="3"/>
      <c r="F1371" s="14" t="s">
        <v>2238</v>
      </c>
      <c r="G1371" s="3">
        <v>16</v>
      </c>
      <c r="H1371" s="2">
        <v>7.2</v>
      </c>
      <c r="I1371" s="1">
        <f t="shared" si="98"/>
        <v>0.45</v>
      </c>
    </row>
    <row r="1372" spans="4:9">
      <c r="D1372" s="11">
        <v>69678219</v>
      </c>
      <c r="E1372" s="3"/>
      <c r="F1372" s="3" t="s">
        <v>2240</v>
      </c>
      <c r="G1372" s="3">
        <v>24</v>
      </c>
      <c r="H1372" s="2">
        <v>13.33</v>
      </c>
      <c r="I1372" s="1">
        <f t="shared" si="98"/>
        <v>0.55541666666666667</v>
      </c>
    </row>
    <row r="1373" spans="4:9">
      <c r="D1373" s="36" t="s">
        <v>2242</v>
      </c>
      <c r="E1373" s="3"/>
      <c r="F1373" s="14" t="s">
        <v>2241</v>
      </c>
      <c r="G1373" s="3">
        <v>16</v>
      </c>
      <c r="H1373" s="2">
        <v>7.2</v>
      </c>
      <c r="I1373" s="1">
        <f t="shared" ref="I1373:I1378" si="99">H1373/G1373</f>
        <v>0.45</v>
      </c>
    </row>
    <row r="1374" spans="4:9">
      <c r="D1374" s="36" t="s">
        <v>2244</v>
      </c>
      <c r="E1374" s="3"/>
      <c r="F1374" s="14" t="s">
        <v>2243</v>
      </c>
      <c r="G1374" s="3">
        <v>1</v>
      </c>
      <c r="H1374" s="2">
        <v>0.22</v>
      </c>
      <c r="I1374" s="1">
        <f t="shared" si="99"/>
        <v>0.22</v>
      </c>
    </row>
    <row r="1375" spans="4:9">
      <c r="D1375" s="36" t="s">
        <v>2246</v>
      </c>
      <c r="E1375" s="3"/>
      <c r="F1375" s="14" t="s">
        <v>2245</v>
      </c>
      <c r="G1375" s="3">
        <v>1</v>
      </c>
      <c r="H1375" s="2">
        <v>0.1</v>
      </c>
      <c r="I1375" s="1">
        <f t="shared" si="99"/>
        <v>0.1</v>
      </c>
    </row>
    <row r="1376" spans="4:9">
      <c r="D1376" s="72" t="s">
        <v>2249</v>
      </c>
      <c r="E1376" s="3"/>
      <c r="F1376" s="73" t="s">
        <v>2248</v>
      </c>
      <c r="G1376" s="3">
        <v>6</v>
      </c>
      <c r="H1376" s="2">
        <v>5.29</v>
      </c>
      <c r="I1376" s="1">
        <f t="shared" si="99"/>
        <v>0.88166666666666671</v>
      </c>
    </row>
    <row r="1377" spans="4:9">
      <c r="D1377" s="36">
        <v>400000542</v>
      </c>
      <c r="E1377" s="3"/>
      <c r="F1377" s="14" t="s">
        <v>2251</v>
      </c>
      <c r="G1377" s="3">
        <v>10</v>
      </c>
      <c r="H1377" s="2">
        <v>17</v>
      </c>
      <c r="I1377" s="1">
        <f t="shared" si="99"/>
        <v>1.7</v>
      </c>
    </row>
    <row r="1378" spans="4:9">
      <c r="D1378" s="36" t="s">
        <v>2255</v>
      </c>
      <c r="E1378" s="3"/>
      <c r="F1378" s="14" t="s">
        <v>2254</v>
      </c>
      <c r="G1378" s="3">
        <v>1</v>
      </c>
      <c r="H1378" s="2">
        <v>0.06</v>
      </c>
      <c r="I1378" s="1">
        <f t="shared" si="99"/>
        <v>0.06</v>
      </c>
    </row>
    <row r="1379" spans="4:9">
      <c r="D1379" s="36">
        <v>68441512</v>
      </c>
      <c r="E1379" s="3"/>
      <c r="F1379" s="14" t="s">
        <v>2259</v>
      </c>
      <c r="G1379" s="3">
        <v>12</v>
      </c>
      <c r="H1379" s="2">
        <v>2.57</v>
      </c>
      <c r="I1379" s="1">
        <f>H1379/G1379</f>
        <v>0.21416666666666664</v>
      </c>
    </row>
    <row r="1380" spans="4:9">
      <c r="D1380" s="36">
        <v>69678225</v>
      </c>
      <c r="E1380" s="3"/>
      <c r="F1380" s="14" t="s">
        <v>2279</v>
      </c>
      <c r="G1380" s="3">
        <v>24</v>
      </c>
      <c r="H1380" s="2">
        <v>14.85</v>
      </c>
      <c r="I1380" s="1">
        <f>H1380/G1380</f>
        <v>0.61875000000000002</v>
      </c>
    </row>
  </sheetData>
  <mergeCells count="2">
    <mergeCell ref="F1:F2"/>
    <mergeCell ref="H3:I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J137"/>
  <sheetViews>
    <sheetView topLeftCell="C1" workbookViewId="0">
      <selection activeCell="D4" sqref="D4"/>
    </sheetView>
  </sheetViews>
  <sheetFormatPr baseColWidth="10" defaultRowHeight="14.4"/>
  <cols>
    <col min="1" max="1" width="18.33203125" bestFit="1" customWidth="1"/>
    <col min="2" max="2" width="45.6640625" bestFit="1" customWidth="1"/>
    <col min="3" max="5" width="17.44140625" bestFit="1" customWidth="1"/>
    <col min="8" max="8" width="13" customWidth="1"/>
  </cols>
  <sheetData>
    <row r="1" spans="1:10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0">
      <c r="A2">
        <v>60000210</v>
      </c>
      <c r="B2" t="s">
        <v>148</v>
      </c>
      <c r="C2" s="82">
        <v>245</v>
      </c>
      <c r="D2" s="21">
        <v>0.77200000000000002</v>
      </c>
      <c r="E2" s="82">
        <v>189.14000000000001</v>
      </c>
      <c r="G2" s="21">
        <f>SUM(E:E)</f>
        <v>2213.6251388888886</v>
      </c>
      <c r="H2" s="21">
        <f>CONVERT(G2,"lbm","cwt")</f>
        <v>22.136251388888887</v>
      </c>
    </row>
    <row r="3" spans="1:10">
      <c r="A3">
        <v>60000209</v>
      </c>
      <c r="B3" t="s">
        <v>147</v>
      </c>
      <c r="C3" s="82">
        <v>273</v>
      </c>
      <c r="D3" s="21">
        <v>0.77200000000000002</v>
      </c>
      <c r="E3" s="82">
        <v>210.756</v>
      </c>
    </row>
    <row r="4" spans="1:10">
      <c r="A4">
        <v>10010020002</v>
      </c>
      <c r="B4" t="s">
        <v>144</v>
      </c>
      <c r="C4" s="82">
        <v>31</v>
      </c>
      <c r="D4" s="21">
        <v>0.88200000000000001</v>
      </c>
      <c r="E4" s="82">
        <v>27.341999999999999</v>
      </c>
    </row>
    <row r="5" spans="1:10" ht="15" thickBot="1">
      <c r="A5">
        <v>10020010007</v>
      </c>
      <c r="B5" t="s">
        <v>143</v>
      </c>
      <c r="C5" s="82">
        <v>36</v>
      </c>
      <c r="D5" s="21">
        <v>0.88200000000000001</v>
      </c>
      <c r="E5" s="82">
        <v>31.751999999999999</v>
      </c>
      <c r="G5" s="23" t="s">
        <v>1095</v>
      </c>
      <c r="H5" s="24" t="s">
        <v>1096</v>
      </c>
      <c r="I5" s="23" t="s">
        <v>1106</v>
      </c>
      <c r="J5" s="27"/>
    </row>
    <row r="6" spans="1:10" ht="15" thickTop="1">
      <c r="A6">
        <v>10010010010</v>
      </c>
      <c r="B6" t="s">
        <v>146</v>
      </c>
      <c r="C6" s="82">
        <v>128</v>
      </c>
      <c r="D6" s="21">
        <v>0.88200000000000001</v>
      </c>
      <c r="E6" s="82">
        <v>112.896</v>
      </c>
      <c r="G6" s="25" t="s">
        <v>1097</v>
      </c>
      <c r="H6" s="25">
        <v>44</v>
      </c>
      <c r="I6" s="26">
        <f>Tabla24[QUINTALES]/H6</f>
        <v>0.5030966224747474</v>
      </c>
      <c r="J6" s="21"/>
    </row>
    <row r="7" spans="1:10">
      <c r="A7">
        <v>586703</v>
      </c>
      <c r="B7" t="s">
        <v>2257</v>
      </c>
      <c r="C7" s="82">
        <v>12</v>
      </c>
      <c r="D7" s="21">
        <v>0.12833333333333333</v>
      </c>
      <c r="E7" s="82">
        <v>1.54</v>
      </c>
      <c r="J7" s="21"/>
    </row>
    <row r="8" spans="1:10" ht="15" thickBot="1">
      <c r="A8">
        <v>620821</v>
      </c>
      <c r="B8" t="s">
        <v>1478</v>
      </c>
      <c r="C8" s="82">
        <v>30</v>
      </c>
      <c r="D8" s="21">
        <v>0.9770833333333333</v>
      </c>
      <c r="E8" s="82">
        <v>29.3125</v>
      </c>
      <c r="G8" s="23" t="s">
        <v>1095</v>
      </c>
      <c r="H8" s="24" t="s">
        <v>1096</v>
      </c>
      <c r="I8" s="23" t="s">
        <v>1106</v>
      </c>
      <c r="J8" s="21"/>
    </row>
    <row r="9" spans="1:10" ht="15" thickTop="1">
      <c r="A9">
        <v>620845</v>
      </c>
      <c r="B9" t="s">
        <v>1627</v>
      </c>
      <c r="C9" s="82">
        <v>12</v>
      </c>
      <c r="D9" s="21">
        <v>1.6555555555555557</v>
      </c>
      <c r="E9" s="82">
        <v>19.866666666666667</v>
      </c>
      <c r="G9" s="25" t="s">
        <v>1098</v>
      </c>
      <c r="H9" s="25">
        <v>44</v>
      </c>
      <c r="I9" s="26">
        <f>Tabla24[QUINTALES]/H9</f>
        <v>0.5030966224747474</v>
      </c>
      <c r="J9" s="21"/>
    </row>
    <row r="10" spans="1:10">
      <c r="A10">
        <v>621330</v>
      </c>
      <c r="B10" t="s">
        <v>652</v>
      </c>
      <c r="C10" s="82">
        <v>5</v>
      </c>
      <c r="D10" s="21">
        <v>0.8833333333333333</v>
      </c>
      <c r="E10" s="82">
        <v>4.4166666666666661</v>
      </c>
      <c r="J10" s="21"/>
    </row>
    <row r="11" spans="1:10" ht="15" thickBot="1">
      <c r="A11">
        <v>640959</v>
      </c>
      <c r="B11" t="s">
        <v>216</v>
      </c>
      <c r="C11" s="82">
        <v>7</v>
      </c>
      <c r="D11" s="21">
        <v>2.65</v>
      </c>
      <c r="E11" s="82">
        <v>18.55</v>
      </c>
      <c r="G11" s="23" t="s">
        <v>1095</v>
      </c>
      <c r="H11" s="24" t="s">
        <v>1096</v>
      </c>
      <c r="I11" s="23" t="s">
        <v>1106</v>
      </c>
      <c r="J11" s="21"/>
    </row>
    <row r="12" spans="1:10" ht="15" thickTop="1">
      <c r="A12">
        <v>60000094</v>
      </c>
      <c r="B12" t="s">
        <v>1387</v>
      </c>
      <c r="C12" s="82">
        <v>90</v>
      </c>
      <c r="D12" s="21">
        <v>1.76</v>
      </c>
      <c r="E12" s="82">
        <v>158.4</v>
      </c>
      <c r="G12" s="25" t="s">
        <v>1099</v>
      </c>
      <c r="H12" s="25">
        <v>44</v>
      </c>
      <c r="I12" s="26">
        <f>Tabla24[QUINTALES]/H12</f>
        <v>0.5030966224747474</v>
      </c>
      <c r="J12" s="21"/>
    </row>
    <row r="13" spans="1:10">
      <c r="A13">
        <v>19640306</v>
      </c>
      <c r="B13" t="s">
        <v>315</v>
      </c>
      <c r="C13" s="82">
        <v>1</v>
      </c>
      <c r="D13" s="21">
        <v>0.79400000000000004</v>
      </c>
      <c r="E13" s="82">
        <v>0.79400000000000004</v>
      </c>
      <c r="J13" s="21"/>
    </row>
    <row r="14" spans="1:10" ht="15" thickBot="1">
      <c r="A14">
        <v>640676</v>
      </c>
      <c r="B14" t="s">
        <v>218</v>
      </c>
      <c r="C14" s="82">
        <v>6</v>
      </c>
      <c r="D14" s="21">
        <v>2.65</v>
      </c>
      <c r="E14" s="82">
        <v>15.899999999999999</v>
      </c>
      <c r="G14" s="23" t="s">
        <v>1095</v>
      </c>
      <c r="H14" s="24" t="s">
        <v>1096</v>
      </c>
      <c r="I14" s="23" t="s">
        <v>1106</v>
      </c>
      <c r="J14" s="21"/>
    </row>
    <row r="15" spans="1:10" ht="15" thickTop="1">
      <c r="A15">
        <v>642557</v>
      </c>
      <c r="B15" t="s">
        <v>220</v>
      </c>
      <c r="C15" s="82">
        <v>1</v>
      </c>
      <c r="D15" s="21">
        <v>2.65</v>
      </c>
      <c r="E15" s="82">
        <v>2.65</v>
      </c>
      <c r="G15" s="25" t="s">
        <v>1100</v>
      </c>
      <c r="H15" s="25">
        <v>44</v>
      </c>
      <c r="I15" s="26">
        <f>Tabla24[QUINTALES]/H15</f>
        <v>0.5030966224747474</v>
      </c>
    </row>
    <row r="16" spans="1:10">
      <c r="A16">
        <v>640683</v>
      </c>
      <c r="B16" t="s">
        <v>215</v>
      </c>
      <c r="C16" s="82">
        <v>1</v>
      </c>
      <c r="D16" s="21">
        <v>2.65</v>
      </c>
      <c r="E16" s="82">
        <v>2.65</v>
      </c>
    </row>
    <row r="17" spans="1:9" ht="15" thickBot="1">
      <c r="A17">
        <v>620678</v>
      </c>
      <c r="B17" t="s">
        <v>654</v>
      </c>
      <c r="C17" s="82">
        <v>14</v>
      </c>
      <c r="D17" s="21">
        <v>1</v>
      </c>
      <c r="E17" s="82">
        <v>14</v>
      </c>
      <c r="G17" s="23" t="s">
        <v>1095</v>
      </c>
      <c r="H17" s="24" t="s">
        <v>1096</v>
      </c>
      <c r="I17" s="23" t="s">
        <v>1106</v>
      </c>
    </row>
    <row r="18" spans="1:9" ht="15" thickTop="1">
      <c r="A18">
        <v>576003</v>
      </c>
      <c r="B18" t="s">
        <v>2084</v>
      </c>
      <c r="C18" s="82">
        <v>97</v>
      </c>
      <c r="D18" s="21">
        <v>0.11944444444444444</v>
      </c>
      <c r="E18" s="82">
        <v>11.58611111111111</v>
      </c>
      <c r="G18" s="25" t="s">
        <v>1101</v>
      </c>
      <c r="H18" s="25">
        <v>44</v>
      </c>
      <c r="I18" s="26">
        <f>Tabla24[QUINTALES]/H18</f>
        <v>0.5030966224747474</v>
      </c>
    </row>
    <row r="19" spans="1:9">
      <c r="A19">
        <v>10020040002</v>
      </c>
      <c r="B19" t="s">
        <v>145</v>
      </c>
      <c r="C19" s="82">
        <v>12</v>
      </c>
      <c r="D19" s="21">
        <v>0.88200000000000001</v>
      </c>
      <c r="E19" s="82">
        <v>10.584</v>
      </c>
    </row>
    <row r="20" spans="1:9" ht="15" thickBot="1">
      <c r="A20">
        <v>621491</v>
      </c>
      <c r="B20" t="s">
        <v>2258</v>
      </c>
      <c r="C20" s="82">
        <v>1</v>
      </c>
      <c r="D20" s="21">
        <v>0.8833333333333333</v>
      </c>
      <c r="E20" s="82">
        <v>0.8833333333333333</v>
      </c>
      <c r="G20" s="23" t="s">
        <v>1095</v>
      </c>
      <c r="H20" s="24" t="s">
        <v>1096</v>
      </c>
      <c r="I20" s="23" t="s">
        <v>1106</v>
      </c>
    </row>
    <row r="21" spans="1:9" ht="15" thickTop="1">
      <c r="A21">
        <v>680078</v>
      </c>
      <c r="B21" t="s">
        <v>1251</v>
      </c>
      <c r="C21" s="82">
        <v>6</v>
      </c>
      <c r="D21" s="21">
        <v>8.3333333333333329E-2</v>
      </c>
      <c r="E21" s="82">
        <v>0.5</v>
      </c>
      <c r="G21" s="25" t="s">
        <v>1102</v>
      </c>
      <c r="H21" s="25">
        <v>44</v>
      </c>
      <c r="I21" s="26">
        <f>Tabla10[QUINTALES]/H21</f>
        <v>0.82266834627525287</v>
      </c>
    </row>
    <row r="22" spans="1:9">
      <c r="A22">
        <v>640690</v>
      </c>
      <c r="B22" t="s">
        <v>219</v>
      </c>
      <c r="C22" s="82">
        <v>6</v>
      </c>
      <c r="D22" s="21">
        <v>2.65</v>
      </c>
      <c r="E22" s="82">
        <v>15.899999999999999</v>
      </c>
    </row>
    <row r="23" spans="1:9" ht="15" thickBot="1">
      <c r="A23">
        <v>641833</v>
      </c>
      <c r="B23" t="s">
        <v>217</v>
      </c>
      <c r="C23" s="82">
        <v>1</v>
      </c>
      <c r="D23" s="21">
        <v>2.65</v>
      </c>
      <c r="E23" s="82">
        <v>2.65</v>
      </c>
      <c r="G23" s="23" t="s">
        <v>1095</v>
      </c>
      <c r="H23" s="24" t="s">
        <v>1096</v>
      </c>
      <c r="I23" s="23" t="s">
        <v>1106</v>
      </c>
    </row>
    <row r="24" spans="1:9" ht="15" thickTop="1">
      <c r="A24">
        <v>642236</v>
      </c>
      <c r="B24" t="s">
        <v>221</v>
      </c>
      <c r="C24" s="82">
        <v>1</v>
      </c>
      <c r="D24" s="21">
        <v>2.65</v>
      </c>
      <c r="E24" s="82">
        <v>2.65</v>
      </c>
      <c r="G24" s="25" t="s">
        <v>1103</v>
      </c>
      <c r="H24" s="25">
        <v>30</v>
      </c>
      <c r="I24" s="26">
        <f>Tabla24[QUINTALES]/H24</f>
        <v>0.73787504629629619</v>
      </c>
    </row>
    <row r="25" spans="1:9">
      <c r="A25">
        <v>69584500</v>
      </c>
      <c r="B25" t="s">
        <v>2166</v>
      </c>
      <c r="C25" s="82">
        <v>377</v>
      </c>
      <c r="D25" s="21">
        <v>9.9124999999999991E-2</v>
      </c>
      <c r="E25" s="82">
        <v>37.370124999999994</v>
      </c>
    </row>
    <row r="26" spans="1:9">
      <c r="A26">
        <v>68667239</v>
      </c>
      <c r="B26" t="s">
        <v>1398</v>
      </c>
      <c r="C26" s="82">
        <v>2</v>
      </c>
      <c r="D26" s="21">
        <v>0.83833333333333337</v>
      </c>
      <c r="E26" s="82">
        <v>1.6766666666666667</v>
      </c>
    </row>
    <row r="27" spans="1:9" ht="15" thickBot="1">
      <c r="A27">
        <v>5460400</v>
      </c>
      <c r="B27" t="s">
        <v>2133</v>
      </c>
      <c r="C27" s="82">
        <v>84</v>
      </c>
      <c r="D27" s="21">
        <v>0.75</v>
      </c>
      <c r="E27" s="82">
        <v>63</v>
      </c>
      <c r="G27" s="23" t="s">
        <v>1095</v>
      </c>
      <c r="H27" s="24" t="s">
        <v>1096</v>
      </c>
      <c r="I27" s="23" t="s">
        <v>1106</v>
      </c>
    </row>
    <row r="28" spans="1:9" ht="15" thickTop="1">
      <c r="A28">
        <v>60000205</v>
      </c>
      <c r="B28" t="s">
        <v>141</v>
      </c>
      <c r="C28" s="82">
        <v>25</v>
      </c>
      <c r="D28" s="21">
        <v>0.88000000000000012</v>
      </c>
      <c r="E28" s="82">
        <v>22.000000000000004</v>
      </c>
      <c r="G28" s="25" t="s">
        <v>1104</v>
      </c>
      <c r="H28" s="25">
        <v>65</v>
      </c>
      <c r="I28" s="26">
        <f>Tabla24[QUINTALES]/H28</f>
        <v>0.34055771367521365</v>
      </c>
    </row>
    <row r="29" spans="1:9">
      <c r="A29">
        <v>60000215</v>
      </c>
      <c r="B29" t="s">
        <v>1053</v>
      </c>
      <c r="C29" s="82">
        <v>3</v>
      </c>
      <c r="D29" s="21">
        <v>0.66249999999999998</v>
      </c>
      <c r="E29" s="82">
        <v>1.9874999999999998</v>
      </c>
    </row>
    <row r="30" spans="1:9" ht="15" thickBot="1">
      <c r="A30">
        <v>69717303</v>
      </c>
      <c r="B30" t="s">
        <v>1942</v>
      </c>
      <c r="C30" s="82">
        <v>31</v>
      </c>
      <c r="D30" s="21">
        <v>0.25</v>
      </c>
      <c r="E30" s="82">
        <v>7.75</v>
      </c>
      <c r="G30" s="23" t="s">
        <v>1095</v>
      </c>
      <c r="H30" s="24" t="s">
        <v>1096</v>
      </c>
      <c r="I30" s="23" t="s">
        <v>1106</v>
      </c>
    </row>
    <row r="31" spans="1:9" ht="15" thickTop="1">
      <c r="A31">
        <v>69584486</v>
      </c>
      <c r="B31" t="s">
        <v>1834</v>
      </c>
      <c r="C31" s="82">
        <v>1</v>
      </c>
      <c r="D31" s="21">
        <v>1.190625</v>
      </c>
      <c r="E31" s="82">
        <v>1.190625</v>
      </c>
      <c r="G31" s="25" t="s">
        <v>1105</v>
      </c>
      <c r="H31" s="25">
        <v>55</v>
      </c>
      <c r="I31" s="26">
        <f>Tabla24[QUINTALES]/H31</f>
        <v>0.40247729797979792</v>
      </c>
    </row>
    <row r="32" spans="1:9">
      <c r="A32">
        <v>69780941</v>
      </c>
      <c r="B32" t="s">
        <v>1951</v>
      </c>
      <c r="C32" s="82">
        <v>1488</v>
      </c>
      <c r="D32" s="21">
        <v>0.19833333333333333</v>
      </c>
      <c r="E32" s="82">
        <v>295.12</v>
      </c>
    </row>
    <row r="33" spans="1:9" ht="15" thickBot="1">
      <c r="A33">
        <v>69761870</v>
      </c>
      <c r="B33" t="s">
        <v>1972</v>
      </c>
      <c r="C33" s="82">
        <v>96</v>
      </c>
      <c r="D33" s="21">
        <v>0.19833333333333333</v>
      </c>
      <c r="E33" s="82">
        <v>19.04</v>
      </c>
      <c r="G33" s="23" t="s">
        <v>1095</v>
      </c>
      <c r="H33" s="24" t="s">
        <v>1096</v>
      </c>
      <c r="I33" s="23" t="s">
        <v>1106</v>
      </c>
    </row>
    <row r="34" spans="1:9" ht="15" thickTop="1">
      <c r="A34">
        <v>69761861</v>
      </c>
      <c r="B34" t="s">
        <v>1987</v>
      </c>
      <c r="C34" s="82">
        <v>39</v>
      </c>
      <c r="D34" s="21">
        <v>0.19833333333333333</v>
      </c>
      <c r="E34" s="82">
        <v>7.7350000000000003</v>
      </c>
      <c r="G34" s="25" t="s">
        <v>1848</v>
      </c>
      <c r="H34" s="25">
        <v>100</v>
      </c>
      <c r="I34" s="26">
        <f>Tabla24[QUINTALES]/H34</f>
        <v>0.22136251388888886</v>
      </c>
    </row>
    <row r="35" spans="1:9">
      <c r="A35">
        <v>68798140</v>
      </c>
      <c r="B35" t="s">
        <v>1992</v>
      </c>
      <c r="C35" s="82">
        <v>5</v>
      </c>
      <c r="D35" s="21">
        <v>0.1275</v>
      </c>
      <c r="E35" s="82">
        <v>0.63749999999999996</v>
      </c>
    </row>
    <row r="36" spans="1:9">
      <c r="A36">
        <v>680092</v>
      </c>
      <c r="B36" t="s">
        <v>1250</v>
      </c>
      <c r="C36" s="82">
        <v>6</v>
      </c>
      <c r="D36" s="21">
        <v>8.3333333333333329E-2</v>
      </c>
      <c r="E36" s="82">
        <v>0.5</v>
      </c>
    </row>
    <row r="37" spans="1:9">
      <c r="A37">
        <v>68798139</v>
      </c>
      <c r="B37" t="s">
        <v>1993</v>
      </c>
      <c r="C37" s="82">
        <v>25</v>
      </c>
      <c r="D37" s="21">
        <v>0.1275</v>
      </c>
      <c r="E37" s="82">
        <v>3.1875</v>
      </c>
    </row>
    <row r="38" spans="1:9">
      <c r="A38">
        <v>69761868</v>
      </c>
      <c r="B38" t="s">
        <v>2024</v>
      </c>
      <c r="C38" s="82">
        <v>72</v>
      </c>
      <c r="D38" s="21">
        <v>0.19843750000000002</v>
      </c>
      <c r="E38" s="82">
        <v>14.287500000000001</v>
      </c>
    </row>
    <row r="39" spans="1:9">
      <c r="A39">
        <v>69678222</v>
      </c>
      <c r="B39" t="s">
        <v>2088</v>
      </c>
      <c r="C39" s="82">
        <v>11</v>
      </c>
      <c r="D39" s="21">
        <v>0.5541666666666667</v>
      </c>
      <c r="E39" s="82">
        <v>6.0958333333333332</v>
      </c>
    </row>
    <row r="40" spans="1:9">
      <c r="A40" t="s">
        <v>1261</v>
      </c>
      <c r="B40" t="s">
        <v>1513</v>
      </c>
      <c r="C40" s="82">
        <v>66</v>
      </c>
      <c r="D40" s="21">
        <v>0.36249999999999999</v>
      </c>
      <c r="E40" s="82">
        <v>23.925000000000001</v>
      </c>
    </row>
    <row r="41" spans="1:9">
      <c r="A41">
        <v>69761865</v>
      </c>
      <c r="B41" t="s">
        <v>2134</v>
      </c>
      <c r="C41" s="82">
        <v>12</v>
      </c>
      <c r="D41" s="21">
        <v>0.19843750000000002</v>
      </c>
      <c r="E41" s="82">
        <v>2.3812500000000001</v>
      </c>
    </row>
    <row r="42" spans="1:9">
      <c r="A42" t="s">
        <v>1525</v>
      </c>
      <c r="B42" t="s">
        <v>1524</v>
      </c>
      <c r="C42" s="82">
        <v>7</v>
      </c>
      <c r="D42" s="21">
        <v>0.9</v>
      </c>
      <c r="E42" s="82">
        <v>6.3</v>
      </c>
    </row>
    <row r="43" spans="1:9">
      <c r="A43" t="s">
        <v>2146</v>
      </c>
      <c r="B43" t="s">
        <v>2145</v>
      </c>
      <c r="C43" s="82">
        <v>98</v>
      </c>
      <c r="D43" s="21">
        <v>0.24041666666666664</v>
      </c>
      <c r="E43" s="82">
        <v>23.560833333333331</v>
      </c>
    </row>
    <row r="44" spans="1:9">
      <c r="A44" t="s">
        <v>1277</v>
      </c>
      <c r="B44" t="s">
        <v>1276</v>
      </c>
      <c r="C44" s="82">
        <v>28</v>
      </c>
      <c r="D44" s="21">
        <v>0.22041666666666668</v>
      </c>
      <c r="E44" s="82">
        <v>6.1716666666666669</v>
      </c>
    </row>
    <row r="45" spans="1:9">
      <c r="A45" t="s">
        <v>706</v>
      </c>
      <c r="B45" t="s">
        <v>705</v>
      </c>
      <c r="C45" s="82">
        <v>7</v>
      </c>
      <c r="D45" s="21">
        <v>0.70833333333333337</v>
      </c>
      <c r="E45" s="82">
        <v>4.9583333333333339</v>
      </c>
    </row>
    <row r="46" spans="1:9">
      <c r="A46">
        <v>69678220</v>
      </c>
      <c r="B46" t="s">
        <v>2220</v>
      </c>
      <c r="C46" s="82">
        <v>2</v>
      </c>
      <c r="D46" s="21">
        <v>0.61875000000000002</v>
      </c>
      <c r="E46" s="82">
        <v>1.2375</v>
      </c>
    </row>
    <row r="47" spans="1:9">
      <c r="A47" t="s">
        <v>431</v>
      </c>
      <c r="B47" t="s">
        <v>430</v>
      </c>
      <c r="C47" s="82">
        <v>10</v>
      </c>
      <c r="D47" s="21">
        <v>2.1166666666666667</v>
      </c>
      <c r="E47" s="82">
        <v>21.166666666666668</v>
      </c>
    </row>
    <row r="48" spans="1:9">
      <c r="A48" t="s">
        <v>429</v>
      </c>
      <c r="B48" t="s">
        <v>428</v>
      </c>
      <c r="C48" s="82">
        <v>4</v>
      </c>
      <c r="D48" s="21">
        <v>2.1166666666666667</v>
      </c>
      <c r="E48" s="82">
        <v>8.4666666666666668</v>
      </c>
    </row>
    <row r="49" spans="1:5">
      <c r="A49">
        <v>69678219</v>
      </c>
      <c r="B49" t="s">
        <v>2240</v>
      </c>
      <c r="C49" s="82">
        <v>8</v>
      </c>
      <c r="D49" s="21">
        <v>0.55541666666666667</v>
      </c>
      <c r="E49" s="82">
        <v>4.4433333333333334</v>
      </c>
    </row>
    <row r="50" spans="1:5">
      <c r="A50" t="s">
        <v>1355</v>
      </c>
      <c r="B50" t="s">
        <v>1354</v>
      </c>
      <c r="C50" s="82">
        <v>6</v>
      </c>
      <c r="D50" s="21">
        <v>0.9</v>
      </c>
      <c r="E50" s="82">
        <v>5.4</v>
      </c>
    </row>
    <row r="51" spans="1:5">
      <c r="A51" t="s">
        <v>1289</v>
      </c>
      <c r="B51" t="s">
        <v>1431</v>
      </c>
      <c r="C51" s="82">
        <v>24</v>
      </c>
      <c r="D51" s="21">
        <v>0.36249999999999999</v>
      </c>
      <c r="E51" s="82">
        <v>8.6999999999999993</v>
      </c>
    </row>
    <row r="52" spans="1:5">
      <c r="A52" t="s">
        <v>5</v>
      </c>
      <c r="B52" t="s">
        <v>4</v>
      </c>
      <c r="C52" s="82">
        <v>6</v>
      </c>
      <c r="D52" s="21">
        <v>1.1041666666666667</v>
      </c>
      <c r="E52" s="82">
        <v>6.625</v>
      </c>
    </row>
    <row r="53" spans="1:5">
      <c r="A53" t="s">
        <v>7</v>
      </c>
      <c r="B53" t="s">
        <v>6</v>
      </c>
      <c r="C53" s="82">
        <v>16</v>
      </c>
      <c r="D53" s="21">
        <v>1.1041666666666667</v>
      </c>
      <c r="E53" s="82">
        <v>17.666666666666668</v>
      </c>
    </row>
    <row r="54" spans="1:5">
      <c r="A54" t="s">
        <v>3</v>
      </c>
      <c r="B54" t="s">
        <v>2</v>
      </c>
      <c r="C54" s="82">
        <v>22</v>
      </c>
      <c r="D54" s="21">
        <v>1.1041666666666667</v>
      </c>
      <c r="E54" s="82">
        <v>24.291666666666668</v>
      </c>
    </row>
    <row r="55" spans="1:5">
      <c r="A55" t="s">
        <v>37</v>
      </c>
      <c r="B55" t="s">
        <v>36</v>
      </c>
      <c r="C55" s="82">
        <v>12</v>
      </c>
      <c r="D55" s="21">
        <v>0.24270833333333333</v>
      </c>
      <c r="E55" s="82">
        <v>2.9125000000000001</v>
      </c>
    </row>
    <row r="56" spans="1:5">
      <c r="A56" t="s">
        <v>39</v>
      </c>
      <c r="B56" t="s">
        <v>38</v>
      </c>
      <c r="C56" s="82">
        <v>18</v>
      </c>
      <c r="D56" s="21">
        <v>0.24270833333333333</v>
      </c>
      <c r="E56" s="82">
        <v>4.3687500000000004</v>
      </c>
    </row>
    <row r="57" spans="1:5">
      <c r="A57" t="s">
        <v>1026</v>
      </c>
      <c r="B57" t="s">
        <v>1025</v>
      </c>
      <c r="C57" s="82">
        <v>12</v>
      </c>
      <c r="D57" s="21">
        <v>0.9</v>
      </c>
      <c r="E57" s="82">
        <v>10.8</v>
      </c>
    </row>
    <row r="58" spans="1:5">
      <c r="A58" t="s">
        <v>1347</v>
      </c>
      <c r="B58" t="s">
        <v>1346</v>
      </c>
      <c r="C58" s="82">
        <v>8</v>
      </c>
      <c r="D58" s="21">
        <v>0.9</v>
      </c>
      <c r="E58" s="82">
        <v>7.2</v>
      </c>
    </row>
    <row r="59" spans="1:5">
      <c r="A59" t="s">
        <v>1349</v>
      </c>
      <c r="B59" t="s">
        <v>1348</v>
      </c>
      <c r="C59" s="82">
        <v>7</v>
      </c>
      <c r="D59" s="21">
        <v>0.9</v>
      </c>
      <c r="E59" s="82">
        <v>6.3</v>
      </c>
    </row>
    <row r="60" spans="1:5">
      <c r="A60" t="s">
        <v>31</v>
      </c>
      <c r="B60" t="s">
        <v>30</v>
      </c>
      <c r="C60" s="82">
        <v>16</v>
      </c>
      <c r="D60" s="21">
        <v>0.11</v>
      </c>
      <c r="E60" s="82">
        <v>1.76</v>
      </c>
    </row>
    <row r="61" spans="1:5">
      <c r="A61" t="s">
        <v>1477</v>
      </c>
      <c r="B61" t="s">
        <v>1476</v>
      </c>
      <c r="C61" s="82">
        <v>4</v>
      </c>
      <c r="D61" s="21">
        <v>0.9</v>
      </c>
      <c r="E61" s="82">
        <v>3.6</v>
      </c>
    </row>
    <row r="62" spans="1:5">
      <c r="A62" t="s">
        <v>708</v>
      </c>
      <c r="B62" t="s">
        <v>2252</v>
      </c>
      <c r="C62" s="82">
        <v>4</v>
      </c>
      <c r="D62" s="21">
        <v>4.1666666666666664E-2</v>
      </c>
      <c r="E62" s="82">
        <v>0.16666666666666666</v>
      </c>
    </row>
    <row r="63" spans="1:5">
      <c r="A63" t="s">
        <v>343</v>
      </c>
      <c r="B63" t="s">
        <v>342</v>
      </c>
      <c r="C63" s="82">
        <v>18</v>
      </c>
      <c r="D63" s="21">
        <v>1.1041666666666667</v>
      </c>
      <c r="E63" s="82">
        <v>19.875</v>
      </c>
    </row>
    <row r="64" spans="1:5">
      <c r="A64" t="s">
        <v>397</v>
      </c>
      <c r="B64" t="s">
        <v>396</v>
      </c>
      <c r="C64" s="82">
        <v>6</v>
      </c>
      <c r="D64" s="21">
        <v>0.24270833333333333</v>
      </c>
      <c r="E64" s="82">
        <v>1.45625</v>
      </c>
    </row>
    <row r="65" spans="1:5">
      <c r="A65" t="s">
        <v>41</v>
      </c>
      <c r="B65" t="s">
        <v>40</v>
      </c>
      <c r="C65" s="82">
        <v>6</v>
      </c>
      <c r="D65" s="21">
        <v>0.24270833333333333</v>
      </c>
      <c r="E65" s="82">
        <v>1.45625</v>
      </c>
    </row>
    <row r="66" spans="1:5">
      <c r="A66" t="s">
        <v>1293</v>
      </c>
      <c r="B66" t="s">
        <v>1292</v>
      </c>
      <c r="C66" s="82">
        <v>24</v>
      </c>
      <c r="D66" s="21">
        <v>0.21875</v>
      </c>
      <c r="E66" s="82">
        <v>5.25</v>
      </c>
    </row>
    <row r="67" spans="1:5">
      <c r="A67" t="s">
        <v>45</v>
      </c>
      <c r="B67" t="s">
        <v>2170</v>
      </c>
      <c r="C67" s="82">
        <v>5</v>
      </c>
      <c r="D67" s="21">
        <v>0.5</v>
      </c>
      <c r="E67" s="82">
        <v>2.5</v>
      </c>
    </row>
    <row r="68" spans="1:5">
      <c r="A68" t="s">
        <v>1475</v>
      </c>
      <c r="B68" t="s">
        <v>1474</v>
      </c>
      <c r="C68" s="82">
        <v>11</v>
      </c>
      <c r="D68" s="21">
        <v>0.9</v>
      </c>
      <c r="E68" s="82">
        <v>9.9</v>
      </c>
    </row>
    <row r="69" spans="1:5">
      <c r="A69" t="s">
        <v>1287</v>
      </c>
      <c r="B69" t="s">
        <v>1286</v>
      </c>
      <c r="C69" s="82">
        <v>2</v>
      </c>
      <c r="D69" s="21">
        <v>0.57333333333333336</v>
      </c>
      <c r="E69" s="82">
        <v>1.1466666666666667</v>
      </c>
    </row>
    <row r="70" spans="1:5">
      <c r="A70" t="s">
        <v>1941</v>
      </c>
      <c r="B70" t="s">
        <v>1940</v>
      </c>
      <c r="C70" s="82">
        <v>2</v>
      </c>
      <c r="D70" s="21">
        <v>0.10416666666666667</v>
      </c>
      <c r="E70" s="82">
        <v>0.20833333333333334</v>
      </c>
    </row>
    <row r="71" spans="1:5">
      <c r="A71" t="s">
        <v>2057</v>
      </c>
      <c r="B71" t="s">
        <v>2056</v>
      </c>
      <c r="C71" s="82">
        <v>2</v>
      </c>
      <c r="D71" s="21">
        <v>0.45</v>
      </c>
      <c r="E71" s="82">
        <v>0.9</v>
      </c>
    </row>
    <row r="72" spans="1:5">
      <c r="A72" t="s">
        <v>1265</v>
      </c>
      <c r="B72" t="s">
        <v>1264</v>
      </c>
      <c r="C72" s="82">
        <v>149</v>
      </c>
      <c r="D72" s="21">
        <v>0.22041666666666668</v>
      </c>
      <c r="E72" s="82">
        <v>32.842083333333335</v>
      </c>
    </row>
    <row r="73" spans="1:5">
      <c r="A73" t="s">
        <v>1473</v>
      </c>
      <c r="B73" t="s">
        <v>1472</v>
      </c>
      <c r="C73" s="82">
        <v>6</v>
      </c>
      <c r="D73" s="21">
        <v>0.9</v>
      </c>
      <c r="E73" s="82">
        <v>5.4</v>
      </c>
    </row>
    <row r="74" spans="1:5">
      <c r="A74" t="s">
        <v>1716</v>
      </c>
      <c r="B74" t="s">
        <v>1715</v>
      </c>
      <c r="C74" s="82">
        <v>12</v>
      </c>
      <c r="D74" s="21">
        <v>0.25</v>
      </c>
      <c r="E74" s="82">
        <v>3</v>
      </c>
    </row>
    <row r="75" spans="1:5">
      <c r="A75" t="s">
        <v>1359</v>
      </c>
      <c r="B75" t="s">
        <v>1358</v>
      </c>
      <c r="C75" s="82">
        <v>4</v>
      </c>
      <c r="D75" s="21">
        <v>0.9</v>
      </c>
      <c r="E75" s="82">
        <v>3.6</v>
      </c>
    </row>
    <row r="76" spans="1:5">
      <c r="A76" t="s">
        <v>1428</v>
      </c>
      <c r="B76" t="s">
        <v>1427</v>
      </c>
      <c r="C76" s="82">
        <v>12</v>
      </c>
      <c r="D76" s="21">
        <v>0.44083333333333335</v>
      </c>
      <c r="E76" s="82">
        <v>5.29</v>
      </c>
    </row>
    <row r="77" spans="1:5">
      <c r="A77" t="s">
        <v>1933</v>
      </c>
      <c r="B77" t="s">
        <v>1934</v>
      </c>
      <c r="C77" s="82">
        <v>3</v>
      </c>
      <c r="D77" s="21">
        <v>0.35625000000000001</v>
      </c>
      <c r="E77" s="82">
        <v>1.0687500000000001</v>
      </c>
    </row>
    <row r="78" spans="1:5">
      <c r="A78" t="s">
        <v>1738</v>
      </c>
      <c r="B78" t="s">
        <v>1737</v>
      </c>
      <c r="C78" s="82">
        <v>1</v>
      </c>
      <c r="D78" s="21">
        <v>0.6</v>
      </c>
      <c r="E78" s="82">
        <v>0.6</v>
      </c>
    </row>
    <row r="79" spans="1:5">
      <c r="A79" t="s">
        <v>1718</v>
      </c>
      <c r="B79" t="s">
        <v>1717</v>
      </c>
      <c r="C79" s="82">
        <v>2</v>
      </c>
      <c r="D79" s="21">
        <v>0.6</v>
      </c>
      <c r="E79" s="82">
        <v>1.2</v>
      </c>
    </row>
    <row r="80" spans="1:5">
      <c r="A80" t="s">
        <v>2148</v>
      </c>
      <c r="B80" t="s">
        <v>2147</v>
      </c>
      <c r="C80" s="82">
        <v>24</v>
      </c>
      <c r="D80" s="21">
        <v>0.22041666666666668</v>
      </c>
      <c r="E80" s="82">
        <v>5.29</v>
      </c>
    </row>
    <row r="81" spans="1:5">
      <c r="A81" t="s">
        <v>1081</v>
      </c>
      <c r="B81" t="s">
        <v>1080</v>
      </c>
      <c r="C81" s="82">
        <v>4</v>
      </c>
      <c r="D81" s="21">
        <v>2.1166666666666667</v>
      </c>
      <c r="E81" s="82">
        <v>8.4666666666666668</v>
      </c>
    </row>
    <row r="82" spans="1:5">
      <c r="A82" t="s">
        <v>1674</v>
      </c>
      <c r="B82" t="s">
        <v>1673</v>
      </c>
      <c r="C82" s="82">
        <v>17</v>
      </c>
      <c r="D82" s="21">
        <v>0.9</v>
      </c>
      <c r="E82" s="82">
        <v>15.3</v>
      </c>
    </row>
    <row r="83" spans="1:5">
      <c r="A83" t="s">
        <v>1269</v>
      </c>
      <c r="B83" t="s">
        <v>1647</v>
      </c>
      <c r="C83" s="82">
        <v>13</v>
      </c>
      <c r="D83" s="21">
        <v>0.22041666666666668</v>
      </c>
      <c r="E83" s="82">
        <v>2.8654166666666669</v>
      </c>
    </row>
    <row r="84" spans="1:5">
      <c r="A84" t="s">
        <v>1267</v>
      </c>
      <c r="B84" t="s">
        <v>1662</v>
      </c>
      <c r="C84" s="82">
        <v>12</v>
      </c>
      <c r="D84" s="21">
        <v>0.44083333333333335</v>
      </c>
      <c r="E84" s="82">
        <v>5.29</v>
      </c>
    </row>
    <row r="85" spans="1:5">
      <c r="A85" t="s">
        <v>1467</v>
      </c>
      <c r="B85" t="s">
        <v>1466</v>
      </c>
      <c r="C85" s="82">
        <v>6</v>
      </c>
      <c r="D85" s="21">
        <v>0.44062499999999999</v>
      </c>
      <c r="E85" s="82">
        <v>2.6437499999999998</v>
      </c>
    </row>
    <row r="86" spans="1:5">
      <c r="A86" t="s">
        <v>1317</v>
      </c>
      <c r="B86" t="s">
        <v>1316</v>
      </c>
      <c r="C86" s="82">
        <v>8</v>
      </c>
      <c r="D86" s="21">
        <v>0.2</v>
      </c>
      <c r="E86" s="82">
        <v>1.6</v>
      </c>
    </row>
    <row r="87" spans="1:5">
      <c r="A87" t="s">
        <v>339</v>
      </c>
      <c r="B87" t="s">
        <v>338</v>
      </c>
      <c r="C87" s="82">
        <v>26</v>
      </c>
      <c r="D87" s="21">
        <v>1.1041666666666667</v>
      </c>
      <c r="E87" s="82">
        <v>28.708333333333336</v>
      </c>
    </row>
    <row r="88" spans="1:5">
      <c r="A88" t="s">
        <v>1694</v>
      </c>
      <c r="B88" t="s">
        <v>1693</v>
      </c>
      <c r="C88" s="82">
        <v>2</v>
      </c>
      <c r="D88" s="21">
        <v>0.6</v>
      </c>
      <c r="E88" s="82">
        <v>1.2</v>
      </c>
    </row>
    <row r="89" spans="1:5">
      <c r="A89" t="s">
        <v>1199</v>
      </c>
      <c r="B89" t="s">
        <v>301</v>
      </c>
      <c r="C89" s="82">
        <v>1</v>
      </c>
      <c r="D89" s="21">
        <v>0.9277777777777777</v>
      </c>
      <c r="E89" s="82">
        <v>0.9277777777777777</v>
      </c>
    </row>
    <row r="90" spans="1:5">
      <c r="A90" t="s">
        <v>1259</v>
      </c>
      <c r="B90" t="s">
        <v>1258</v>
      </c>
      <c r="C90" s="82">
        <v>9</v>
      </c>
      <c r="D90" s="21">
        <v>0.44083333333333335</v>
      </c>
      <c r="E90" s="82">
        <v>3.9675000000000002</v>
      </c>
    </row>
    <row r="91" spans="1:5">
      <c r="A91" t="s">
        <v>1305</v>
      </c>
      <c r="B91" t="s">
        <v>2165</v>
      </c>
      <c r="C91" s="82">
        <v>12</v>
      </c>
      <c r="D91" s="21">
        <v>0.22041666666666668</v>
      </c>
      <c r="E91" s="82">
        <v>2.645</v>
      </c>
    </row>
    <row r="92" spans="1:5">
      <c r="A92" t="s">
        <v>2198</v>
      </c>
      <c r="B92" t="s">
        <v>2197</v>
      </c>
      <c r="C92" s="82">
        <v>1</v>
      </c>
      <c r="D92" s="21">
        <v>0.15</v>
      </c>
      <c r="E92" s="82">
        <v>0.15</v>
      </c>
    </row>
    <row r="93" spans="1:5">
      <c r="A93" t="s">
        <v>13</v>
      </c>
      <c r="B93" t="s">
        <v>12</v>
      </c>
      <c r="C93" s="82">
        <v>30</v>
      </c>
      <c r="D93" s="21">
        <v>3.1091666666666669</v>
      </c>
      <c r="E93" s="82">
        <v>93.275000000000006</v>
      </c>
    </row>
    <row r="94" spans="1:5">
      <c r="A94" t="s">
        <v>401</v>
      </c>
      <c r="B94" t="s">
        <v>400</v>
      </c>
      <c r="C94" s="82">
        <v>2</v>
      </c>
      <c r="D94" s="21">
        <v>2.1166666666666667</v>
      </c>
      <c r="E94" s="82">
        <v>4.2333333333333334</v>
      </c>
    </row>
    <row r="95" spans="1:5">
      <c r="A95" t="s">
        <v>1679</v>
      </c>
      <c r="B95" t="s">
        <v>2201</v>
      </c>
      <c r="C95" s="82">
        <v>12</v>
      </c>
      <c r="D95" s="21">
        <v>0.33041666666666664</v>
      </c>
      <c r="E95" s="82">
        <v>3.9649999999999999</v>
      </c>
    </row>
    <row r="96" spans="1:5">
      <c r="A96" t="s">
        <v>1222</v>
      </c>
      <c r="B96" t="s">
        <v>302</v>
      </c>
      <c r="C96" s="82">
        <v>1</v>
      </c>
      <c r="D96" s="21">
        <v>0.9277777777777777</v>
      </c>
      <c r="E96" s="82">
        <v>0.9277777777777777</v>
      </c>
    </row>
    <row r="97" spans="1:5">
      <c r="A97" t="s">
        <v>1210</v>
      </c>
      <c r="B97" t="s">
        <v>1166</v>
      </c>
      <c r="C97" s="82">
        <v>1</v>
      </c>
      <c r="D97" s="21">
        <v>0.9277777777777777</v>
      </c>
      <c r="E97" s="82">
        <v>0.9277777777777777</v>
      </c>
    </row>
    <row r="98" spans="1:5">
      <c r="A98" t="s">
        <v>1148</v>
      </c>
      <c r="B98" t="s">
        <v>1512</v>
      </c>
      <c r="C98" s="82">
        <v>50</v>
      </c>
      <c r="D98" s="21">
        <v>0.88</v>
      </c>
      <c r="E98" s="82">
        <v>44</v>
      </c>
    </row>
    <row r="99" spans="1:5">
      <c r="A99" t="s">
        <v>1471</v>
      </c>
      <c r="B99" t="s">
        <v>1470</v>
      </c>
      <c r="C99" s="82">
        <v>5</v>
      </c>
      <c r="D99" s="21">
        <v>0.9</v>
      </c>
      <c r="E99" s="82">
        <v>4.5</v>
      </c>
    </row>
    <row r="100" spans="1:5">
      <c r="A100" t="s">
        <v>1692</v>
      </c>
      <c r="B100" t="s">
        <v>1691</v>
      </c>
      <c r="C100" s="82">
        <v>10</v>
      </c>
      <c r="D100" s="21">
        <v>0.92524999999999991</v>
      </c>
      <c r="E100" s="82">
        <v>9.2524999999999995</v>
      </c>
    </row>
    <row r="101" spans="1:5">
      <c r="A101" t="s">
        <v>1309</v>
      </c>
      <c r="B101" t="s">
        <v>1308</v>
      </c>
      <c r="C101" s="82">
        <v>5</v>
      </c>
      <c r="D101" s="21">
        <v>1.4950000000000001</v>
      </c>
      <c r="E101" s="82">
        <v>7.4750000000000005</v>
      </c>
    </row>
    <row r="102" spans="1:5">
      <c r="A102" t="s">
        <v>2152</v>
      </c>
      <c r="B102" t="s">
        <v>2151</v>
      </c>
      <c r="C102" s="82">
        <v>24</v>
      </c>
      <c r="D102" s="21">
        <v>0.47395833333333331</v>
      </c>
      <c r="E102" s="82">
        <v>11.375</v>
      </c>
    </row>
    <row r="103" spans="1:5">
      <c r="A103" t="s">
        <v>1295</v>
      </c>
      <c r="B103" t="s">
        <v>1294</v>
      </c>
      <c r="C103" s="82">
        <v>6</v>
      </c>
      <c r="D103" s="21">
        <v>0.21875</v>
      </c>
      <c r="E103" s="82">
        <v>1.3125</v>
      </c>
    </row>
    <row r="104" spans="1:5">
      <c r="A104" t="s">
        <v>1908</v>
      </c>
      <c r="B104" t="s">
        <v>1907</v>
      </c>
      <c r="C104" s="82">
        <v>12</v>
      </c>
      <c r="D104" s="21">
        <v>0.8158333333333333</v>
      </c>
      <c r="E104" s="82">
        <v>9.7899999999999991</v>
      </c>
    </row>
    <row r="105" spans="1:5">
      <c r="A105" t="s">
        <v>2087</v>
      </c>
      <c r="B105" t="s">
        <v>2086</v>
      </c>
      <c r="C105" s="82">
        <v>3</v>
      </c>
      <c r="D105" s="21">
        <v>0.82750000000000001</v>
      </c>
      <c r="E105" s="82">
        <v>2.4824999999999999</v>
      </c>
    </row>
    <row r="106" spans="1:5">
      <c r="A106" t="s">
        <v>347</v>
      </c>
      <c r="B106" t="s">
        <v>346</v>
      </c>
      <c r="C106" s="82">
        <v>2</v>
      </c>
      <c r="D106" s="21">
        <v>2.65</v>
      </c>
      <c r="E106" s="82">
        <v>5.3</v>
      </c>
    </row>
    <row r="107" spans="1:5">
      <c r="A107" t="s">
        <v>35</v>
      </c>
      <c r="B107" t="s">
        <v>2273</v>
      </c>
      <c r="C107" s="82">
        <v>1</v>
      </c>
      <c r="D107" s="21">
        <v>3.0416666666666665</v>
      </c>
      <c r="E107" s="82">
        <v>3.0416666666666665</v>
      </c>
    </row>
    <row r="108" spans="1:5">
      <c r="A108" t="s">
        <v>427</v>
      </c>
      <c r="B108" t="s">
        <v>426</v>
      </c>
      <c r="C108" s="82">
        <v>1</v>
      </c>
      <c r="D108" s="21">
        <v>0.01</v>
      </c>
      <c r="E108" s="82">
        <v>0.01</v>
      </c>
    </row>
    <row r="109" spans="1:5">
      <c r="A109" t="s">
        <v>1740</v>
      </c>
      <c r="B109" t="s">
        <v>1739</v>
      </c>
      <c r="C109" s="82">
        <v>1</v>
      </c>
      <c r="D109" s="21">
        <v>0.6</v>
      </c>
      <c r="E109" s="82">
        <v>0.6</v>
      </c>
    </row>
    <row r="110" spans="1:5">
      <c r="A110" t="s">
        <v>1040</v>
      </c>
      <c r="B110" t="s">
        <v>1039</v>
      </c>
      <c r="C110" s="82">
        <v>1</v>
      </c>
      <c r="D110" s="21">
        <v>0.88437500000000002</v>
      </c>
      <c r="E110" s="82">
        <v>0.88437500000000002</v>
      </c>
    </row>
    <row r="111" spans="1:5">
      <c r="A111" t="s">
        <v>2090</v>
      </c>
      <c r="B111" t="s">
        <v>2089</v>
      </c>
      <c r="C111" s="82">
        <v>2</v>
      </c>
      <c r="D111" s="21">
        <v>100</v>
      </c>
      <c r="E111" s="82">
        <v>200</v>
      </c>
    </row>
    <row r="112" spans="1:5">
      <c r="A112" t="s">
        <v>1529</v>
      </c>
      <c r="B112" t="s">
        <v>1528</v>
      </c>
      <c r="C112" s="82">
        <v>1</v>
      </c>
      <c r="D112" s="21">
        <v>1.4933333333333334</v>
      </c>
      <c r="E112" s="82">
        <v>1.4933333333333334</v>
      </c>
    </row>
    <row r="113" spans="1:5">
      <c r="A113" t="s">
        <v>2210</v>
      </c>
      <c r="B113" t="s">
        <v>2209</v>
      </c>
      <c r="C113" s="82">
        <v>1</v>
      </c>
      <c r="D113" s="21">
        <v>1.4950000000000001</v>
      </c>
      <c r="E113" s="82">
        <v>1.4950000000000001</v>
      </c>
    </row>
    <row r="114" spans="1:5">
      <c r="A114" t="s">
        <v>1285</v>
      </c>
      <c r="B114" t="s">
        <v>1284</v>
      </c>
      <c r="C114" s="82">
        <v>2</v>
      </c>
      <c r="D114" s="21">
        <v>0.57333333333333336</v>
      </c>
      <c r="E114" s="82">
        <v>1.1466666666666667</v>
      </c>
    </row>
    <row r="115" spans="1:5">
      <c r="A115" t="s">
        <v>1283</v>
      </c>
      <c r="B115" t="s">
        <v>1282</v>
      </c>
      <c r="C115" s="82">
        <v>2</v>
      </c>
      <c r="D115" s="21">
        <v>0.57333333333333336</v>
      </c>
      <c r="E115" s="82">
        <v>1.1466666666666667</v>
      </c>
    </row>
    <row r="116" spans="1:5">
      <c r="A116" t="s">
        <v>1441</v>
      </c>
      <c r="B116" t="s">
        <v>1440</v>
      </c>
      <c r="C116" s="82">
        <v>6</v>
      </c>
      <c r="D116" s="21">
        <v>0.54</v>
      </c>
      <c r="E116" s="82">
        <v>3.24</v>
      </c>
    </row>
    <row r="117" spans="1:5">
      <c r="A117" t="s">
        <v>1271</v>
      </c>
      <c r="B117" t="s">
        <v>1642</v>
      </c>
      <c r="C117" s="82">
        <v>3</v>
      </c>
      <c r="D117" s="21">
        <v>0.83750000000000002</v>
      </c>
      <c r="E117" s="82">
        <v>2.5125000000000002</v>
      </c>
    </row>
    <row r="118" spans="1:5">
      <c r="A118" t="s">
        <v>1291</v>
      </c>
      <c r="B118" t="s">
        <v>1290</v>
      </c>
      <c r="C118" s="82">
        <v>10</v>
      </c>
      <c r="D118" s="21">
        <v>0.22041666666666668</v>
      </c>
      <c r="E118" s="82">
        <v>2.2041666666666666</v>
      </c>
    </row>
    <row r="119" spans="1:5">
      <c r="A119" t="s">
        <v>1301</v>
      </c>
      <c r="B119" t="s">
        <v>1300</v>
      </c>
      <c r="C119" s="82">
        <v>18</v>
      </c>
      <c r="D119" s="21">
        <v>0.22041666666666668</v>
      </c>
      <c r="E119" s="82">
        <v>3.9675000000000002</v>
      </c>
    </row>
    <row r="120" spans="1:5">
      <c r="A120" t="s">
        <v>1273</v>
      </c>
      <c r="B120" t="s">
        <v>1272</v>
      </c>
      <c r="C120" s="82">
        <v>6</v>
      </c>
      <c r="D120" s="21">
        <v>0.79375000000000007</v>
      </c>
      <c r="E120" s="82">
        <v>4.7625000000000002</v>
      </c>
    </row>
    <row r="121" spans="1:5">
      <c r="A121" t="s">
        <v>1279</v>
      </c>
      <c r="B121" t="s">
        <v>1278</v>
      </c>
      <c r="C121" s="82">
        <v>13</v>
      </c>
      <c r="D121" s="21">
        <v>0.875</v>
      </c>
      <c r="E121" s="82">
        <v>11.375</v>
      </c>
    </row>
    <row r="122" spans="1:5">
      <c r="A122" t="s">
        <v>2136</v>
      </c>
      <c r="B122" t="s">
        <v>2135</v>
      </c>
      <c r="C122" s="82">
        <v>20</v>
      </c>
      <c r="D122" s="21">
        <v>0.82750000000000001</v>
      </c>
      <c r="E122" s="82">
        <v>16.55</v>
      </c>
    </row>
    <row r="123" spans="1:5">
      <c r="A123" t="s">
        <v>2144</v>
      </c>
      <c r="B123" t="s">
        <v>2143</v>
      </c>
      <c r="C123" s="82">
        <v>1</v>
      </c>
      <c r="D123" s="21">
        <v>0.82750000000000001</v>
      </c>
      <c r="E123" s="82">
        <v>0.82750000000000001</v>
      </c>
    </row>
    <row r="124" spans="1:5">
      <c r="A124" t="s">
        <v>2249</v>
      </c>
      <c r="B124" t="s">
        <v>2248</v>
      </c>
      <c r="C124" s="82">
        <v>1</v>
      </c>
      <c r="D124" s="21">
        <v>0.88166666666666671</v>
      </c>
      <c r="E124" s="82">
        <v>0.88166666666666671</v>
      </c>
    </row>
    <row r="125" spans="1:5">
      <c r="A125" t="s">
        <v>1828</v>
      </c>
      <c r="B125" t="s">
        <v>1827</v>
      </c>
      <c r="C125" s="82">
        <v>1</v>
      </c>
      <c r="D125" s="21">
        <v>0.26</v>
      </c>
      <c r="E125" s="82">
        <v>0.26</v>
      </c>
    </row>
    <row r="126" spans="1:5">
      <c r="A126" t="s">
        <v>1886</v>
      </c>
      <c r="B126" t="s">
        <v>1885</v>
      </c>
      <c r="C126" s="82">
        <v>2</v>
      </c>
      <c r="D126" s="21">
        <v>0.23364583333333333</v>
      </c>
      <c r="E126" s="82">
        <v>0.46729166666666666</v>
      </c>
    </row>
    <row r="127" spans="1:5">
      <c r="A127" t="s">
        <v>55</v>
      </c>
      <c r="B127" t="s">
        <v>54</v>
      </c>
      <c r="C127" s="82">
        <v>1</v>
      </c>
      <c r="D127" s="21">
        <v>0.34375</v>
      </c>
      <c r="E127" s="82">
        <v>0.34375</v>
      </c>
    </row>
    <row r="128" spans="1:5">
      <c r="A128" t="s">
        <v>1795</v>
      </c>
      <c r="B128" t="s">
        <v>1794</v>
      </c>
      <c r="C128" s="82">
        <v>5</v>
      </c>
      <c r="D128" s="21">
        <v>0.2</v>
      </c>
      <c r="E128" s="82">
        <v>1</v>
      </c>
    </row>
    <row r="129" spans="1:5">
      <c r="A129" t="s">
        <v>345</v>
      </c>
      <c r="B129" t="s">
        <v>344</v>
      </c>
      <c r="C129" s="82">
        <v>2</v>
      </c>
      <c r="D129" s="21">
        <v>2.65</v>
      </c>
      <c r="E129" s="82">
        <v>5.3</v>
      </c>
    </row>
    <row r="130" spans="1:5">
      <c r="A130" t="s">
        <v>47</v>
      </c>
      <c r="B130" t="s">
        <v>46</v>
      </c>
      <c r="C130" s="82">
        <v>1</v>
      </c>
      <c r="D130" s="21">
        <v>2.1166666666666667</v>
      </c>
      <c r="E130" s="82">
        <v>2.1166666666666667</v>
      </c>
    </row>
    <row r="131" spans="1:5">
      <c r="A131" t="s">
        <v>1696</v>
      </c>
      <c r="B131" t="s">
        <v>1695</v>
      </c>
      <c r="C131" s="82">
        <v>1</v>
      </c>
      <c r="D131" s="21">
        <v>0.6</v>
      </c>
      <c r="E131" s="82">
        <v>0.6</v>
      </c>
    </row>
    <row r="132" spans="1:5">
      <c r="A132" t="s">
        <v>1177</v>
      </c>
      <c r="B132" t="s">
        <v>298</v>
      </c>
      <c r="C132" s="82">
        <v>1</v>
      </c>
      <c r="D132" s="21">
        <v>0.9277777777777777</v>
      </c>
      <c r="E132" s="82">
        <v>0.9277777777777777</v>
      </c>
    </row>
    <row r="133" spans="1:5">
      <c r="A133" t="s">
        <v>1213</v>
      </c>
      <c r="B133" t="s">
        <v>303</v>
      </c>
      <c r="C133" s="82">
        <v>1</v>
      </c>
      <c r="D133" s="21">
        <v>0.42399999999999999</v>
      </c>
      <c r="E133" s="82">
        <v>0.42399999999999999</v>
      </c>
    </row>
    <row r="134" spans="1:5">
      <c r="A134" t="s">
        <v>2070</v>
      </c>
      <c r="B134" t="s">
        <v>2069</v>
      </c>
      <c r="C134" s="82">
        <v>1</v>
      </c>
      <c r="D134" s="21">
        <v>0.66166666666666674</v>
      </c>
      <c r="E134" s="82">
        <v>0.66166666666666674</v>
      </c>
    </row>
    <row r="135" spans="1:5">
      <c r="A135" t="s">
        <v>1749</v>
      </c>
      <c r="B135" t="s">
        <v>2008</v>
      </c>
      <c r="C135" s="82">
        <v>3</v>
      </c>
      <c r="D135" s="21">
        <v>0.71375</v>
      </c>
      <c r="E135" s="82">
        <v>2.1412499999999999</v>
      </c>
    </row>
    <row r="136" spans="1:5">
      <c r="A136" t="s">
        <v>2242</v>
      </c>
      <c r="B136" t="s">
        <v>2241</v>
      </c>
      <c r="C136" s="82">
        <v>1</v>
      </c>
      <c r="D136" s="21">
        <v>0.45</v>
      </c>
      <c r="E136" s="82">
        <v>0.45</v>
      </c>
    </row>
    <row r="137" spans="1:5">
      <c r="A137" t="s">
        <v>2063</v>
      </c>
      <c r="B137" t="s">
        <v>2062</v>
      </c>
      <c r="C137" s="82">
        <v>1</v>
      </c>
      <c r="D137" s="21">
        <v>0.53</v>
      </c>
      <c r="E137" s="82">
        <v>0.53</v>
      </c>
    </row>
  </sheetData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1:I140"/>
  <sheetViews>
    <sheetView workbookViewId="0">
      <selection activeCell="D4" sqref="D4"/>
    </sheetView>
  </sheetViews>
  <sheetFormatPr baseColWidth="10" defaultRowHeight="14.4"/>
  <cols>
    <col min="2" max="2" width="46" bestFit="1" customWidth="1"/>
    <col min="3" max="5" width="17.44140625" bestFit="1" customWidth="1"/>
    <col min="8" max="8" width="13" customWidth="1"/>
    <col min="9" max="9" width="12.33203125" bestFit="1" customWidth="1"/>
  </cols>
  <sheetData>
    <row r="1" spans="1:9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1090</v>
      </c>
      <c r="H1" t="s">
        <v>1089</v>
      </c>
    </row>
    <row r="2" spans="1:9">
      <c r="A2">
        <v>60000210</v>
      </c>
      <c r="B2" t="s">
        <v>148</v>
      </c>
      <c r="C2" s="82">
        <v>61</v>
      </c>
      <c r="D2" s="21">
        <v>0.77200000000000002</v>
      </c>
      <c r="E2" s="21">
        <v>47.091999999999999</v>
      </c>
      <c r="G2" s="21">
        <f>SUM(E:E)</f>
        <v>3619.7407236111121</v>
      </c>
      <c r="H2" s="21">
        <f>CONVERT(G2,"lbm","cwt")</f>
        <v>36.197407236111125</v>
      </c>
    </row>
    <row r="3" spans="1:9">
      <c r="A3">
        <v>10010010010</v>
      </c>
      <c r="B3" t="s">
        <v>146</v>
      </c>
      <c r="C3" s="82">
        <v>44</v>
      </c>
      <c r="D3" s="21">
        <v>0.88200000000000001</v>
      </c>
      <c r="E3" s="21">
        <v>38.808</v>
      </c>
    </row>
    <row r="4" spans="1:9">
      <c r="A4">
        <v>10020040002</v>
      </c>
      <c r="B4" t="s">
        <v>145</v>
      </c>
      <c r="C4" s="82">
        <v>15</v>
      </c>
      <c r="D4" s="21">
        <v>0.88200000000000001</v>
      </c>
      <c r="E4" s="21">
        <v>13.23</v>
      </c>
      <c r="G4" s="25">
        <f>+Tabla10[LB]</f>
        <v>3619.7407236111121</v>
      </c>
      <c r="H4" s="28">
        <f>+Tabla10[QUINTALES]</f>
        <v>36.197407236111125</v>
      </c>
      <c r="I4" s="21">
        <f>Tabla10[LB]</f>
        <v>3619.7407236111121</v>
      </c>
    </row>
    <row r="5" spans="1:9">
      <c r="A5">
        <v>60000094</v>
      </c>
      <c r="B5" t="s">
        <v>1387</v>
      </c>
      <c r="C5" s="82">
        <v>540</v>
      </c>
      <c r="D5" s="21">
        <v>1.76</v>
      </c>
      <c r="E5" s="21">
        <v>950.4</v>
      </c>
    </row>
    <row r="6" spans="1:9" ht="15" thickBot="1">
      <c r="A6">
        <v>5460400</v>
      </c>
      <c r="B6" t="s">
        <v>2133</v>
      </c>
      <c r="C6" s="82">
        <v>120</v>
      </c>
      <c r="D6" s="21">
        <v>0.75</v>
      </c>
      <c r="E6" s="21">
        <v>90</v>
      </c>
      <c r="G6" s="23" t="s">
        <v>1095</v>
      </c>
      <c r="H6" s="24" t="s">
        <v>1096</v>
      </c>
      <c r="I6" s="23" t="s">
        <v>1106</v>
      </c>
    </row>
    <row r="7" spans="1:9" ht="15" thickTop="1">
      <c r="A7">
        <v>5467000</v>
      </c>
      <c r="B7" t="s">
        <v>2066</v>
      </c>
      <c r="C7" s="82">
        <v>6</v>
      </c>
      <c r="D7" s="21">
        <v>1.1100000000000001</v>
      </c>
      <c r="E7" s="21">
        <v>6.66</v>
      </c>
      <c r="G7" s="25" t="s">
        <v>1097</v>
      </c>
      <c r="H7" s="25">
        <v>50</v>
      </c>
      <c r="I7" s="26">
        <f>Tabla10[QUINTALES]/H7</f>
        <v>0.72394814472222246</v>
      </c>
    </row>
    <row r="8" spans="1:9">
      <c r="A8">
        <v>621330</v>
      </c>
      <c r="B8" t="s">
        <v>652</v>
      </c>
      <c r="C8" s="82">
        <v>8</v>
      </c>
      <c r="D8" s="21">
        <v>0.8833333333333333</v>
      </c>
      <c r="E8" s="21">
        <v>7.0666666666666664</v>
      </c>
    </row>
    <row r="9" spans="1:9" ht="15" thickBot="1">
      <c r="A9">
        <v>1008014100</v>
      </c>
      <c r="B9" t="s">
        <v>444</v>
      </c>
      <c r="C9" s="82">
        <v>1</v>
      </c>
      <c r="D9" s="21">
        <v>1.1031249999999999</v>
      </c>
      <c r="E9" s="21">
        <v>1.1031249999999999</v>
      </c>
      <c r="G9" s="23" t="s">
        <v>1095</v>
      </c>
      <c r="H9" s="24" t="s">
        <v>1096</v>
      </c>
      <c r="I9" s="23" t="s">
        <v>1106</v>
      </c>
    </row>
    <row r="10" spans="1:9" ht="15" thickTop="1">
      <c r="A10">
        <v>586703</v>
      </c>
      <c r="B10" t="s">
        <v>2257</v>
      </c>
      <c r="C10" s="82">
        <v>7</v>
      </c>
      <c r="D10" s="21">
        <v>0.12833333333333333</v>
      </c>
      <c r="E10" s="21">
        <v>0.89833333333333332</v>
      </c>
      <c r="G10" s="25" t="s">
        <v>1098</v>
      </c>
      <c r="H10" s="25">
        <v>50</v>
      </c>
      <c r="I10" s="26">
        <f>Tabla10[QUINTALES]/H10</f>
        <v>0.72394814472222246</v>
      </c>
    </row>
    <row r="11" spans="1:9">
      <c r="A11">
        <v>576003</v>
      </c>
      <c r="B11" t="s">
        <v>2084</v>
      </c>
      <c r="C11" s="82">
        <v>85</v>
      </c>
      <c r="D11" s="21">
        <v>0.11944444444444444</v>
      </c>
      <c r="E11" s="21">
        <v>10.152777777777777</v>
      </c>
    </row>
    <row r="12" spans="1:9" ht="15" thickBot="1">
      <c r="A12">
        <v>50491103</v>
      </c>
      <c r="B12" t="s">
        <v>2269</v>
      </c>
      <c r="C12" s="82">
        <v>12</v>
      </c>
      <c r="D12" s="21">
        <v>2.65</v>
      </c>
      <c r="E12" s="21">
        <v>31.799999999999997</v>
      </c>
      <c r="G12" s="23" t="s">
        <v>1095</v>
      </c>
      <c r="H12" s="24" t="s">
        <v>1096</v>
      </c>
      <c r="I12" s="23" t="s">
        <v>1106</v>
      </c>
    </row>
    <row r="13" spans="1:9" ht="15" thickTop="1">
      <c r="A13">
        <v>642557</v>
      </c>
      <c r="B13" t="s">
        <v>220</v>
      </c>
      <c r="C13" s="82">
        <v>18</v>
      </c>
      <c r="D13" s="21">
        <v>2.65</v>
      </c>
      <c r="E13" s="21">
        <v>47.699999999999996</v>
      </c>
      <c r="G13" s="25" t="s">
        <v>1099</v>
      </c>
      <c r="H13" s="25">
        <v>50</v>
      </c>
      <c r="I13" s="26">
        <f>Tabla10[QUINTALES]/H13</f>
        <v>0.72394814472222246</v>
      </c>
    </row>
    <row r="14" spans="1:9">
      <c r="A14">
        <v>1008010073</v>
      </c>
      <c r="B14" t="s">
        <v>443</v>
      </c>
      <c r="C14" s="82">
        <v>19</v>
      </c>
      <c r="D14" s="21">
        <v>0.33071428571428568</v>
      </c>
      <c r="E14" s="21">
        <v>6.2835714285714284</v>
      </c>
    </row>
    <row r="15" spans="1:9" ht="15" thickBot="1">
      <c r="A15">
        <v>50491100</v>
      </c>
      <c r="B15" t="s">
        <v>1899</v>
      </c>
      <c r="C15" s="82">
        <v>1</v>
      </c>
      <c r="D15" s="21">
        <v>2.65</v>
      </c>
      <c r="E15" s="21">
        <v>2.65</v>
      </c>
      <c r="G15" s="23" t="s">
        <v>1095</v>
      </c>
      <c r="H15" s="24" t="s">
        <v>1096</v>
      </c>
      <c r="I15" s="23" t="s">
        <v>1106</v>
      </c>
    </row>
    <row r="16" spans="1:9" ht="15" thickTop="1">
      <c r="A16">
        <v>641833</v>
      </c>
      <c r="B16" t="s">
        <v>217</v>
      </c>
      <c r="C16" s="82">
        <v>19</v>
      </c>
      <c r="D16" s="21">
        <v>2.65</v>
      </c>
      <c r="E16" s="21">
        <v>50.35</v>
      </c>
      <c r="G16" s="25" t="s">
        <v>1100</v>
      </c>
      <c r="H16" s="25">
        <v>50</v>
      </c>
      <c r="I16" s="26">
        <f>Tabla10[QUINTALES]/H16</f>
        <v>0.72394814472222246</v>
      </c>
    </row>
    <row r="17" spans="1:9">
      <c r="A17">
        <v>1008071533</v>
      </c>
      <c r="B17" t="s">
        <v>442</v>
      </c>
      <c r="C17" s="82">
        <v>7</v>
      </c>
      <c r="D17" s="21">
        <v>0.39821428571428574</v>
      </c>
      <c r="E17" s="21">
        <v>2.7875000000000001</v>
      </c>
    </row>
    <row r="18" spans="1:9" ht="15" thickBot="1">
      <c r="A18">
        <v>68170124</v>
      </c>
      <c r="B18" t="s">
        <v>632</v>
      </c>
      <c r="C18" s="82">
        <v>3</v>
      </c>
      <c r="D18" s="21">
        <v>0.9916666666666667</v>
      </c>
      <c r="E18" s="21">
        <v>2.9750000000000001</v>
      </c>
      <c r="G18" s="23" t="s">
        <v>1095</v>
      </c>
      <c r="H18" s="24" t="s">
        <v>1096</v>
      </c>
      <c r="I18" s="23" t="s">
        <v>1106</v>
      </c>
    </row>
    <row r="19" spans="1:9" ht="15" thickTop="1">
      <c r="A19">
        <v>19640304</v>
      </c>
      <c r="B19" t="s">
        <v>317</v>
      </c>
      <c r="C19" s="82">
        <v>2</v>
      </c>
      <c r="D19" s="21">
        <v>0.79400000000000004</v>
      </c>
      <c r="E19" s="21">
        <v>1.5880000000000001</v>
      </c>
      <c r="G19" s="25" t="s">
        <v>1101</v>
      </c>
      <c r="H19" s="25">
        <v>50</v>
      </c>
      <c r="I19" s="26">
        <f>Tabla10[QUINTALES]/H19</f>
        <v>0.72394814472222246</v>
      </c>
    </row>
    <row r="20" spans="1:9">
      <c r="A20">
        <v>620845</v>
      </c>
      <c r="B20" t="s">
        <v>1627</v>
      </c>
      <c r="C20" s="82">
        <v>2</v>
      </c>
      <c r="D20" s="21">
        <v>1.6555555555555557</v>
      </c>
      <c r="E20" s="21">
        <v>3.3111111111111113</v>
      </c>
    </row>
    <row r="21" spans="1:9" ht="15" thickBot="1">
      <c r="A21">
        <v>640683</v>
      </c>
      <c r="B21" t="s">
        <v>215</v>
      </c>
      <c r="C21" s="82">
        <v>7</v>
      </c>
      <c r="D21" s="21">
        <v>2.65</v>
      </c>
      <c r="E21" s="21">
        <v>18.55</v>
      </c>
      <c r="G21" s="23" t="s">
        <v>1095</v>
      </c>
      <c r="H21" s="24" t="s">
        <v>1096</v>
      </c>
      <c r="I21" s="23" t="s">
        <v>1106</v>
      </c>
    </row>
    <row r="22" spans="1:9" ht="15" thickTop="1">
      <c r="A22">
        <v>84153562</v>
      </c>
      <c r="B22" t="s">
        <v>320</v>
      </c>
      <c r="C22" s="82">
        <v>1</v>
      </c>
      <c r="D22" s="21">
        <v>2.6875E-2</v>
      </c>
      <c r="E22" s="21">
        <v>2.6875E-2</v>
      </c>
      <c r="G22" s="25" t="s">
        <v>1102</v>
      </c>
      <c r="H22" s="25">
        <v>50</v>
      </c>
      <c r="I22" s="26">
        <f>Tabla10[QUINTALES]/H22</f>
        <v>0.72394814472222246</v>
      </c>
    </row>
    <row r="23" spans="1:9">
      <c r="A23">
        <v>50491102</v>
      </c>
      <c r="B23" t="s">
        <v>1898</v>
      </c>
      <c r="C23" s="82">
        <v>12</v>
      </c>
      <c r="D23" s="21">
        <v>2.65</v>
      </c>
      <c r="E23" s="21">
        <v>31.799999999999997</v>
      </c>
    </row>
    <row r="24" spans="1:9" ht="15" thickBot="1">
      <c r="A24">
        <v>400000412</v>
      </c>
      <c r="B24" t="s">
        <v>581</v>
      </c>
      <c r="C24" s="82">
        <v>1</v>
      </c>
      <c r="D24" s="21">
        <v>0.3</v>
      </c>
      <c r="E24" s="21">
        <v>0.3</v>
      </c>
      <c r="G24" s="23" t="s">
        <v>1095</v>
      </c>
      <c r="H24" s="24" t="s">
        <v>1096</v>
      </c>
      <c r="I24" s="23" t="s">
        <v>1106</v>
      </c>
    </row>
    <row r="25" spans="1:9" ht="15" thickTop="1">
      <c r="A25">
        <v>400000127</v>
      </c>
      <c r="B25" t="s">
        <v>585</v>
      </c>
      <c r="C25" s="82">
        <v>9</v>
      </c>
      <c r="D25" s="21">
        <v>1.5449999999999999</v>
      </c>
      <c r="E25" s="21">
        <v>13.904999999999999</v>
      </c>
      <c r="G25" s="25" t="s">
        <v>1103</v>
      </c>
      <c r="H25" s="25">
        <v>30</v>
      </c>
      <c r="I25" s="26">
        <f>Tabla10[QUINTALES]/H25</f>
        <v>1.2065802412037041</v>
      </c>
    </row>
    <row r="26" spans="1:9">
      <c r="A26">
        <v>400000160</v>
      </c>
      <c r="B26" t="s">
        <v>584</v>
      </c>
      <c r="C26" s="82">
        <v>6</v>
      </c>
      <c r="D26" s="21">
        <v>1.4166666666666667</v>
      </c>
      <c r="E26" s="21">
        <v>8.5</v>
      </c>
    </row>
    <row r="27" spans="1:9">
      <c r="A27">
        <v>400000048</v>
      </c>
      <c r="B27" t="s">
        <v>580</v>
      </c>
      <c r="C27" s="82">
        <v>1</v>
      </c>
      <c r="D27" s="21">
        <v>0.25</v>
      </c>
      <c r="E27" s="21">
        <v>0.25</v>
      </c>
    </row>
    <row r="28" spans="1:9" ht="15" thickBot="1">
      <c r="A28">
        <v>69584500</v>
      </c>
      <c r="B28" t="s">
        <v>2166</v>
      </c>
      <c r="C28" s="82">
        <v>131</v>
      </c>
      <c r="D28" s="21">
        <v>9.9124999999999991E-2</v>
      </c>
      <c r="E28" s="21">
        <v>12.985374999999999</v>
      </c>
      <c r="G28" s="23" t="s">
        <v>1095</v>
      </c>
      <c r="H28" s="24" t="s">
        <v>1096</v>
      </c>
      <c r="I28" s="23" t="s">
        <v>1106</v>
      </c>
    </row>
    <row r="29" spans="1:9" ht="15" thickTop="1">
      <c r="A29">
        <v>50491132</v>
      </c>
      <c r="B29" t="s">
        <v>1762</v>
      </c>
      <c r="C29" s="82">
        <v>1</v>
      </c>
      <c r="D29" s="21">
        <v>3.3049999999999997</v>
      </c>
      <c r="E29" s="21">
        <v>3.3049999999999997</v>
      </c>
      <c r="G29" s="25" t="s">
        <v>1104</v>
      </c>
      <c r="H29" s="25">
        <v>70</v>
      </c>
      <c r="I29" s="26">
        <f>Tabla10[QUINTALES]/H29</f>
        <v>0.51710581765873032</v>
      </c>
    </row>
    <row r="30" spans="1:9">
      <c r="A30">
        <v>50491133</v>
      </c>
      <c r="B30" t="s">
        <v>1761</v>
      </c>
      <c r="C30" s="82">
        <v>12</v>
      </c>
      <c r="D30" s="21">
        <v>3.3049999999999997</v>
      </c>
      <c r="E30" s="21">
        <v>39.659999999999997</v>
      </c>
    </row>
    <row r="31" spans="1:9" ht="15" thickBot="1">
      <c r="A31">
        <v>52480086</v>
      </c>
      <c r="B31" t="s">
        <v>1939</v>
      </c>
      <c r="C31" s="82">
        <v>6</v>
      </c>
      <c r="D31" s="21">
        <v>0.23805555555555558</v>
      </c>
      <c r="E31" s="21">
        <v>1.4283333333333335</v>
      </c>
      <c r="G31" s="23" t="s">
        <v>1095</v>
      </c>
      <c r="H31" s="24" t="s">
        <v>1096</v>
      </c>
      <c r="I31" s="23" t="s">
        <v>1106</v>
      </c>
    </row>
    <row r="32" spans="1:9" ht="15" thickTop="1">
      <c r="A32">
        <v>69780941</v>
      </c>
      <c r="B32" t="s">
        <v>1951</v>
      </c>
      <c r="C32" s="82">
        <v>1128</v>
      </c>
      <c r="D32" s="21">
        <v>0.19833333333333333</v>
      </c>
      <c r="E32" s="21">
        <v>223.72</v>
      </c>
      <c r="G32" s="25" t="s">
        <v>1105</v>
      </c>
      <c r="H32" s="25">
        <v>70</v>
      </c>
      <c r="I32" s="26">
        <f>Tabla10[QUINTALES]/H32</f>
        <v>0.51710581765873032</v>
      </c>
    </row>
    <row r="33" spans="1:9">
      <c r="A33">
        <v>69584486</v>
      </c>
      <c r="B33" t="s">
        <v>1834</v>
      </c>
      <c r="C33" s="82">
        <v>1</v>
      </c>
      <c r="D33" s="21">
        <v>1.190625</v>
      </c>
      <c r="E33" s="21">
        <v>1.190625</v>
      </c>
    </row>
    <row r="34" spans="1:9" ht="15" thickBot="1">
      <c r="A34">
        <v>69761870</v>
      </c>
      <c r="B34" t="s">
        <v>1972</v>
      </c>
      <c r="C34" s="82">
        <v>12</v>
      </c>
      <c r="D34" s="21">
        <v>0.19833333333333333</v>
      </c>
      <c r="E34" s="21">
        <v>2.38</v>
      </c>
      <c r="G34" s="23" t="s">
        <v>1095</v>
      </c>
      <c r="H34" s="24" t="s">
        <v>1096</v>
      </c>
      <c r="I34" s="23" t="s">
        <v>1106</v>
      </c>
    </row>
    <row r="35" spans="1:9" ht="15" thickTop="1">
      <c r="A35">
        <v>69761861</v>
      </c>
      <c r="B35" t="s">
        <v>1987</v>
      </c>
      <c r="C35" s="82">
        <v>104</v>
      </c>
      <c r="D35" s="21">
        <v>0.19833333333333333</v>
      </c>
      <c r="E35" s="21">
        <v>20.626666666666665</v>
      </c>
      <c r="G35" s="25" t="s">
        <v>1848</v>
      </c>
      <c r="H35" s="25">
        <v>100</v>
      </c>
      <c r="I35" s="26">
        <f>Tabla10[QUINTALES]/H35</f>
        <v>0.36197407236111123</v>
      </c>
    </row>
    <row r="36" spans="1:9">
      <c r="A36">
        <v>68798139</v>
      </c>
      <c r="B36" t="s">
        <v>1993</v>
      </c>
      <c r="C36" s="82">
        <v>5</v>
      </c>
      <c r="D36" s="21">
        <v>0.1275</v>
      </c>
      <c r="E36" s="21">
        <v>0.63749999999999996</v>
      </c>
    </row>
    <row r="37" spans="1:9">
      <c r="A37">
        <v>68798140</v>
      </c>
      <c r="B37" t="s">
        <v>1992</v>
      </c>
      <c r="C37" s="82">
        <v>12</v>
      </c>
      <c r="D37" s="21">
        <v>0.1275</v>
      </c>
      <c r="E37" s="21">
        <v>1.53</v>
      </c>
    </row>
    <row r="38" spans="1:9">
      <c r="A38">
        <v>69761868</v>
      </c>
      <c r="B38" t="s">
        <v>2024</v>
      </c>
      <c r="C38" s="82">
        <v>179</v>
      </c>
      <c r="D38" s="21">
        <v>0.19843750000000002</v>
      </c>
      <c r="E38" s="21">
        <v>35.520312500000003</v>
      </c>
    </row>
    <row r="39" spans="1:9">
      <c r="A39">
        <v>50470111</v>
      </c>
      <c r="B39" t="s">
        <v>2055</v>
      </c>
      <c r="C39" s="82">
        <v>1</v>
      </c>
      <c r="D39" s="21">
        <v>2.48</v>
      </c>
      <c r="E39" s="21">
        <v>2.48</v>
      </c>
    </row>
    <row r="40" spans="1:9">
      <c r="A40">
        <v>69678222</v>
      </c>
      <c r="B40" t="s">
        <v>2088</v>
      </c>
      <c r="C40" s="82">
        <v>18</v>
      </c>
      <c r="D40" s="21">
        <v>0.5541666666666667</v>
      </c>
      <c r="E40" s="21">
        <v>9.9750000000000014</v>
      </c>
    </row>
    <row r="41" spans="1:9">
      <c r="A41" t="s">
        <v>529</v>
      </c>
      <c r="B41" t="s">
        <v>528</v>
      </c>
      <c r="C41" s="82">
        <v>352</v>
      </c>
      <c r="D41" s="21">
        <v>0.34375</v>
      </c>
      <c r="E41" s="21">
        <v>121</v>
      </c>
    </row>
    <row r="42" spans="1:9">
      <c r="A42" t="s">
        <v>103</v>
      </c>
      <c r="B42" t="s">
        <v>1147</v>
      </c>
      <c r="C42" s="82">
        <v>246</v>
      </c>
      <c r="D42" s="21">
        <v>0.72916666666666663</v>
      </c>
      <c r="E42" s="21">
        <v>179.375</v>
      </c>
    </row>
    <row r="43" spans="1:9">
      <c r="A43" t="s">
        <v>109</v>
      </c>
      <c r="B43" t="s">
        <v>108</v>
      </c>
      <c r="C43" s="82">
        <v>253</v>
      </c>
      <c r="D43" s="21">
        <v>0.44166666666666665</v>
      </c>
      <c r="E43" s="21">
        <v>111.74166666666666</v>
      </c>
    </row>
    <row r="44" spans="1:9">
      <c r="A44" t="s">
        <v>107</v>
      </c>
      <c r="B44" t="s">
        <v>106</v>
      </c>
      <c r="C44" s="82">
        <v>219</v>
      </c>
      <c r="D44" s="21">
        <v>0.44166666666666665</v>
      </c>
      <c r="E44" s="21">
        <v>96.724999999999994</v>
      </c>
    </row>
    <row r="45" spans="1:9">
      <c r="A45" t="s">
        <v>2228</v>
      </c>
      <c r="B45" t="s">
        <v>2227</v>
      </c>
      <c r="C45" s="82">
        <v>1159</v>
      </c>
      <c r="D45" s="21">
        <v>0.33958333333333335</v>
      </c>
      <c r="E45" s="21">
        <v>393.57708333333335</v>
      </c>
    </row>
    <row r="46" spans="1:9">
      <c r="A46" t="s">
        <v>706</v>
      </c>
      <c r="B46" t="s">
        <v>705</v>
      </c>
      <c r="C46" s="82">
        <v>10</v>
      </c>
      <c r="D46" s="21">
        <v>0.70833333333333337</v>
      </c>
      <c r="E46" s="21">
        <v>7.0833333333333339</v>
      </c>
    </row>
    <row r="47" spans="1:9">
      <c r="A47" t="s">
        <v>31</v>
      </c>
      <c r="B47" t="s">
        <v>30</v>
      </c>
      <c r="C47" s="82">
        <v>46</v>
      </c>
      <c r="D47" s="21">
        <v>0.11</v>
      </c>
      <c r="E47" s="21">
        <v>5.0599999999999996</v>
      </c>
    </row>
    <row r="48" spans="1:9">
      <c r="A48">
        <v>69678219</v>
      </c>
      <c r="B48" t="s">
        <v>2240</v>
      </c>
      <c r="C48" s="82">
        <v>8</v>
      </c>
      <c r="D48" s="21">
        <v>0.55541666666666667</v>
      </c>
      <c r="E48" s="21">
        <v>4.4433333333333334</v>
      </c>
    </row>
    <row r="49" spans="1:5">
      <c r="A49" t="s">
        <v>533</v>
      </c>
      <c r="B49" t="s">
        <v>532</v>
      </c>
      <c r="C49" s="82">
        <v>132</v>
      </c>
      <c r="D49" s="21">
        <v>0.5</v>
      </c>
      <c r="E49" s="21">
        <v>66</v>
      </c>
    </row>
    <row r="50" spans="1:5">
      <c r="A50" t="s">
        <v>1081</v>
      </c>
      <c r="B50" t="s">
        <v>1080</v>
      </c>
      <c r="C50" s="82">
        <v>10</v>
      </c>
      <c r="D50" s="21">
        <v>2.1166666666666667</v>
      </c>
      <c r="E50" s="21">
        <v>21.166666666666668</v>
      </c>
    </row>
    <row r="51" spans="1:5">
      <c r="A51" t="s">
        <v>1277</v>
      </c>
      <c r="B51" t="s">
        <v>1276</v>
      </c>
      <c r="C51" s="82">
        <v>9</v>
      </c>
      <c r="D51" s="21">
        <v>0.22041666666666668</v>
      </c>
      <c r="E51" s="21">
        <v>1.9837500000000001</v>
      </c>
    </row>
    <row r="52" spans="1:5">
      <c r="A52" t="s">
        <v>119</v>
      </c>
      <c r="B52" t="s">
        <v>118</v>
      </c>
      <c r="C52" s="82">
        <v>28</v>
      </c>
      <c r="D52" s="21">
        <v>0.875</v>
      </c>
      <c r="E52" s="21">
        <v>24.5</v>
      </c>
    </row>
    <row r="53" spans="1:5">
      <c r="A53" t="s">
        <v>1716</v>
      </c>
      <c r="B53" t="s">
        <v>1715</v>
      </c>
      <c r="C53" s="82">
        <v>27</v>
      </c>
      <c r="D53" s="21">
        <v>0.25</v>
      </c>
      <c r="E53" s="21">
        <v>6.75</v>
      </c>
    </row>
    <row r="54" spans="1:5">
      <c r="A54" t="s">
        <v>1749</v>
      </c>
      <c r="B54" t="s">
        <v>2008</v>
      </c>
      <c r="C54" s="82">
        <v>5</v>
      </c>
      <c r="D54" s="21">
        <v>0.71375</v>
      </c>
      <c r="E54" s="21">
        <v>3.5687500000000001</v>
      </c>
    </row>
    <row r="55" spans="1:5">
      <c r="A55" t="s">
        <v>1261</v>
      </c>
      <c r="B55" t="s">
        <v>1513</v>
      </c>
      <c r="C55" s="82">
        <v>6</v>
      </c>
      <c r="D55" s="21">
        <v>0.36249999999999999</v>
      </c>
      <c r="E55" s="21">
        <v>2.1749999999999998</v>
      </c>
    </row>
    <row r="56" spans="1:5">
      <c r="A56" t="s">
        <v>1026</v>
      </c>
      <c r="B56" t="s">
        <v>1025</v>
      </c>
      <c r="C56" s="82">
        <v>2</v>
      </c>
      <c r="D56" s="21">
        <v>0.9</v>
      </c>
      <c r="E56" s="21">
        <v>1.8</v>
      </c>
    </row>
    <row r="57" spans="1:5">
      <c r="A57" t="s">
        <v>671</v>
      </c>
      <c r="B57" t="s">
        <v>670</v>
      </c>
      <c r="C57" s="82">
        <v>6</v>
      </c>
      <c r="D57" s="21">
        <v>0.25</v>
      </c>
      <c r="E57" s="21">
        <v>1.5</v>
      </c>
    </row>
    <row r="58" spans="1:5">
      <c r="A58" t="s">
        <v>1289</v>
      </c>
      <c r="B58" t="s">
        <v>1431</v>
      </c>
      <c r="C58" s="82">
        <v>13</v>
      </c>
      <c r="D58" s="21">
        <v>0.36249999999999999</v>
      </c>
      <c r="E58" s="21">
        <v>4.7124999999999995</v>
      </c>
    </row>
    <row r="59" spans="1:5">
      <c r="A59" t="s">
        <v>662</v>
      </c>
      <c r="B59" t="s">
        <v>2171</v>
      </c>
      <c r="C59" s="82">
        <v>4</v>
      </c>
      <c r="D59" s="21">
        <v>8.3333333333333329E-2</v>
      </c>
      <c r="E59" s="21">
        <v>0.33333333333333331</v>
      </c>
    </row>
    <row r="60" spans="1:5">
      <c r="A60" t="s">
        <v>21</v>
      </c>
      <c r="B60" t="s">
        <v>20</v>
      </c>
      <c r="C60" s="82">
        <v>24</v>
      </c>
      <c r="D60" s="21">
        <v>0.8833333333333333</v>
      </c>
      <c r="E60" s="21">
        <v>21.2</v>
      </c>
    </row>
    <row r="61" spans="1:5">
      <c r="A61" t="s">
        <v>492</v>
      </c>
      <c r="B61" t="s">
        <v>491</v>
      </c>
      <c r="C61" s="82">
        <v>6</v>
      </c>
      <c r="D61" s="21">
        <v>0.82708333333333339</v>
      </c>
      <c r="E61" s="21">
        <v>4.9625000000000004</v>
      </c>
    </row>
    <row r="62" spans="1:5">
      <c r="A62" t="s">
        <v>535</v>
      </c>
      <c r="B62" t="s">
        <v>534</v>
      </c>
      <c r="C62" s="82">
        <v>41</v>
      </c>
      <c r="D62" s="21">
        <v>1.75</v>
      </c>
      <c r="E62" s="21">
        <v>71.75</v>
      </c>
    </row>
    <row r="63" spans="1:5">
      <c r="A63" t="s">
        <v>1355</v>
      </c>
      <c r="B63" t="s">
        <v>1354</v>
      </c>
      <c r="C63" s="82">
        <v>7</v>
      </c>
      <c r="D63" s="21">
        <v>0.9</v>
      </c>
      <c r="E63" s="21">
        <v>6.3</v>
      </c>
    </row>
    <row r="64" spans="1:5">
      <c r="A64" t="s">
        <v>429</v>
      </c>
      <c r="B64" t="s">
        <v>428</v>
      </c>
      <c r="C64" s="82">
        <v>1</v>
      </c>
      <c r="D64" s="21">
        <v>2.1166666666666667</v>
      </c>
      <c r="E64" s="21">
        <v>2.1166666666666667</v>
      </c>
    </row>
    <row r="65" spans="1:5">
      <c r="A65" t="s">
        <v>825</v>
      </c>
      <c r="B65" t="s">
        <v>824</v>
      </c>
      <c r="C65" s="82">
        <v>2</v>
      </c>
      <c r="D65" s="21">
        <v>0.37040000000000001</v>
      </c>
      <c r="E65" s="21">
        <v>0.74080000000000001</v>
      </c>
    </row>
    <row r="66" spans="1:5">
      <c r="A66" t="s">
        <v>1974</v>
      </c>
      <c r="B66" t="s">
        <v>1973</v>
      </c>
      <c r="C66" s="82">
        <v>4</v>
      </c>
      <c r="D66" s="21">
        <v>0.47599999999999998</v>
      </c>
      <c r="E66" s="21">
        <v>1.9039999999999999</v>
      </c>
    </row>
    <row r="67" spans="1:5">
      <c r="A67" t="s">
        <v>2188</v>
      </c>
      <c r="B67" t="s">
        <v>2187</v>
      </c>
      <c r="C67" s="82">
        <v>10</v>
      </c>
      <c r="D67" s="21">
        <v>0.52916666666666667</v>
      </c>
      <c r="E67" s="21">
        <v>5.291666666666667</v>
      </c>
    </row>
    <row r="68" spans="1:5">
      <c r="A68" t="s">
        <v>1475</v>
      </c>
      <c r="B68" t="s">
        <v>1474</v>
      </c>
      <c r="C68" s="82">
        <v>4</v>
      </c>
      <c r="D68" s="21">
        <v>0.9</v>
      </c>
      <c r="E68" s="21">
        <v>3.6</v>
      </c>
    </row>
    <row r="69" spans="1:5">
      <c r="A69" t="s">
        <v>1349</v>
      </c>
      <c r="B69" t="s">
        <v>1348</v>
      </c>
      <c r="C69" s="82">
        <v>1</v>
      </c>
      <c r="D69" s="21">
        <v>0.9</v>
      </c>
      <c r="E69" s="21">
        <v>0.9</v>
      </c>
    </row>
    <row r="70" spans="1:5">
      <c r="A70" t="s">
        <v>1265</v>
      </c>
      <c r="B70" t="s">
        <v>1264</v>
      </c>
      <c r="C70" s="82">
        <v>180</v>
      </c>
      <c r="D70" s="21">
        <v>0.22041666666666668</v>
      </c>
      <c r="E70" s="21">
        <v>39.675000000000004</v>
      </c>
    </row>
    <row r="71" spans="1:5">
      <c r="A71" t="s">
        <v>531</v>
      </c>
      <c r="B71" t="s">
        <v>530</v>
      </c>
      <c r="C71" s="82">
        <v>9</v>
      </c>
      <c r="D71" s="21">
        <v>1.8125</v>
      </c>
      <c r="E71" s="21">
        <v>16.3125</v>
      </c>
    </row>
    <row r="72" spans="1:5">
      <c r="A72" t="s">
        <v>115</v>
      </c>
      <c r="B72" t="s">
        <v>114</v>
      </c>
      <c r="C72" s="82">
        <v>100</v>
      </c>
      <c r="D72" s="21">
        <v>0.65625</v>
      </c>
      <c r="E72" s="21">
        <v>65.625</v>
      </c>
    </row>
    <row r="73" spans="1:5">
      <c r="A73" t="s">
        <v>397</v>
      </c>
      <c r="B73" t="s">
        <v>396</v>
      </c>
      <c r="C73" s="82">
        <v>3</v>
      </c>
      <c r="D73" s="21">
        <v>0.24270833333333333</v>
      </c>
      <c r="E73" s="21">
        <v>0.72812500000000002</v>
      </c>
    </row>
    <row r="74" spans="1:5">
      <c r="A74" t="s">
        <v>41</v>
      </c>
      <c r="B74" t="s">
        <v>40</v>
      </c>
      <c r="C74" s="82">
        <v>3</v>
      </c>
      <c r="D74" s="21">
        <v>0.24270833333333333</v>
      </c>
      <c r="E74" s="21">
        <v>0.72812500000000002</v>
      </c>
    </row>
    <row r="75" spans="1:5">
      <c r="A75" t="s">
        <v>39</v>
      </c>
      <c r="B75" t="s">
        <v>38</v>
      </c>
      <c r="C75" s="82">
        <v>3</v>
      </c>
      <c r="D75" s="21">
        <v>0.24270833333333333</v>
      </c>
      <c r="E75" s="21">
        <v>0.72812500000000002</v>
      </c>
    </row>
    <row r="76" spans="1:5">
      <c r="A76" t="s">
        <v>2136</v>
      </c>
      <c r="B76" t="s">
        <v>2135</v>
      </c>
      <c r="C76" s="82">
        <v>4</v>
      </c>
      <c r="D76" s="21">
        <v>0.82750000000000001</v>
      </c>
      <c r="E76" s="21">
        <v>3.31</v>
      </c>
    </row>
    <row r="77" spans="1:5">
      <c r="A77" t="s">
        <v>2087</v>
      </c>
      <c r="B77" t="s">
        <v>2086</v>
      </c>
      <c r="C77" s="82">
        <v>4</v>
      </c>
      <c r="D77" s="21">
        <v>0.82750000000000001</v>
      </c>
      <c r="E77" s="21">
        <v>3.31</v>
      </c>
    </row>
    <row r="78" spans="1:5">
      <c r="A78" t="s">
        <v>482</v>
      </c>
      <c r="B78" t="s">
        <v>481</v>
      </c>
      <c r="C78" s="82">
        <v>30</v>
      </c>
      <c r="D78" s="21">
        <v>0.11493055555555556</v>
      </c>
      <c r="E78" s="21">
        <v>3.447916666666667</v>
      </c>
    </row>
    <row r="79" spans="1:5">
      <c r="A79" t="s">
        <v>510</v>
      </c>
      <c r="B79" t="s">
        <v>1237</v>
      </c>
      <c r="C79" s="82">
        <v>32</v>
      </c>
      <c r="D79" s="21">
        <v>0.72916666666666663</v>
      </c>
      <c r="E79" s="21">
        <v>23.333333333333332</v>
      </c>
    </row>
    <row r="80" spans="1:5">
      <c r="A80" t="s">
        <v>431</v>
      </c>
      <c r="B80" t="s">
        <v>430</v>
      </c>
      <c r="C80" s="82">
        <v>1</v>
      </c>
      <c r="D80" s="21">
        <v>2.1166666666666667</v>
      </c>
      <c r="E80" s="21">
        <v>2.1166666666666667</v>
      </c>
    </row>
    <row r="81" spans="1:5">
      <c r="A81" t="s">
        <v>1473</v>
      </c>
      <c r="B81" t="s">
        <v>1472</v>
      </c>
      <c r="C81" s="82">
        <v>2</v>
      </c>
      <c r="D81" s="21">
        <v>0.9</v>
      </c>
      <c r="E81" s="21">
        <v>1.8</v>
      </c>
    </row>
    <row r="82" spans="1:5">
      <c r="A82" t="s">
        <v>1359</v>
      </c>
      <c r="B82" t="s">
        <v>1358</v>
      </c>
      <c r="C82" s="82">
        <v>2</v>
      </c>
      <c r="D82" s="21">
        <v>0.9</v>
      </c>
      <c r="E82" s="21">
        <v>1.8</v>
      </c>
    </row>
    <row r="83" spans="1:5">
      <c r="A83" t="s">
        <v>2191</v>
      </c>
      <c r="B83" t="s">
        <v>2190</v>
      </c>
      <c r="C83" s="82">
        <v>4</v>
      </c>
      <c r="D83" s="21">
        <v>0.52916666666666667</v>
      </c>
      <c r="E83" s="21">
        <v>2.1166666666666667</v>
      </c>
    </row>
    <row r="84" spans="1:5">
      <c r="A84" t="s">
        <v>102</v>
      </c>
      <c r="B84" t="s">
        <v>101</v>
      </c>
      <c r="C84" s="82">
        <v>20</v>
      </c>
      <c r="D84" s="21">
        <v>0.72916666666666663</v>
      </c>
      <c r="E84" s="21">
        <v>14.583333333333332</v>
      </c>
    </row>
    <row r="85" spans="1:5">
      <c r="A85" t="s">
        <v>1944</v>
      </c>
      <c r="B85" t="s">
        <v>1943</v>
      </c>
      <c r="C85" s="82">
        <v>1</v>
      </c>
      <c r="D85" s="21">
        <v>0.10416666666666667</v>
      </c>
      <c r="E85" s="21">
        <v>0.10416666666666667</v>
      </c>
    </row>
    <row r="86" spans="1:5">
      <c r="A86" t="s">
        <v>1347</v>
      </c>
      <c r="B86" t="s">
        <v>1346</v>
      </c>
      <c r="C86" s="82">
        <v>1</v>
      </c>
      <c r="D86" s="21">
        <v>0.9</v>
      </c>
      <c r="E86" s="21">
        <v>0.9</v>
      </c>
    </row>
    <row r="87" spans="1:5">
      <c r="A87" t="s">
        <v>1471</v>
      </c>
      <c r="B87" t="s">
        <v>1470</v>
      </c>
      <c r="C87" s="82">
        <v>8</v>
      </c>
      <c r="D87" s="21">
        <v>0.9</v>
      </c>
      <c r="E87" s="21">
        <v>7.2</v>
      </c>
    </row>
    <row r="88" spans="1:5">
      <c r="A88" t="s">
        <v>1271</v>
      </c>
      <c r="B88" t="s">
        <v>1642</v>
      </c>
      <c r="C88" s="82">
        <v>38</v>
      </c>
      <c r="D88" s="21">
        <v>0.83750000000000002</v>
      </c>
      <c r="E88" s="21">
        <v>31.824999999999999</v>
      </c>
    </row>
    <row r="89" spans="1:5">
      <c r="A89" t="s">
        <v>1273</v>
      </c>
      <c r="B89" t="s">
        <v>1272</v>
      </c>
      <c r="C89" s="82">
        <v>15</v>
      </c>
      <c r="D89" s="21">
        <v>0.79375000000000007</v>
      </c>
      <c r="E89" s="21">
        <v>11.906250000000002</v>
      </c>
    </row>
    <row r="90" spans="1:5">
      <c r="A90" t="s">
        <v>506</v>
      </c>
      <c r="B90" t="s">
        <v>505</v>
      </c>
      <c r="C90" s="82">
        <v>20</v>
      </c>
      <c r="D90" s="21">
        <v>0.72916666666666663</v>
      </c>
      <c r="E90" s="21">
        <v>14.583333333333332</v>
      </c>
    </row>
    <row r="91" spans="1:5">
      <c r="A91" t="s">
        <v>1795</v>
      </c>
      <c r="B91" t="s">
        <v>1794</v>
      </c>
      <c r="C91" s="82">
        <v>12</v>
      </c>
      <c r="D91" s="21">
        <v>0.2</v>
      </c>
      <c r="E91" s="21">
        <v>2.4000000000000004</v>
      </c>
    </row>
    <row r="92" spans="1:5">
      <c r="A92" t="s">
        <v>37</v>
      </c>
      <c r="B92" t="s">
        <v>36</v>
      </c>
      <c r="C92" s="82">
        <v>3</v>
      </c>
      <c r="D92" s="21">
        <v>0.24270833333333333</v>
      </c>
      <c r="E92" s="21">
        <v>0.72812500000000002</v>
      </c>
    </row>
    <row r="93" spans="1:5">
      <c r="A93" t="s">
        <v>339</v>
      </c>
      <c r="B93" t="s">
        <v>338</v>
      </c>
      <c r="C93" s="82">
        <v>4</v>
      </c>
      <c r="D93" s="21">
        <v>1.1041666666666667</v>
      </c>
      <c r="E93" s="21">
        <v>4.416666666666667</v>
      </c>
    </row>
    <row r="94" spans="1:5">
      <c r="A94" t="s">
        <v>7</v>
      </c>
      <c r="B94" t="s">
        <v>6</v>
      </c>
      <c r="C94" s="82">
        <v>2</v>
      </c>
      <c r="D94" s="21">
        <v>1.1041666666666667</v>
      </c>
      <c r="E94" s="21">
        <v>2.2083333333333335</v>
      </c>
    </row>
    <row r="95" spans="1:5">
      <c r="A95" t="s">
        <v>1525</v>
      </c>
      <c r="B95" t="s">
        <v>1524</v>
      </c>
      <c r="C95" s="82">
        <v>8</v>
      </c>
      <c r="D95" s="21">
        <v>0.9</v>
      </c>
      <c r="E95" s="21">
        <v>7.2</v>
      </c>
    </row>
    <row r="96" spans="1:5">
      <c r="A96" t="s">
        <v>2090</v>
      </c>
      <c r="B96" t="s">
        <v>2089</v>
      </c>
      <c r="C96" s="82">
        <v>1</v>
      </c>
      <c r="D96" s="21">
        <v>100</v>
      </c>
      <c r="E96" s="21">
        <v>100</v>
      </c>
    </row>
    <row r="97" spans="1:5">
      <c r="A97" t="s">
        <v>1692</v>
      </c>
      <c r="B97" t="s">
        <v>1691</v>
      </c>
      <c r="C97" s="82">
        <v>10</v>
      </c>
      <c r="D97" s="21">
        <v>0.92524999999999991</v>
      </c>
      <c r="E97" s="21">
        <v>9.2524999999999995</v>
      </c>
    </row>
    <row r="98" spans="1:5">
      <c r="A98" t="s">
        <v>1690</v>
      </c>
      <c r="B98" t="s">
        <v>1689</v>
      </c>
      <c r="C98" s="82">
        <v>10</v>
      </c>
      <c r="D98" s="21">
        <v>0.92524999999999991</v>
      </c>
      <c r="E98" s="21">
        <v>9.2524999999999995</v>
      </c>
    </row>
    <row r="99" spans="1:5">
      <c r="A99" t="s">
        <v>1269</v>
      </c>
      <c r="B99" t="s">
        <v>1647</v>
      </c>
      <c r="C99" s="82">
        <v>26</v>
      </c>
      <c r="D99" s="21">
        <v>0.22041666666666668</v>
      </c>
      <c r="E99" s="21">
        <v>5.7308333333333339</v>
      </c>
    </row>
    <row r="100" spans="1:5">
      <c r="A100" t="s">
        <v>1267</v>
      </c>
      <c r="B100" t="s">
        <v>1662</v>
      </c>
      <c r="C100" s="82">
        <v>6</v>
      </c>
      <c r="D100" s="21">
        <v>0.44083333333333335</v>
      </c>
      <c r="E100" s="21">
        <v>2.645</v>
      </c>
    </row>
    <row r="101" spans="1:5">
      <c r="A101" t="s">
        <v>1301</v>
      </c>
      <c r="B101" t="s">
        <v>1300</v>
      </c>
      <c r="C101" s="82">
        <v>9</v>
      </c>
      <c r="D101" s="21">
        <v>0.22041666666666668</v>
      </c>
      <c r="E101" s="21">
        <v>1.9837500000000001</v>
      </c>
    </row>
    <row r="102" spans="1:5">
      <c r="A102" t="s">
        <v>2246</v>
      </c>
      <c r="B102" t="s">
        <v>2245</v>
      </c>
      <c r="C102" s="82">
        <v>1</v>
      </c>
      <c r="D102" s="21">
        <v>0.1</v>
      </c>
      <c r="E102" s="21">
        <v>0.1</v>
      </c>
    </row>
    <row r="103" spans="1:5">
      <c r="A103" t="s">
        <v>1659</v>
      </c>
      <c r="B103" t="s">
        <v>2184</v>
      </c>
      <c r="C103" s="82">
        <v>6</v>
      </c>
      <c r="D103" s="21">
        <v>1.1016666666666668</v>
      </c>
      <c r="E103" s="21">
        <v>6.6100000000000012</v>
      </c>
    </row>
    <row r="104" spans="1:5">
      <c r="A104" t="s">
        <v>1657</v>
      </c>
      <c r="B104" t="s">
        <v>2167</v>
      </c>
      <c r="C104" s="82">
        <v>6</v>
      </c>
      <c r="D104" s="21">
        <v>1.1016666666666668</v>
      </c>
      <c r="E104" s="21">
        <v>6.6100000000000012</v>
      </c>
    </row>
    <row r="105" spans="1:5">
      <c r="A105" t="s">
        <v>553</v>
      </c>
      <c r="B105" t="s">
        <v>552</v>
      </c>
      <c r="C105" s="82">
        <v>8</v>
      </c>
      <c r="D105" s="21">
        <v>0.7729166666666667</v>
      </c>
      <c r="E105" s="21">
        <v>6.1833333333333336</v>
      </c>
    </row>
    <row r="106" spans="1:5">
      <c r="A106" t="s">
        <v>555</v>
      </c>
      <c r="B106" t="s">
        <v>554</v>
      </c>
      <c r="C106" s="82">
        <v>11</v>
      </c>
      <c r="D106" s="21">
        <v>0.7729166666666667</v>
      </c>
      <c r="E106" s="21">
        <v>8.5020833333333332</v>
      </c>
    </row>
    <row r="107" spans="1:5">
      <c r="A107" t="s">
        <v>519</v>
      </c>
      <c r="B107" t="s">
        <v>518</v>
      </c>
      <c r="C107" s="82">
        <v>6</v>
      </c>
      <c r="D107" s="21">
        <v>0.5</v>
      </c>
      <c r="E107" s="21">
        <v>3</v>
      </c>
    </row>
    <row r="108" spans="1:5">
      <c r="A108" t="s">
        <v>113</v>
      </c>
      <c r="B108" t="s">
        <v>112</v>
      </c>
      <c r="C108" s="82">
        <v>18</v>
      </c>
      <c r="D108" s="21">
        <v>0.9375</v>
      </c>
      <c r="E108" s="21">
        <v>16.875</v>
      </c>
    </row>
    <row r="109" spans="1:5">
      <c r="A109" t="s">
        <v>425</v>
      </c>
      <c r="B109" t="s">
        <v>424</v>
      </c>
      <c r="C109" s="82">
        <v>2</v>
      </c>
      <c r="D109" s="21">
        <v>8.8888888888888892E-2</v>
      </c>
      <c r="E109" s="21">
        <v>0.17777777777777778</v>
      </c>
    </row>
    <row r="110" spans="1:5">
      <c r="A110" t="s">
        <v>391</v>
      </c>
      <c r="B110" t="s">
        <v>2260</v>
      </c>
      <c r="C110" s="82">
        <v>1</v>
      </c>
      <c r="D110" s="21">
        <v>1.5</v>
      </c>
      <c r="E110" s="21">
        <v>1.5</v>
      </c>
    </row>
    <row r="111" spans="1:5">
      <c r="A111" t="s">
        <v>387</v>
      </c>
      <c r="B111" t="s">
        <v>2271</v>
      </c>
      <c r="C111" s="82">
        <v>20</v>
      </c>
      <c r="D111" s="21">
        <v>0.88249999999999995</v>
      </c>
      <c r="E111" s="21">
        <v>17.649999999999999</v>
      </c>
    </row>
    <row r="112" spans="1:5">
      <c r="A112" t="s">
        <v>1718</v>
      </c>
      <c r="B112" t="s">
        <v>1717</v>
      </c>
      <c r="C112" s="82">
        <v>2</v>
      </c>
      <c r="D112" s="21">
        <v>0.6</v>
      </c>
      <c r="E112" s="21">
        <v>1.2</v>
      </c>
    </row>
    <row r="113" spans="1:5">
      <c r="A113" t="s">
        <v>1210</v>
      </c>
      <c r="B113" t="s">
        <v>1166</v>
      </c>
      <c r="C113" s="82">
        <v>1</v>
      </c>
      <c r="D113" s="21">
        <v>0.9277777777777777</v>
      </c>
      <c r="E113" s="21">
        <v>0.9277777777777777</v>
      </c>
    </row>
    <row r="114" spans="1:5">
      <c r="A114" t="s">
        <v>2065</v>
      </c>
      <c r="B114" t="s">
        <v>2064</v>
      </c>
      <c r="C114" s="82">
        <v>24</v>
      </c>
      <c r="D114" s="21">
        <v>0.88166666666666671</v>
      </c>
      <c r="E114" s="21">
        <v>21.16</v>
      </c>
    </row>
    <row r="115" spans="1:5">
      <c r="A115" t="s">
        <v>1674</v>
      </c>
      <c r="B115" t="s">
        <v>1673</v>
      </c>
      <c r="C115" s="82">
        <v>2</v>
      </c>
      <c r="D115" s="21">
        <v>0.9</v>
      </c>
      <c r="E115" s="21">
        <v>1.8</v>
      </c>
    </row>
    <row r="116" spans="1:5">
      <c r="A116" t="s">
        <v>2200</v>
      </c>
      <c r="B116" t="s">
        <v>2199</v>
      </c>
      <c r="C116" s="82">
        <v>10</v>
      </c>
      <c r="D116" s="21">
        <v>0.1648</v>
      </c>
      <c r="E116" s="21">
        <v>1.6480000000000001</v>
      </c>
    </row>
    <row r="117" spans="1:5">
      <c r="A117" t="s">
        <v>1291</v>
      </c>
      <c r="B117" t="s">
        <v>1290</v>
      </c>
      <c r="C117" s="82">
        <v>6</v>
      </c>
      <c r="D117" s="21">
        <v>0.22041666666666668</v>
      </c>
      <c r="E117" s="21">
        <v>1.3225</v>
      </c>
    </row>
    <row r="118" spans="1:5">
      <c r="A118" t="s">
        <v>1449</v>
      </c>
      <c r="B118" t="s">
        <v>1448</v>
      </c>
      <c r="C118" s="82">
        <v>2</v>
      </c>
      <c r="D118" s="21">
        <v>1.1875</v>
      </c>
      <c r="E118" s="21">
        <v>2.375</v>
      </c>
    </row>
    <row r="119" spans="1:5">
      <c r="A119" t="s">
        <v>1263</v>
      </c>
      <c r="B119" t="s">
        <v>1262</v>
      </c>
      <c r="C119" s="82">
        <v>1</v>
      </c>
      <c r="D119" s="21">
        <v>1.6600000000000001</v>
      </c>
      <c r="E119" s="21">
        <v>1.6600000000000001</v>
      </c>
    </row>
    <row r="120" spans="1:5">
      <c r="A120" t="s">
        <v>1821</v>
      </c>
      <c r="B120" t="s">
        <v>1820</v>
      </c>
      <c r="C120" s="82">
        <v>12</v>
      </c>
      <c r="D120" s="21">
        <v>1.3216666666666665</v>
      </c>
      <c r="E120" s="21">
        <v>15.86</v>
      </c>
    </row>
    <row r="121" spans="1:5">
      <c r="A121" t="s">
        <v>1894</v>
      </c>
      <c r="B121" t="s">
        <v>1893</v>
      </c>
      <c r="C121" s="82">
        <v>2</v>
      </c>
      <c r="D121" s="21">
        <v>0.8833333333333333</v>
      </c>
      <c r="E121" s="21">
        <v>1.7666666666666666</v>
      </c>
    </row>
    <row r="122" spans="1:5">
      <c r="A122" t="s">
        <v>2068</v>
      </c>
      <c r="B122" t="s">
        <v>2067</v>
      </c>
      <c r="C122" s="82">
        <v>6</v>
      </c>
      <c r="D122" s="21">
        <v>1.1008333333333333</v>
      </c>
      <c r="E122" s="21">
        <v>6.6050000000000004</v>
      </c>
    </row>
    <row r="123" spans="1:5">
      <c r="A123" t="s">
        <v>13</v>
      </c>
      <c r="B123" t="s">
        <v>12</v>
      </c>
      <c r="C123" s="82">
        <v>24</v>
      </c>
      <c r="D123" s="21">
        <v>3.1091666666666669</v>
      </c>
      <c r="E123" s="21">
        <v>74.62</v>
      </c>
    </row>
    <row r="124" spans="1:5">
      <c r="A124" t="s">
        <v>525</v>
      </c>
      <c r="B124" t="s">
        <v>524</v>
      </c>
      <c r="C124" s="82">
        <v>12</v>
      </c>
      <c r="D124" s="21">
        <v>0.5</v>
      </c>
      <c r="E124" s="21">
        <v>6</v>
      </c>
    </row>
    <row r="125" spans="1:5">
      <c r="A125" t="s">
        <v>517</v>
      </c>
      <c r="B125" t="s">
        <v>516</v>
      </c>
      <c r="C125" s="82">
        <v>6</v>
      </c>
      <c r="D125" s="21">
        <v>0.96875</v>
      </c>
      <c r="E125" s="21">
        <v>5.8125</v>
      </c>
    </row>
    <row r="126" spans="1:5">
      <c r="A126" t="s">
        <v>1422</v>
      </c>
      <c r="B126" t="s">
        <v>1421</v>
      </c>
      <c r="C126" s="82">
        <v>11</v>
      </c>
      <c r="D126" s="21">
        <v>0.7729166666666667</v>
      </c>
      <c r="E126" s="21">
        <v>8.5020833333333332</v>
      </c>
    </row>
    <row r="127" spans="1:5">
      <c r="A127" t="s">
        <v>111</v>
      </c>
      <c r="B127" t="s">
        <v>110</v>
      </c>
      <c r="C127" s="82">
        <v>48</v>
      </c>
      <c r="D127" s="21">
        <v>0.34375</v>
      </c>
      <c r="E127" s="21">
        <v>16.5</v>
      </c>
    </row>
    <row r="128" spans="1:5">
      <c r="A128" t="s">
        <v>1941</v>
      </c>
      <c r="B128" t="s">
        <v>1940</v>
      </c>
      <c r="C128" s="82">
        <v>2</v>
      </c>
      <c r="D128" s="21">
        <v>0.10416666666666667</v>
      </c>
      <c r="E128" s="21">
        <v>0.20833333333333334</v>
      </c>
    </row>
    <row r="129" spans="1:5">
      <c r="A129" t="s">
        <v>1136</v>
      </c>
      <c r="B129" t="s">
        <v>1135</v>
      </c>
      <c r="C129" s="82">
        <v>1</v>
      </c>
      <c r="D129" s="21">
        <v>0.06</v>
      </c>
      <c r="E129" s="21">
        <v>0.06</v>
      </c>
    </row>
    <row r="130" spans="1:5">
      <c r="A130" t="s">
        <v>5</v>
      </c>
      <c r="B130" t="s">
        <v>4</v>
      </c>
      <c r="C130" s="82">
        <v>1</v>
      </c>
      <c r="D130" s="21">
        <v>1.1041666666666667</v>
      </c>
      <c r="E130" s="21">
        <v>1.1041666666666667</v>
      </c>
    </row>
    <row r="131" spans="1:5">
      <c r="A131" t="s">
        <v>343</v>
      </c>
      <c r="B131" t="s">
        <v>342</v>
      </c>
      <c r="C131" s="82">
        <v>2</v>
      </c>
      <c r="D131" s="21">
        <v>1.1041666666666667</v>
      </c>
      <c r="E131" s="21">
        <v>2.2083333333333335</v>
      </c>
    </row>
    <row r="132" spans="1:5">
      <c r="A132" t="s">
        <v>3</v>
      </c>
      <c r="B132" t="s">
        <v>2</v>
      </c>
      <c r="C132" s="82">
        <v>4</v>
      </c>
      <c r="D132" s="21">
        <v>1.1041666666666667</v>
      </c>
      <c r="E132" s="21">
        <v>4.416666666666667</v>
      </c>
    </row>
    <row r="133" spans="1:5">
      <c r="A133" t="s">
        <v>1712</v>
      </c>
      <c r="B133" t="s">
        <v>1711</v>
      </c>
      <c r="C133" s="82">
        <v>2</v>
      </c>
      <c r="D133" s="21">
        <v>0.6</v>
      </c>
      <c r="E133" s="21">
        <v>1.2</v>
      </c>
    </row>
    <row r="134" spans="1:5">
      <c r="A134" t="s">
        <v>1710</v>
      </c>
      <c r="B134" t="s">
        <v>1709</v>
      </c>
      <c r="C134" s="82">
        <v>1</v>
      </c>
      <c r="D134" s="21">
        <v>0.6</v>
      </c>
      <c r="E134" s="21">
        <v>0.6</v>
      </c>
    </row>
    <row r="135" spans="1:5">
      <c r="A135" t="s">
        <v>1722</v>
      </c>
      <c r="B135" t="s">
        <v>1721</v>
      </c>
      <c r="C135" s="82">
        <v>2</v>
      </c>
      <c r="D135" s="21">
        <v>0.6</v>
      </c>
      <c r="E135" s="21">
        <v>1.2</v>
      </c>
    </row>
    <row r="136" spans="1:5">
      <c r="A136" t="s">
        <v>1935</v>
      </c>
      <c r="B136" t="s">
        <v>1936</v>
      </c>
      <c r="C136" s="82">
        <v>30</v>
      </c>
      <c r="D136" s="21">
        <v>1.1008333333333333</v>
      </c>
      <c r="E136" s="21">
        <v>33.024999999999999</v>
      </c>
    </row>
    <row r="137" spans="1:5">
      <c r="A137" t="s">
        <v>1330</v>
      </c>
      <c r="B137" t="s">
        <v>2221</v>
      </c>
      <c r="C137" s="82">
        <v>16</v>
      </c>
      <c r="D137" s="21">
        <v>0.62</v>
      </c>
      <c r="E137" s="21">
        <v>9.92</v>
      </c>
    </row>
    <row r="138" spans="1:5">
      <c r="A138" t="s">
        <v>1332</v>
      </c>
      <c r="B138" t="s">
        <v>2270</v>
      </c>
      <c r="C138" s="82">
        <v>2</v>
      </c>
      <c r="D138" s="21">
        <v>0.48</v>
      </c>
      <c r="E138" s="21">
        <v>0.96</v>
      </c>
    </row>
    <row r="139" spans="1:5">
      <c r="A139" t="s">
        <v>1953</v>
      </c>
      <c r="B139" t="s">
        <v>1952</v>
      </c>
      <c r="C139" s="82">
        <v>2</v>
      </c>
      <c r="D139" s="21">
        <v>1.5714285714285715E-2</v>
      </c>
      <c r="E139" s="21">
        <v>3.1428571428571431E-2</v>
      </c>
    </row>
    <row r="140" spans="1:5">
      <c r="A140" t="s">
        <v>1148</v>
      </c>
      <c r="B140" t="s">
        <v>1512</v>
      </c>
      <c r="C140" s="82">
        <v>25</v>
      </c>
      <c r="D140" s="21">
        <v>0.88</v>
      </c>
      <c r="E140" s="21">
        <v>22</v>
      </c>
    </row>
  </sheetData>
  <customSheetViews>
    <customSheetView guid="{D03BBA77-B0D6-4284-98FD-BE2506FB6F43}"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/>
  <dimension ref="A1:J125"/>
  <sheetViews>
    <sheetView topLeftCell="C1" zoomScaleNormal="100" workbookViewId="0">
      <selection activeCell="D4" sqref="D4"/>
    </sheetView>
  </sheetViews>
  <sheetFormatPr baseColWidth="10" defaultRowHeight="14.4"/>
  <cols>
    <col min="1" max="1" width="18.33203125" bestFit="1" customWidth="1"/>
    <col min="2" max="2" width="45" bestFit="1" customWidth="1"/>
    <col min="3" max="5" width="17.44140625" bestFit="1" customWidth="1"/>
    <col min="8" max="8" width="13" customWidth="1"/>
  </cols>
  <sheetData>
    <row r="1" spans="1:10">
      <c r="A1" s="20" t="s">
        <v>1093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0">
      <c r="A2">
        <v>60000210</v>
      </c>
      <c r="B2" t="s">
        <v>148</v>
      </c>
      <c r="C2" s="82">
        <v>24</v>
      </c>
      <c r="D2" s="21">
        <v>0.77200000000000002</v>
      </c>
      <c r="E2" s="21">
        <v>18.527999999999999</v>
      </c>
      <c r="G2" s="21">
        <f>SUM(E:E)</f>
        <v>2753.3134377645492</v>
      </c>
      <c r="H2" s="21">
        <f>CONVERT(G2,"lbm","cwt")</f>
        <v>27.533134377645492</v>
      </c>
    </row>
    <row r="3" spans="1:10">
      <c r="A3">
        <v>10010010010</v>
      </c>
      <c r="B3" t="s">
        <v>146</v>
      </c>
      <c r="C3" s="82">
        <v>18</v>
      </c>
      <c r="D3" s="21">
        <v>0.88200000000000001</v>
      </c>
      <c r="E3" s="21">
        <v>15.875999999999999</v>
      </c>
    </row>
    <row r="4" spans="1:10" ht="15" thickBot="1">
      <c r="A4">
        <v>60000094</v>
      </c>
      <c r="B4" t="s">
        <v>1387</v>
      </c>
      <c r="C4" s="82">
        <v>72</v>
      </c>
      <c r="D4" s="21">
        <v>1.76</v>
      </c>
      <c r="E4" s="21">
        <v>126.72</v>
      </c>
      <c r="G4" s="23" t="s">
        <v>1095</v>
      </c>
      <c r="H4" s="24" t="s">
        <v>1096</v>
      </c>
      <c r="I4" s="23" t="s">
        <v>1106</v>
      </c>
    </row>
    <row r="5" spans="1:10" ht="15" thickTop="1">
      <c r="A5">
        <v>586703</v>
      </c>
      <c r="B5" t="s">
        <v>2257</v>
      </c>
      <c r="C5" s="82">
        <v>3</v>
      </c>
      <c r="D5" s="21">
        <v>0.12833333333333333</v>
      </c>
      <c r="E5" s="21">
        <v>0.38500000000000001</v>
      </c>
      <c r="G5" s="25" t="s">
        <v>1097</v>
      </c>
      <c r="H5" s="25">
        <v>50</v>
      </c>
      <c r="I5" s="26">
        <f>Tabla20[QUINTALES]/H5</f>
        <v>0.55066268755290981</v>
      </c>
      <c r="J5" s="27"/>
    </row>
    <row r="6" spans="1:10">
      <c r="A6">
        <v>5460400</v>
      </c>
      <c r="B6" t="s">
        <v>2133</v>
      </c>
      <c r="C6" s="82">
        <v>132</v>
      </c>
      <c r="D6" s="21">
        <v>0.75</v>
      </c>
      <c r="E6" s="21">
        <v>99</v>
      </c>
      <c r="J6" s="21"/>
    </row>
    <row r="7" spans="1:10" ht="15" thickBot="1">
      <c r="A7">
        <v>621330</v>
      </c>
      <c r="B7" t="s">
        <v>652</v>
      </c>
      <c r="C7" s="82">
        <v>2</v>
      </c>
      <c r="D7" s="21">
        <v>0.8833333333333333</v>
      </c>
      <c r="E7" s="21">
        <v>1.7666666666666666</v>
      </c>
      <c r="G7" s="23" t="s">
        <v>1095</v>
      </c>
      <c r="H7" s="24" t="s">
        <v>1096</v>
      </c>
      <c r="I7" s="23" t="s">
        <v>1106</v>
      </c>
      <c r="J7" s="21"/>
    </row>
    <row r="8" spans="1:10" ht="15" thickTop="1">
      <c r="A8">
        <v>640676</v>
      </c>
      <c r="B8" t="s">
        <v>218</v>
      </c>
      <c r="C8" s="82">
        <v>6</v>
      </c>
      <c r="D8" s="21">
        <v>2.65</v>
      </c>
      <c r="E8" s="21">
        <v>15.899999999999999</v>
      </c>
      <c r="G8" s="25" t="s">
        <v>1098</v>
      </c>
      <c r="H8" s="25">
        <v>50</v>
      </c>
      <c r="I8" s="26">
        <f>Tabla20[QUINTALES]/H8</f>
        <v>0.55066268755290981</v>
      </c>
      <c r="J8" s="21"/>
    </row>
    <row r="9" spans="1:10">
      <c r="A9">
        <v>1008010073</v>
      </c>
      <c r="B9" t="s">
        <v>443</v>
      </c>
      <c r="C9" s="82">
        <v>3</v>
      </c>
      <c r="D9" s="21">
        <v>0.33071428571428568</v>
      </c>
      <c r="E9" s="21">
        <v>0.99214285714285699</v>
      </c>
      <c r="J9" s="21"/>
    </row>
    <row r="10" spans="1:10" ht="15" thickBot="1">
      <c r="A10">
        <v>10010020002</v>
      </c>
      <c r="B10" t="s">
        <v>144</v>
      </c>
      <c r="C10" s="82">
        <v>3</v>
      </c>
      <c r="D10" s="21">
        <v>0.88200000000000001</v>
      </c>
      <c r="E10" s="21">
        <v>2.6459999999999999</v>
      </c>
      <c r="G10" s="23" t="s">
        <v>1095</v>
      </c>
      <c r="H10" s="24" t="s">
        <v>1096</v>
      </c>
      <c r="I10" s="23" t="s">
        <v>1106</v>
      </c>
      <c r="J10" s="21"/>
    </row>
    <row r="11" spans="1:10" ht="15" thickTop="1">
      <c r="A11">
        <v>576003</v>
      </c>
      <c r="B11" t="s">
        <v>2084</v>
      </c>
      <c r="C11" s="82">
        <v>12</v>
      </c>
      <c r="D11" s="21">
        <v>0.11944444444444444</v>
      </c>
      <c r="E11" s="21">
        <v>1.4333333333333331</v>
      </c>
      <c r="G11" s="25" t="s">
        <v>1099</v>
      </c>
      <c r="H11" s="25">
        <v>50</v>
      </c>
      <c r="I11" s="26">
        <f>Tabla20[QUINTALES]/H11</f>
        <v>0.55066268755290981</v>
      </c>
      <c r="J11" s="21"/>
    </row>
    <row r="12" spans="1:10">
      <c r="A12">
        <v>68436586</v>
      </c>
      <c r="B12" t="s">
        <v>272</v>
      </c>
      <c r="C12" s="82">
        <v>6</v>
      </c>
      <c r="D12" s="21">
        <v>0.1125</v>
      </c>
      <c r="E12" s="21">
        <v>0.67500000000000004</v>
      </c>
      <c r="J12" s="21"/>
    </row>
    <row r="13" spans="1:10" ht="15" thickBot="1">
      <c r="A13">
        <v>400000127</v>
      </c>
      <c r="B13" t="s">
        <v>585</v>
      </c>
      <c r="C13" s="82">
        <v>2</v>
      </c>
      <c r="D13" s="21">
        <v>1.5449999999999999</v>
      </c>
      <c r="E13" s="21">
        <v>3.09</v>
      </c>
      <c r="G13" s="23" t="s">
        <v>1095</v>
      </c>
      <c r="H13" s="24" t="s">
        <v>1096</v>
      </c>
      <c r="I13" s="23" t="s">
        <v>1106</v>
      </c>
      <c r="J13" s="21"/>
    </row>
    <row r="14" spans="1:10" ht="15" thickTop="1">
      <c r="A14">
        <v>5467000</v>
      </c>
      <c r="B14" t="s">
        <v>2066</v>
      </c>
      <c r="C14" s="82">
        <v>6</v>
      </c>
      <c r="D14" s="21">
        <v>1.1100000000000001</v>
      </c>
      <c r="E14" s="21">
        <v>6.66</v>
      </c>
      <c r="G14" s="25" t="s">
        <v>1100</v>
      </c>
      <c r="H14" s="25">
        <v>50</v>
      </c>
      <c r="I14" s="26">
        <f>Tabla20[QUINTALES]/H14</f>
        <v>0.55066268755290981</v>
      </c>
      <c r="J14" s="21"/>
    </row>
    <row r="15" spans="1:10">
      <c r="A15">
        <v>50491102</v>
      </c>
      <c r="B15" t="s">
        <v>1898</v>
      </c>
      <c r="C15" s="82">
        <v>6</v>
      </c>
      <c r="D15" s="21">
        <v>2.65</v>
      </c>
      <c r="E15" s="21">
        <v>15.899999999999999</v>
      </c>
    </row>
    <row r="16" spans="1:10" ht="15" thickBot="1">
      <c r="A16">
        <v>50491100</v>
      </c>
      <c r="B16" t="s">
        <v>1899</v>
      </c>
      <c r="C16" s="82">
        <v>6</v>
      </c>
      <c r="D16" s="21">
        <v>2.65</v>
      </c>
      <c r="E16" s="21">
        <v>15.899999999999999</v>
      </c>
      <c r="G16" s="23" t="s">
        <v>1095</v>
      </c>
      <c r="H16" s="24" t="s">
        <v>1096</v>
      </c>
      <c r="I16" s="23" t="s">
        <v>1106</v>
      </c>
    </row>
    <row r="17" spans="1:9" ht="15" thickTop="1">
      <c r="A17">
        <v>10020040002</v>
      </c>
      <c r="B17" t="s">
        <v>145</v>
      </c>
      <c r="C17" s="82">
        <v>6</v>
      </c>
      <c r="D17" s="21">
        <v>0.88200000000000001</v>
      </c>
      <c r="E17" s="21">
        <v>5.2919999999999998</v>
      </c>
      <c r="G17" s="25" t="s">
        <v>1101</v>
      </c>
      <c r="H17" s="25">
        <v>50</v>
      </c>
      <c r="I17" s="26">
        <f>Tabla20[QUINTALES]/H17</f>
        <v>0.55066268755290981</v>
      </c>
    </row>
    <row r="18" spans="1:9">
      <c r="A18">
        <v>642366</v>
      </c>
      <c r="B18" t="s">
        <v>2275</v>
      </c>
      <c r="C18" s="82">
        <v>2</v>
      </c>
      <c r="D18" s="21">
        <v>0.24263888888888888</v>
      </c>
      <c r="E18" s="21">
        <v>0.48527777777777775</v>
      </c>
    </row>
    <row r="19" spans="1:9" ht="15" thickBot="1">
      <c r="A19">
        <v>10020010007</v>
      </c>
      <c r="B19" t="s">
        <v>143</v>
      </c>
      <c r="C19" s="82">
        <v>12</v>
      </c>
      <c r="D19" s="21">
        <v>0.88200000000000001</v>
      </c>
      <c r="E19" s="21">
        <v>10.584</v>
      </c>
      <c r="G19" s="23" t="s">
        <v>1095</v>
      </c>
      <c r="H19" s="24" t="s">
        <v>1096</v>
      </c>
      <c r="I19" s="23" t="s">
        <v>1106</v>
      </c>
    </row>
    <row r="20" spans="1:9" ht="15" thickTop="1">
      <c r="A20">
        <v>579409</v>
      </c>
      <c r="B20" t="s">
        <v>2233</v>
      </c>
      <c r="C20" s="82">
        <v>1</v>
      </c>
      <c r="D20" s="21">
        <v>0.11041666666666666</v>
      </c>
      <c r="E20" s="21">
        <v>0.11041666666666666</v>
      </c>
      <c r="G20" s="25" t="s">
        <v>1102</v>
      </c>
      <c r="H20" s="25">
        <v>50</v>
      </c>
      <c r="I20" s="26">
        <f>Tabla20[QUINTALES]/H20</f>
        <v>0.55066268755290981</v>
      </c>
    </row>
    <row r="21" spans="1:9">
      <c r="A21">
        <v>579407</v>
      </c>
      <c r="B21" t="s">
        <v>2230</v>
      </c>
      <c r="C21" s="82">
        <v>1</v>
      </c>
      <c r="D21" s="21">
        <v>0.11041666666666666</v>
      </c>
      <c r="E21" s="21">
        <v>0.11041666666666666</v>
      </c>
    </row>
    <row r="22" spans="1:9" ht="15" thickBot="1">
      <c r="A22">
        <v>400000221</v>
      </c>
      <c r="B22" t="s">
        <v>587</v>
      </c>
      <c r="C22" s="82">
        <v>15</v>
      </c>
      <c r="D22" s="21">
        <v>0.8</v>
      </c>
      <c r="E22" s="21">
        <v>12</v>
      </c>
      <c r="G22" s="23" t="s">
        <v>1095</v>
      </c>
      <c r="H22" s="24" t="s">
        <v>1096</v>
      </c>
      <c r="I22" s="23" t="s">
        <v>1106</v>
      </c>
    </row>
    <row r="23" spans="1:9" ht="15" thickTop="1">
      <c r="A23">
        <v>400000412</v>
      </c>
      <c r="B23" t="s">
        <v>581</v>
      </c>
      <c r="C23" s="82">
        <v>1</v>
      </c>
      <c r="D23" s="21">
        <v>0.3</v>
      </c>
      <c r="E23" s="21">
        <v>0.3</v>
      </c>
      <c r="G23" s="25" t="s">
        <v>1103</v>
      </c>
      <c r="H23" s="25">
        <v>30</v>
      </c>
      <c r="I23" s="26">
        <f>Tabla20[QUINTALES]/H23</f>
        <v>0.91777114592151643</v>
      </c>
    </row>
    <row r="24" spans="1:9">
      <c r="A24">
        <v>84158961</v>
      </c>
      <c r="B24" t="s">
        <v>246</v>
      </c>
      <c r="C24" s="82">
        <v>1</v>
      </c>
      <c r="D24" s="21">
        <v>0.75</v>
      </c>
      <c r="E24" s="21">
        <v>0.75</v>
      </c>
    </row>
    <row r="25" spans="1:9">
      <c r="A25">
        <v>69584500</v>
      </c>
      <c r="B25" t="s">
        <v>2166</v>
      </c>
      <c r="C25" s="82">
        <v>72</v>
      </c>
      <c r="D25" s="21">
        <v>9.9124999999999991E-2</v>
      </c>
      <c r="E25" s="21">
        <v>7.1369999999999996</v>
      </c>
    </row>
    <row r="26" spans="1:9" ht="15" thickBot="1">
      <c r="A26">
        <v>50491131</v>
      </c>
      <c r="B26" t="s">
        <v>1759</v>
      </c>
      <c r="C26" s="82">
        <v>6</v>
      </c>
      <c r="D26" s="21">
        <v>3.2916666666666665</v>
      </c>
      <c r="E26" s="21">
        <v>19.75</v>
      </c>
      <c r="G26" s="23" t="s">
        <v>1095</v>
      </c>
      <c r="H26" s="24" t="s">
        <v>1096</v>
      </c>
      <c r="I26" s="23" t="s">
        <v>1106</v>
      </c>
    </row>
    <row r="27" spans="1:9" ht="15" thickTop="1">
      <c r="A27" t="s">
        <v>529</v>
      </c>
      <c r="B27" t="s">
        <v>528</v>
      </c>
      <c r="C27" s="82">
        <v>182</v>
      </c>
      <c r="D27" s="21">
        <v>0.34375</v>
      </c>
      <c r="E27" s="21">
        <v>62.5625</v>
      </c>
      <c r="G27" s="25" t="s">
        <v>1104</v>
      </c>
      <c r="H27" s="25">
        <v>70</v>
      </c>
      <c r="I27" s="26">
        <f>Tabla20[QUINTALES]/H27</f>
        <v>0.3933304911092213</v>
      </c>
    </row>
    <row r="28" spans="1:9">
      <c r="A28" t="s">
        <v>109</v>
      </c>
      <c r="B28" t="s">
        <v>108</v>
      </c>
      <c r="C28" s="82">
        <v>1416</v>
      </c>
      <c r="D28" s="21">
        <v>0.44166666666666665</v>
      </c>
      <c r="E28" s="21">
        <v>625.4</v>
      </c>
    </row>
    <row r="29" spans="1:9" ht="15" thickBot="1">
      <c r="A29" t="s">
        <v>107</v>
      </c>
      <c r="B29" t="s">
        <v>106</v>
      </c>
      <c r="C29" s="82">
        <v>1524</v>
      </c>
      <c r="D29" s="21">
        <v>0.44166666666666665</v>
      </c>
      <c r="E29" s="21">
        <v>673.1</v>
      </c>
      <c r="G29" s="23" t="s">
        <v>1095</v>
      </c>
      <c r="H29" s="24" t="s">
        <v>1096</v>
      </c>
      <c r="I29" s="23" t="s">
        <v>1106</v>
      </c>
    </row>
    <row r="30" spans="1:9" ht="15" thickTop="1">
      <c r="A30">
        <v>52480086</v>
      </c>
      <c r="B30" t="s">
        <v>1939</v>
      </c>
      <c r="C30" s="82">
        <v>3</v>
      </c>
      <c r="D30" s="21">
        <v>0.23805555555555558</v>
      </c>
      <c r="E30" s="21">
        <v>0.71416666666666673</v>
      </c>
      <c r="G30" s="25" t="s">
        <v>1105</v>
      </c>
      <c r="H30" s="25">
        <v>70</v>
      </c>
      <c r="I30" s="26">
        <f>Tabla20[QUINTALES]/H30</f>
        <v>0.3933304911092213</v>
      </c>
    </row>
    <row r="31" spans="1:9">
      <c r="A31">
        <v>69717303</v>
      </c>
      <c r="B31" t="s">
        <v>1942</v>
      </c>
      <c r="C31" s="82">
        <v>12</v>
      </c>
      <c r="D31" s="21">
        <v>0.25</v>
      </c>
      <c r="E31" s="21">
        <v>3</v>
      </c>
    </row>
    <row r="32" spans="1:9">
      <c r="A32">
        <v>69780941</v>
      </c>
      <c r="B32" t="s">
        <v>1951</v>
      </c>
      <c r="C32" s="82">
        <v>216</v>
      </c>
      <c r="D32" s="21">
        <v>0.19833333333333333</v>
      </c>
      <c r="E32" s="21">
        <v>42.84</v>
      </c>
    </row>
    <row r="33" spans="1:5">
      <c r="A33">
        <v>69761861</v>
      </c>
      <c r="B33" t="s">
        <v>1987</v>
      </c>
      <c r="C33" s="82">
        <v>6</v>
      </c>
      <c r="D33" s="21">
        <v>0.19833333333333333</v>
      </c>
      <c r="E33" s="21">
        <v>1.19</v>
      </c>
    </row>
    <row r="34" spans="1:5">
      <c r="A34">
        <v>68798139</v>
      </c>
      <c r="B34" t="s">
        <v>1993</v>
      </c>
      <c r="C34" s="82">
        <v>1</v>
      </c>
      <c r="D34" s="21">
        <v>0.1275</v>
      </c>
      <c r="E34" s="21">
        <v>0.1275</v>
      </c>
    </row>
    <row r="35" spans="1:5">
      <c r="A35">
        <v>69761868</v>
      </c>
      <c r="B35" t="s">
        <v>2024</v>
      </c>
      <c r="C35" s="82">
        <v>21</v>
      </c>
      <c r="D35" s="21">
        <v>0.19843750000000002</v>
      </c>
      <c r="E35" s="21">
        <v>4.1671875000000007</v>
      </c>
    </row>
    <row r="36" spans="1:5">
      <c r="A36">
        <v>68436592</v>
      </c>
      <c r="B36" t="s">
        <v>1909</v>
      </c>
      <c r="C36" s="82">
        <v>1</v>
      </c>
      <c r="D36" s="21">
        <v>0.10166666666666667</v>
      </c>
      <c r="E36" s="21">
        <v>0.10166666666666667</v>
      </c>
    </row>
    <row r="37" spans="1:5">
      <c r="A37">
        <v>69678222</v>
      </c>
      <c r="B37" t="s">
        <v>2088</v>
      </c>
      <c r="C37" s="82">
        <v>12</v>
      </c>
      <c r="D37" s="21">
        <v>0.5541666666666667</v>
      </c>
      <c r="E37" s="21">
        <v>6.65</v>
      </c>
    </row>
    <row r="38" spans="1:5">
      <c r="A38" t="s">
        <v>21</v>
      </c>
      <c r="B38" t="s">
        <v>20</v>
      </c>
      <c r="C38" s="82">
        <v>7</v>
      </c>
      <c r="D38" s="21">
        <v>0.8833333333333333</v>
      </c>
      <c r="E38" s="21">
        <v>6.1833333333333336</v>
      </c>
    </row>
    <row r="39" spans="1:5">
      <c r="A39" t="s">
        <v>1277</v>
      </c>
      <c r="B39" t="s">
        <v>1276</v>
      </c>
      <c r="C39" s="82">
        <v>30</v>
      </c>
      <c r="D39" s="21">
        <v>0.22041666666666668</v>
      </c>
      <c r="E39" s="21">
        <v>6.6125000000000007</v>
      </c>
    </row>
    <row r="40" spans="1:5">
      <c r="A40" t="s">
        <v>103</v>
      </c>
      <c r="B40" t="s">
        <v>1147</v>
      </c>
      <c r="C40" s="82">
        <v>108</v>
      </c>
      <c r="D40" s="21">
        <v>0.72916666666666663</v>
      </c>
      <c r="E40" s="21">
        <v>78.75</v>
      </c>
    </row>
    <row r="41" spans="1:5">
      <c r="A41">
        <v>2103011672</v>
      </c>
      <c r="B41" t="s">
        <v>2229</v>
      </c>
      <c r="C41" s="82">
        <v>7</v>
      </c>
      <c r="D41" s="21">
        <v>0.25351851851851853</v>
      </c>
      <c r="E41" s="21">
        <v>1.7746296296296298</v>
      </c>
    </row>
    <row r="42" spans="1:5">
      <c r="A42" t="s">
        <v>2228</v>
      </c>
      <c r="B42" t="s">
        <v>2227</v>
      </c>
      <c r="C42" s="82">
        <v>472</v>
      </c>
      <c r="D42" s="21">
        <v>0.33958333333333335</v>
      </c>
      <c r="E42" s="21">
        <v>160.28333333333333</v>
      </c>
    </row>
    <row r="43" spans="1:5">
      <c r="A43" t="s">
        <v>1716</v>
      </c>
      <c r="B43" t="s">
        <v>1715</v>
      </c>
      <c r="C43" s="82">
        <v>23</v>
      </c>
      <c r="D43" s="21">
        <v>0.25</v>
      </c>
      <c r="E43" s="21">
        <v>5.75</v>
      </c>
    </row>
    <row r="44" spans="1:5">
      <c r="A44" t="s">
        <v>1475</v>
      </c>
      <c r="B44" t="s">
        <v>1474</v>
      </c>
      <c r="C44" s="82">
        <v>30</v>
      </c>
      <c r="D44" s="21">
        <v>0.9</v>
      </c>
      <c r="E44" s="21">
        <v>27</v>
      </c>
    </row>
    <row r="45" spans="1:5">
      <c r="A45" t="s">
        <v>671</v>
      </c>
      <c r="B45" t="s">
        <v>670</v>
      </c>
      <c r="C45" s="82">
        <v>78</v>
      </c>
      <c r="D45" s="21">
        <v>0.25</v>
      </c>
      <c r="E45" s="21">
        <v>19.5</v>
      </c>
    </row>
    <row r="46" spans="1:5">
      <c r="A46">
        <v>69678219</v>
      </c>
      <c r="B46" t="s">
        <v>2240</v>
      </c>
      <c r="C46" s="82">
        <v>3</v>
      </c>
      <c r="D46" s="21">
        <v>0.55541666666666667</v>
      </c>
      <c r="E46" s="21">
        <v>1.66625</v>
      </c>
    </row>
    <row r="47" spans="1:5">
      <c r="A47" t="s">
        <v>533</v>
      </c>
      <c r="B47" t="s">
        <v>532</v>
      </c>
      <c r="C47" s="82">
        <v>39</v>
      </c>
      <c r="D47" s="21">
        <v>0.5</v>
      </c>
      <c r="E47" s="21">
        <v>19.5</v>
      </c>
    </row>
    <row r="48" spans="1:5">
      <c r="A48" t="s">
        <v>119</v>
      </c>
      <c r="B48" t="s">
        <v>118</v>
      </c>
      <c r="C48" s="82">
        <v>12</v>
      </c>
      <c r="D48" s="21">
        <v>0.875</v>
      </c>
      <c r="E48" s="21">
        <v>10.5</v>
      </c>
    </row>
    <row r="49" spans="1:5">
      <c r="A49" t="s">
        <v>1269</v>
      </c>
      <c r="B49" t="s">
        <v>1647</v>
      </c>
      <c r="C49" s="82">
        <v>19</v>
      </c>
      <c r="D49" s="21">
        <v>0.22041666666666668</v>
      </c>
      <c r="E49" s="21">
        <v>4.1879166666666672</v>
      </c>
    </row>
    <row r="50" spans="1:5">
      <c r="A50" t="s">
        <v>1261</v>
      </c>
      <c r="B50" t="s">
        <v>1513</v>
      </c>
      <c r="C50" s="82">
        <v>12</v>
      </c>
      <c r="D50" s="21">
        <v>0.36249999999999999</v>
      </c>
      <c r="E50" s="21">
        <v>4.3499999999999996</v>
      </c>
    </row>
    <row r="51" spans="1:5">
      <c r="A51" t="s">
        <v>1289</v>
      </c>
      <c r="B51" t="s">
        <v>1431</v>
      </c>
      <c r="C51" s="82">
        <v>13</v>
      </c>
      <c r="D51" s="21">
        <v>0.36249999999999999</v>
      </c>
      <c r="E51" s="21">
        <v>4.7124999999999995</v>
      </c>
    </row>
    <row r="52" spans="1:5">
      <c r="A52" t="s">
        <v>1081</v>
      </c>
      <c r="B52" t="s">
        <v>1080</v>
      </c>
      <c r="C52" s="82">
        <v>3</v>
      </c>
      <c r="D52" s="21">
        <v>2.1166666666666667</v>
      </c>
      <c r="E52" s="21">
        <v>6.35</v>
      </c>
    </row>
    <row r="53" spans="1:5">
      <c r="A53" t="s">
        <v>1026</v>
      </c>
      <c r="B53" t="s">
        <v>1025</v>
      </c>
      <c r="C53" s="82">
        <v>16</v>
      </c>
      <c r="D53" s="21">
        <v>0.9</v>
      </c>
      <c r="E53" s="21">
        <v>14.4</v>
      </c>
    </row>
    <row r="54" spans="1:5">
      <c r="A54" t="s">
        <v>1674</v>
      </c>
      <c r="B54" t="s">
        <v>1673</v>
      </c>
      <c r="C54" s="82">
        <v>2</v>
      </c>
      <c r="D54" s="21">
        <v>0.9</v>
      </c>
      <c r="E54" s="21">
        <v>1.8</v>
      </c>
    </row>
    <row r="55" spans="1:5">
      <c r="A55" t="s">
        <v>31</v>
      </c>
      <c r="B55" t="s">
        <v>30</v>
      </c>
      <c r="C55" s="82">
        <v>6</v>
      </c>
      <c r="D55" s="21">
        <v>0.11</v>
      </c>
      <c r="E55" s="21">
        <v>0.66</v>
      </c>
    </row>
    <row r="56" spans="1:5">
      <c r="A56" t="s">
        <v>1359</v>
      </c>
      <c r="B56" t="s">
        <v>1358</v>
      </c>
      <c r="C56" s="82">
        <v>18</v>
      </c>
      <c r="D56" s="21">
        <v>0.9</v>
      </c>
      <c r="E56" s="21">
        <v>16.2</v>
      </c>
    </row>
    <row r="57" spans="1:5">
      <c r="A57" t="s">
        <v>706</v>
      </c>
      <c r="B57" t="s">
        <v>705</v>
      </c>
      <c r="C57" s="82">
        <v>11</v>
      </c>
      <c r="D57" s="21">
        <v>0.70833333333333337</v>
      </c>
      <c r="E57" s="21">
        <v>7.791666666666667</v>
      </c>
    </row>
    <row r="58" spans="1:5">
      <c r="A58" t="s">
        <v>102</v>
      </c>
      <c r="B58" t="s">
        <v>101</v>
      </c>
      <c r="C58" s="82">
        <v>36</v>
      </c>
      <c r="D58" s="21">
        <v>0.72916666666666663</v>
      </c>
      <c r="E58" s="21">
        <v>26.25</v>
      </c>
    </row>
    <row r="59" spans="1:5">
      <c r="A59" t="s">
        <v>2188</v>
      </c>
      <c r="B59" t="s">
        <v>2187</v>
      </c>
      <c r="C59" s="82">
        <v>8</v>
      </c>
      <c r="D59" s="21">
        <v>0.52916666666666667</v>
      </c>
      <c r="E59" s="21">
        <v>4.2333333333333334</v>
      </c>
    </row>
    <row r="60" spans="1:5">
      <c r="A60" t="s">
        <v>1525</v>
      </c>
      <c r="B60" t="s">
        <v>1524</v>
      </c>
      <c r="C60" s="82">
        <v>16</v>
      </c>
      <c r="D60" s="21">
        <v>0.9</v>
      </c>
      <c r="E60" s="21">
        <v>14.4</v>
      </c>
    </row>
    <row r="61" spans="1:5">
      <c r="A61" t="s">
        <v>535</v>
      </c>
      <c r="B61" t="s">
        <v>534</v>
      </c>
      <c r="C61" s="82">
        <v>6</v>
      </c>
      <c r="D61" s="21">
        <v>1.75</v>
      </c>
      <c r="E61" s="21">
        <v>10.5</v>
      </c>
    </row>
    <row r="62" spans="1:5">
      <c r="A62" t="s">
        <v>113</v>
      </c>
      <c r="B62" t="s">
        <v>112</v>
      </c>
      <c r="C62" s="82">
        <v>14</v>
      </c>
      <c r="D62" s="21">
        <v>0.9375</v>
      </c>
      <c r="E62" s="21">
        <v>13.125</v>
      </c>
    </row>
    <row r="63" spans="1:5">
      <c r="A63" t="s">
        <v>506</v>
      </c>
      <c r="B63" t="s">
        <v>505</v>
      </c>
      <c r="C63" s="82">
        <v>36</v>
      </c>
      <c r="D63" s="21">
        <v>0.72916666666666663</v>
      </c>
      <c r="E63" s="21">
        <v>26.25</v>
      </c>
    </row>
    <row r="64" spans="1:5">
      <c r="A64" t="s">
        <v>510</v>
      </c>
      <c r="B64" t="s">
        <v>1237</v>
      </c>
      <c r="C64" s="82">
        <v>36</v>
      </c>
      <c r="D64" s="21">
        <v>0.72916666666666663</v>
      </c>
      <c r="E64" s="21">
        <v>26.25</v>
      </c>
    </row>
    <row r="65" spans="1:5">
      <c r="A65" t="s">
        <v>1330</v>
      </c>
      <c r="B65" t="s">
        <v>2221</v>
      </c>
      <c r="C65" s="82">
        <v>2</v>
      </c>
      <c r="D65" s="21">
        <v>0.62</v>
      </c>
      <c r="E65" s="21">
        <v>1.24</v>
      </c>
    </row>
    <row r="66" spans="1:5">
      <c r="A66" t="s">
        <v>1265</v>
      </c>
      <c r="B66" t="s">
        <v>1264</v>
      </c>
      <c r="C66" s="82">
        <v>38</v>
      </c>
      <c r="D66" s="21">
        <v>0.22041666666666668</v>
      </c>
      <c r="E66" s="21">
        <v>8.3758333333333344</v>
      </c>
    </row>
    <row r="67" spans="1:5">
      <c r="A67" t="s">
        <v>1293</v>
      </c>
      <c r="B67" t="s">
        <v>1292</v>
      </c>
      <c r="C67" s="82">
        <v>6</v>
      </c>
      <c r="D67" s="21">
        <v>0.21875</v>
      </c>
      <c r="E67" s="21">
        <v>1.3125</v>
      </c>
    </row>
    <row r="68" spans="1:5">
      <c r="A68" t="s">
        <v>115</v>
      </c>
      <c r="B68" t="s">
        <v>114</v>
      </c>
      <c r="C68" s="82">
        <v>81</v>
      </c>
      <c r="D68" s="21">
        <v>0.65625</v>
      </c>
      <c r="E68" s="21">
        <v>53.15625</v>
      </c>
    </row>
    <row r="69" spans="1:5">
      <c r="A69" t="s">
        <v>1738</v>
      </c>
      <c r="B69" t="s">
        <v>1737</v>
      </c>
      <c r="C69" s="82">
        <v>2</v>
      </c>
      <c r="D69" s="21">
        <v>0.6</v>
      </c>
      <c r="E69" s="21">
        <v>1.2</v>
      </c>
    </row>
    <row r="70" spans="1:5">
      <c r="A70" t="s">
        <v>531</v>
      </c>
      <c r="B70" t="s">
        <v>530</v>
      </c>
      <c r="C70" s="82">
        <v>18</v>
      </c>
      <c r="D70" s="21">
        <v>1.8125</v>
      </c>
      <c r="E70" s="21">
        <v>32.625</v>
      </c>
    </row>
    <row r="71" spans="1:5">
      <c r="A71" t="s">
        <v>1471</v>
      </c>
      <c r="B71" t="s">
        <v>1470</v>
      </c>
      <c r="C71" s="82">
        <v>16</v>
      </c>
      <c r="D71" s="21">
        <v>0.9</v>
      </c>
      <c r="E71" s="21">
        <v>14.4</v>
      </c>
    </row>
    <row r="72" spans="1:5">
      <c r="A72" t="s">
        <v>1271</v>
      </c>
      <c r="B72" t="s">
        <v>1642</v>
      </c>
      <c r="C72" s="82">
        <v>3</v>
      </c>
      <c r="D72" s="21">
        <v>0.83750000000000002</v>
      </c>
      <c r="E72" s="21">
        <v>2.5125000000000002</v>
      </c>
    </row>
    <row r="73" spans="1:5">
      <c r="A73" t="s">
        <v>1722</v>
      </c>
      <c r="B73" t="s">
        <v>1721</v>
      </c>
      <c r="C73" s="82">
        <v>1</v>
      </c>
      <c r="D73" s="21">
        <v>0.6</v>
      </c>
      <c r="E73" s="21">
        <v>0.6</v>
      </c>
    </row>
    <row r="74" spans="1:5">
      <c r="A74" t="s">
        <v>1692</v>
      </c>
      <c r="B74" t="s">
        <v>1691</v>
      </c>
      <c r="C74" s="82">
        <v>3</v>
      </c>
      <c r="D74" s="21">
        <v>0.92524999999999991</v>
      </c>
      <c r="E74" s="21">
        <v>2.7757499999999995</v>
      </c>
    </row>
    <row r="75" spans="1:5">
      <c r="A75" t="s">
        <v>5</v>
      </c>
      <c r="B75" t="s">
        <v>4</v>
      </c>
      <c r="C75" s="82">
        <v>2</v>
      </c>
      <c r="D75" s="21">
        <v>1.1041666666666667</v>
      </c>
      <c r="E75" s="21">
        <v>2.2083333333333335</v>
      </c>
    </row>
    <row r="76" spans="1:5">
      <c r="A76" t="s">
        <v>343</v>
      </c>
      <c r="B76" t="s">
        <v>342</v>
      </c>
      <c r="C76" s="82">
        <v>8</v>
      </c>
      <c r="D76" s="21">
        <v>1.1041666666666667</v>
      </c>
      <c r="E76" s="21">
        <v>8.8333333333333339</v>
      </c>
    </row>
    <row r="77" spans="1:5">
      <c r="A77" t="s">
        <v>3</v>
      </c>
      <c r="B77" t="s">
        <v>2</v>
      </c>
      <c r="C77" s="82">
        <v>6</v>
      </c>
      <c r="D77" s="21">
        <v>1.1041666666666667</v>
      </c>
      <c r="E77" s="21">
        <v>6.625</v>
      </c>
    </row>
    <row r="78" spans="1:5">
      <c r="A78" t="s">
        <v>1690</v>
      </c>
      <c r="B78" t="s">
        <v>1689</v>
      </c>
      <c r="C78" s="82">
        <v>3</v>
      </c>
      <c r="D78" s="21">
        <v>0.92524999999999991</v>
      </c>
      <c r="E78" s="21">
        <v>2.7757499999999995</v>
      </c>
    </row>
    <row r="79" spans="1:5">
      <c r="A79" t="s">
        <v>1267</v>
      </c>
      <c r="B79" t="s">
        <v>1662</v>
      </c>
      <c r="C79" s="82">
        <v>18</v>
      </c>
      <c r="D79" s="21">
        <v>0.44083333333333335</v>
      </c>
      <c r="E79" s="21">
        <v>7.9350000000000005</v>
      </c>
    </row>
    <row r="80" spans="1:5">
      <c r="A80" t="s">
        <v>2179</v>
      </c>
      <c r="B80" t="s">
        <v>2178</v>
      </c>
      <c r="C80" s="82">
        <v>1</v>
      </c>
      <c r="D80" s="21">
        <v>0.42333333333333334</v>
      </c>
      <c r="E80" s="21">
        <v>0.42333333333333334</v>
      </c>
    </row>
    <row r="81" spans="1:5">
      <c r="A81" t="s">
        <v>100</v>
      </c>
      <c r="B81" t="s">
        <v>99</v>
      </c>
      <c r="C81" s="82">
        <v>30</v>
      </c>
      <c r="D81" s="21">
        <v>0.55208333333333337</v>
      </c>
      <c r="E81" s="21">
        <v>16.5625</v>
      </c>
    </row>
    <row r="82" spans="1:5">
      <c r="A82" t="s">
        <v>401</v>
      </c>
      <c r="B82" t="s">
        <v>400</v>
      </c>
      <c r="C82" s="82">
        <v>9</v>
      </c>
      <c r="D82" s="21">
        <v>2.1166666666666667</v>
      </c>
      <c r="E82" s="21">
        <v>19.05</v>
      </c>
    </row>
    <row r="83" spans="1:5">
      <c r="A83" t="s">
        <v>339</v>
      </c>
      <c r="B83" t="s">
        <v>338</v>
      </c>
      <c r="C83" s="82">
        <v>6</v>
      </c>
      <c r="D83" s="21">
        <v>1.1041666666666667</v>
      </c>
      <c r="E83" s="21">
        <v>6.625</v>
      </c>
    </row>
    <row r="84" spans="1:5">
      <c r="A84" t="s">
        <v>1355</v>
      </c>
      <c r="B84" t="s">
        <v>1354</v>
      </c>
      <c r="C84" s="82">
        <v>1</v>
      </c>
      <c r="D84" s="21">
        <v>0.9</v>
      </c>
      <c r="E84" s="21">
        <v>0.9</v>
      </c>
    </row>
    <row r="85" spans="1:5">
      <c r="A85" t="s">
        <v>13</v>
      </c>
      <c r="B85" t="s">
        <v>12</v>
      </c>
      <c r="C85" s="82">
        <v>12</v>
      </c>
      <c r="D85" s="21">
        <v>3.1091666666666669</v>
      </c>
      <c r="E85" s="21">
        <v>37.31</v>
      </c>
    </row>
    <row r="86" spans="1:5">
      <c r="A86" t="s">
        <v>480</v>
      </c>
      <c r="B86" t="s">
        <v>479</v>
      </c>
      <c r="C86" s="82">
        <v>30</v>
      </c>
      <c r="D86" s="21">
        <v>0.55208333333333337</v>
      </c>
      <c r="E86" s="21">
        <v>16.5625</v>
      </c>
    </row>
    <row r="87" spans="1:5">
      <c r="A87" t="s">
        <v>504</v>
      </c>
      <c r="B87" t="s">
        <v>503</v>
      </c>
      <c r="C87" s="82">
        <v>6</v>
      </c>
      <c r="D87" s="21">
        <v>2.2083333333333335</v>
      </c>
      <c r="E87" s="21">
        <v>13.25</v>
      </c>
    </row>
    <row r="88" spans="1:5">
      <c r="A88" t="s">
        <v>508</v>
      </c>
      <c r="B88" t="s">
        <v>507</v>
      </c>
      <c r="C88" s="82">
        <v>12</v>
      </c>
      <c r="D88" s="21">
        <v>0.72916666666666663</v>
      </c>
      <c r="E88" s="21">
        <v>8.75</v>
      </c>
    </row>
    <row r="89" spans="1:5">
      <c r="A89" t="s">
        <v>1679</v>
      </c>
      <c r="B89" t="s">
        <v>2201</v>
      </c>
      <c r="C89" s="82">
        <v>3</v>
      </c>
      <c r="D89" s="21">
        <v>0.33041666666666664</v>
      </c>
      <c r="E89" s="21">
        <v>0.99124999999999996</v>
      </c>
    </row>
    <row r="90" spans="1:5">
      <c r="A90" t="s">
        <v>1710</v>
      </c>
      <c r="B90" t="s">
        <v>1709</v>
      </c>
      <c r="C90" s="82">
        <v>1</v>
      </c>
      <c r="D90" s="21">
        <v>0.6</v>
      </c>
      <c r="E90" s="21">
        <v>0.6</v>
      </c>
    </row>
    <row r="91" spans="1:5">
      <c r="A91" t="s">
        <v>1477</v>
      </c>
      <c r="B91" t="s">
        <v>1476</v>
      </c>
      <c r="C91" s="82">
        <v>3</v>
      </c>
      <c r="D91" s="21">
        <v>0.9</v>
      </c>
      <c r="E91" s="21">
        <v>2.7</v>
      </c>
    </row>
    <row r="92" spans="1:5">
      <c r="A92" t="s">
        <v>1349</v>
      </c>
      <c r="B92" t="s">
        <v>1348</v>
      </c>
      <c r="C92" s="82">
        <v>2</v>
      </c>
      <c r="D92" s="21">
        <v>0.9</v>
      </c>
      <c r="E92" s="21">
        <v>1.8</v>
      </c>
    </row>
    <row r="93" spans="1:5">
      <c r="A93" t="s">
        <v>2050</v>
      </c>
      <c r="B93" t="s">
        <v>2049</v>
      </c>
      <c r="C93" s="82">
        <v>18</v>
      </c>
      <c r="D93" s="21">
        <v>0.12125000000000001</v>
      </c>
      <c r="E93" s="21">
        <v>2.1825000000000001</v>
      </c>
    </row>
    <row r="94" spans="1:5">
      <c r="A94" t="s">
        <v>2046</v>
      </c>
      <c r="B94" t="s">
        <v>2045</v>
      </c>
      <c r="C94" s="82">
        <v>6</v>
      </c>
      <c r="D94" s="21">
        <v>0.12125000000000001</v>
      </c>
      <c r="E94" s="21">
        <v>0.72750000000000004</v>
      </c>
    </row>
    <row r="95" spans="1:5">
      <c r="A95" t="s">
        <v>1976</v>
      </c>
      <c r="B95" t="s">
        <v>1975</v>
      </c>
      <c r="C95" s="82">
        <v>4</v>
      </c>
      <c r="D95" s="21">
        <v>0.47599999999999998</v>
      </c>
      <c r="E95" s="21">
        <v>1.9039999999999999</v>
      </c>
    </row>
    <row r="96" spans="1:5">
      <c r="A96" t="s">
        <v>1974</v>
      </c>
      <c r="B96" t="s">
        <v>1973</v>
      </c>
      <c r="C96" s="82">
        <v>3</v>
      </c>
      <c r="D96" s="21">
        <v>0.47599999999999998</v>
      </c>
      <c r="E96" s="21">
        <v>1.4279999999999999</v>
      </c>
    </row>
    <row r="97" spans="1:5">
      <c r="A97" t="s">
        <v>1291</v>
      </c>
      <c r="B97" t="s">
        <v>1290</v>
      </c>
      <c r="C97" s="82">
        <v>6</v>
      </c>
      <c r="D97" s="21">
        <v>0.22041666666666668</v>
      </c>
      <c r="E97" s="21">
        <v>1.3225</v>
      </c>
    </row>
    <row r="98" spans="1:5">
      <c r="A98" t="s">
        <v>1428</v>
      </c>
      <c r="B98" t="s">
        <v>1427</v>
      </c>
      <c r="C98" s="82">
        <v>6</v>
      </c>
      <c r="D98" s="21">
        <v>0.44083333333333335</v>
      </c>
      <c r="E98" s="21">
        <v>2.645</v>
      </c>
    </row>
    <row r="99" spans="1:5">
      <c r="A99" t="s">
        <v>482</v>
      </c>
      <c r="B99" t="s">
        <v>481</v>
      </c>
      <c r="C99" s="82">
        <v>37</v>
      </c>
      <c r="D99" s="21">
        <v>0.11493055555555556</v>
      </c>
      <c r="E99" s="21">
        <v>4.2524305555555557</v>
      </c>
    </row>
    <row r="100" spans="1:5">
      <c r="A100" t="s">
        <v>500</v>
      </c>
      <c r="B100" t="s">
        <v>499</v>
      </c>
      <c r="C100" s="82">
        <v>6</v>
      </c>
      <c r="D100" s="21">
        <v>0.44166666666666665</v>
      </c>
      <c r="E100" s="21">
        <v>2.65</v>
      </c>
    </row>
    <row r="101" spans="1:5">
      <c r="A101" t="s">
        <v>498</v>
      </c>
      <c r="B101" t="s">
        <v>497</v>
      </c>
      <c r="C101" s="82">
        <v>6</v>
      </c>
      <c r="D101" s="21">
        <v>0.44166666666666665</v>
      </c>
      <c r="E101" s="21">
        <v>2.65</v>
      </c>
    </row>
    <row r="102" spans="1:5">
      <c r="A102" t="s">
        <v>123</v>
      </c>
      <c r="B102" t="s">
        <v>122</v>
      </c>
      <c r="C102" s="82">
        <v>24</v>
      </c>
      <c r="D102" s="21">
        <v>0.44166666666666665</v>
      </c>
      <c r="E102" s="21">
        <v>10.6</v>
      </c>
    </row>
    <row r="103" spans="1:5">
      <c r="A103" t="s">
        <v>92</v>
      </c>
      <c r="B103" t="s">
        <v>91</v>
      </c>
      <c r="C103" s="82">
        <v>6</v>
      </c>
      <c r="D103" s="21">
        <v>5.5</v>
      </c>
      <c r="E103" s="21">
        <v>33</v>
      </c>
    </row>
    <row r="104" spans="1:5">
      <c r="A104" t="s">
        <v>403</v>
      </c>
      <c r="B104" t="s">
        <v>402</v>
      </c>
      <c r="C104" s="82">
        <v>1</v>
      </c>
      <c r="D104" s="21">
        <v>2.1166666666666667</v>
      </c>
      <c r="E104" s="21">
        <v>2.1166666666666667</v>
      </c>
    </row>
    <row r="105" spans="1:5">
      <c r="A105" t="s">
        <v>359</v>
      </c>
      <c r="B105" t="s">
        <v>358</v>
      </c>
      <c r="C105" s="82">
        <v>2</v>
      </c>
      <c r="D105" s="21">
        <v>2.1166666666666667</v>
      </c>
      <c r="E105" s="21">
        <v>4.2333333333333334</v>
      </c>
    </row>
    <row r="106" spans="1:5">
      <c r="A106" t="s">
        <v>7</v>
      </c>
      <c r="B106" t="s">
        <v>6</v>
      </c>
      <c r="C106" s="82">
        <v>8</v>
      </c>
      <c r="D106" s="21">
        <v>1.1041666666666667</v>
      </c>
      <c r="E106" s="21">
        <v>8.8333333333333339</v>
      </c>
    </row>
    <row r="107" spans="1:5">
      <c r="A107" t="s">
        <v>825</v>
      </c>
      <c r="B107" t="s">
        <v>824</v>
      </c>
      <c r="C107" s="82">
        <v>2</v>
      </c>
      <c r="D107" s="21">
        <v>0.37040000000000001</v>
      </c>
      <c r="E107" s="21">
        <v>0.74080000000000001</v>
      </c>
    </row>
    <row r="108" spans="1:5">
      <c r="A108" t="s">
        <v>1740</v>
      </c>
      <c r="B108" t="s">
        <v>1739</v>
      </c>
      <c r="C108" s="82">
        <v>1</v>
      </c>
      <c r="D108" s="21">
        <v>0.6</v>
      </c>
      <c r="E108" s="21">
        <v>0.6</v>
      </c>
    </row>
    <row r="109" spans="1:5">
      <c r="A109" t="s">
        <v>1209</v>
      </c>
      <c r="B109" t="s">
        <v>295</v>
      </c>
      <c r="C109" s="82">
        <v>1</v>
      </c>
      <c r="D109" s="21">
        <v>0.9277777777777777</v>
      </c>
      <c r="E109" s="21">
        <v>0.9277777777777777</v>
      </c>
    </row>
    <row r="110" spans="1:5">
      <c r="A110" t="s">
        <v>2216</v>
      </c>
      <c r="B110" t="s">
        <v>2215</v>
      </c>
      <c r="C110" s="82">
        <v>6</v>
      </c>
      <c r="D110" s="21">
        <v>0.356875</v>
      </c>
      <c r="E110" s="21">
        <v>2.1412499999999999</v>
      </c>
    </row>
    <row r="111" spans="1:5">
      <c r="A111" t="s">
        <v>1364</v>
      </c>
      <c r="B111" t="s">
        <v>1736</v>
      </c>
      <c r="C111" s="82">
        <v>5</v>
      </c>
      <c r="D111" s="21">
        <v>0.64</v>
      </c>
      <c r="E111" s="21">
        <v>3.2</v>
      </c>
    </row>
    <row r="112" spans="1:5">
      <c r="A112" t="s">
        <v>2191</v>
      </c>
      <c r="B112" t="s">
        <v>2190</v>
      </c>
      <c r="C112" s="82">
        <v>4</v>
      </c>
      <c r="D112" s="21">
        <v>0.52916666666666667</v>
      </c>
      <c r="E112" s="21">
        <v>2.1166666666666667</v>
      </c>
    </row>
    <row r="113" spans="1:5">
      <c r="A113" t="s">
        <v>2218</v>
      </c>
      <c r="B113" t="s">
        <v>2217</v>
      </c>
      <c r="C113" s="82">
        <v>1</v>
      </c>
      <c r="D113" s="21">
        <v>1.3125</v>
      </c>
      <c r="E113" s="21">
        <v>1.3125</v>
      </c>
    </row>
    <row r="114" spans="1:5">
      <c r="A114" t="s">
        <v>2213</v>
      </c>
      <c r="B114" t="s">
        <v>2212</v>
      </c>
      <c r="C114" s="82">
        <v>9</v>
      </c>
      <c r="D114" s="21">
        <v>0.77159999999999995</v>
      </c>
      <c r="E114" s="21">
        <v>6.9443999999999999</v>
      </c>
    </row>
    <row r="115" spans="1:5">
      <c r="A115" t="s">
        <v>1467</v>
      </c>
      <c r="B115" t="s">
        <v>1466</v>
      </c>
      <c r="C115" s="82">
        <v>2</v>
      </c>
      <c r="D115" s="21">
        <v>0.44062499999999999</v>
      </c>
      <c r="E115" s="21">
        <v>0.88124999999999998</v>
      </c>
    </row>
    <row r="116" spans="1:5">
      <c r="A116" t="s">
        <v>1275</v>
      </c>
      <c r="B116" t="s">
        <v>2263</v>
      </c>
      <c r="C116" s="82">
        <v>13</v>
      </c>
      <c r="D116" s="21">
        <v>0.11020833333333334</v>
      </c>
      <c r="E116" s="21">
        <v>1.4327083333333335</v>
      </c>
    </row>
    <row r="117" spans="1:5">
      <c r="A117" t="s">
        <v>1402</v>
      </c>
      <c r="B117" t="s">
        <v>1401</v>
      </c>
      <c r="C117" s="82">
        <v>2</v>
      </c>
      <c r="D117" s="21">
        <v>8.3550000000000004</v>
      </c>
      <c r="E117" s="21">
        <v>16.71</v>
      </c>
    </row>
    <row r="118" spans="1:5">
      <c r="A118" t="s">
        <v>1808</v>
      </c>
      <c r="B118" t="s">
        <v>1807</v>
      </c>
      <c r="C118" s="82">
        <v>20</v>
      </c>
      <c r="D118" s="21">
        <v>0.5</v>
      </c>
      <c r="E118" s="21">
        <v>10</v>
      </c>
    </row>
    <row r="119" spans="1:5">
      <c r="A119" t="s">
        <v>2068</v>
      </c>
      <c r="B119" t="s">
        <v>2067</v>
      </c>
      <c r="C119" s="82">
        <v>3</v>
      </c>
      <c r="D119" s="21">
        <v>1.1008333333333333</v>
      </c>
      <c r="E119" s="21">
        <v>3.3025000000000002</v>
      </c>
    </row>
    <row r="120" spans="1:5">
      <c r="A120" t="s">
        <v>517</v>
      </c>
      <c r="B120" t="s">
        <v>516</v>
      </c>
      <c r="C120" s="82">
        <v>1</v>
      </c>
      <c r="D120" s="21">
        <v>0.96875</v>
      </c>
      <c r="E120" s="21">
        <v>0.96875</v>
      </c>
    </row>
    <row r="121" spans="1:5">
      <c r="A121" t="s">
        <v>94</v>
      </c>
      <c r="B121" t="s">
        <v>93</v>
      </c>
      <c r="C121" s="82">
        <v>13</v>
      </c>
      <c r="D121" s="21">
        <v>0.375</v>
      </c>
      <c r="E121" s="21">
        <v>4.875</v>
      </c>
    </row>
    <row r="122" spans="1:5">
      <c r="A122" t="s">
        <v>419</v>
      </c>
      <c r="B122" t="s">
        <v>418</v>
      </c>
      <c r="C122" s="82">
        <v>3</v>
      </c>
      <c r="D122" s="21">
        <v>0.16</v>
      </c>
      <c r="E122" s="21">
        <v>0.48</v>
      </c>
    </row>
    <row r="123" spans="1:5">
      <c r="A123" t="s">
        <v>395</v>
      </c>
      <c r="B123" t="s">
        <v>2237</v>
      </c>
      <c r="C123" s="82">
        <v>24</v>
      </c>
      <c r="D123" s="21">
        <v>0.47499999999999998</v>
      </c>
      <c r="E123" s="21">
        <v>11.399999999999999</v>
      </c>
    </row>
    <row r="124" spans="1:5">
      <c r="A124" t="s">
        <v>1706</v>
      </c>
      <c r="B124" t="s">
        <v>1705</v>
      </c>
      <c r="C124" s="82">
        <v>1</v>
      </c>
      <c r="D124" s="21">
        <v>0.6</v>
      </c>
      <c r="E124" s="21">
        <v>0.6</v>
      </c>
    </row>
    <row r="125" spans="1:5">
      <c r="A125" t="s">
        <v>1935</v>
      </c>
      <c r="B125" t="s">
        <v>1936</v>
      </c>
      <c r="C125" s="82">
        <v>12</v>
      </c>
      <c r="D125" s="21">
        <v>1.1008333333333333</v>
      </c>
      <c r="E125" s="21">
        <v>13.21</v>
      </c>
    </row>
  </sheetData>
  <customSheetViews>
    <customSheetView guid="{D03BBA77-B0D6-4284-98FD-BE2506FB6F43}">
      <pageMargins left="0.7" right="0.7" top="0.75" bottom="0.75" header="0.3" footer="0.3"/>
    </customSheetView>
  </customSheetViews>
  <pageMargins left="0.7" right="0.7" top="0.75" bottom="0.75" header="0.3" footer="0.3"/>
  <pageSetup orientation="portrait"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/>
  <dimension ref="A1:J147"/>
  <sheetViews>
    <sheetView topLeftCell="C1" workbookViewId="0">
      <selection activeCell="D4" sqref="D4"/>
    </sheetView>
  </sheetViews>
  <sheetFormatPr baseColWidth="10" defaultRowHeight="14.4"/>
  <cols>
    <col min="1" max="1" width="18.33203125" bestFit="1" customWidth="1"/>
    <col min="2" max="2" width="45" bestFit="1" customWidth="1"/>
    <col min="3" max="5" width="17.44140625" bestFit="1" customWidth="1"/>
    <col min="8" max="8" width="13" customWidth="1"/>
  </cols>
  <sheetData>
    <row r="1" spans="1:10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0">
      <c r="A2">
        <v>60000210</v>
      </c>
      <c r="B2" t="s">
        <v>148</v>
      </c>
      <c r="C2" s="82">
        <v>758</v>
      </c>
      <c r="D2" s="21">
        <v>0.77200000000000002</v>
      </c>
      <c r="E2" s="21">
        <v>585.17600000000004</v>
      </c>
      <c r="G2" s="21">
        <f>SUM(E:E)</f>
        <v>2948.7015069444446</v>
      </c>
      <c r="H2" s="21">
        <f>CONVERT(G2,"lbm","cwt")</f>
        <v>29.48701506944445</v>
      </c>
    </row>
    <row r="3" spans="1:10">
      <c r="A3">
        <v>10010010010</v>
      </c>
      <c r="B3" t="s">
        <v>146</v>
      </c>
      <c r="C3" s="82">
        <v>30</v>
      </c>
      <c r="D3" s="21">
        <v>0.88200000000000001</v>
      </c>
      <c r="E3" s="21">
        <v>26.46</v>
      </c>
    </row>
    <row r="4" spans="1:10">
      <c r="A4">
        <v>5460400</v>
      </c>
      <c r="B4" t="s">
        <v>2133</v>
      </c>
      <c r="C4" s="82">
        <v>36</v>
      </c>
      <c r="D4" s="21">
        <v>0.75</v>
      </c>
      <c r="E4" s="21">
        <v>27</v>
      </c>
    </row>
    <row r="5" spans="1:10" ht="15" thickBot="1">
      <c r="A5">
        <v>621330</v>
      </c>
      <c r="B5" t="s">
        <v>652</v>
      </c>
      <c r="C5" s="82">
        <v>15</v>
      </c>
      <c r="D5" s="21">
        <v>0.8833333333333333</v>
      </c>
      <c r="E5" s="21">
        <v>13.25</v>
      </c>
      <c r="G5" s="23" t="s">
        <v>1095</v>
      </c>
      <c r="H5" s="24" t="s">
        <v>1096</v>
      </c>
      <c r="I5" s="23" t="s">
        <v>1106</v>
      </c>
      <c r="J5" s="27"/>
    </row>
    <row r="6" spans="1:10" ht="15" thickTop="1">
      <c r="A6">
        <v>60000094</v>
      </c>
      <c r="B6" t="s">
        <v>1387</v>
      </c>
      <c r="C6" s="82">
        <v>245</v>
      </c>
      <c r="D6" s="21">
        <v>1.76</v>
      </c>
      <c r="E6" s="21">
        <v>431.2</v>
      </c>
      <c r="G6" s="25" t="s">
        <v>1097</v>
      </c>
      <c r="H6" s="25">
        <v>50</v>
      </c>
      <c r="I6" s="26">
        <f>Tabla21[QUINTALES]/H6</f>
        <v>0.589740301388889</v>
      </c>
      <c r="J6" s="21"/>
    </row>
    <row r="7" spans="1:10">
      <c r="A7">
        <v>60000205</v>
      </c>
      <c r="B7" t="s">
        <v>141</v>
      </c>
      <c r="C7" s="82">
        <v>40</v>
      </c>
      <c r="D7" s="21">
        <v>0.88000000000000012</v>
      </c>
      <c r="E7" s="21">
        <v>35.200000000000003</v>
      </c>
      <c r="J7" s="21"/>
    </row>
    <row r="8" spans="1:10" ht="15" thickBot="1">
      <c r="A8">
        <v>574983</v>
      </c>
      <c r="B8" t="s">
        <v>2274</v>
      </c>
      <c r="C8" s="82">
        <v>14</v>
      </c>
      <c r="D8" s="21">
        <v>0.22083333333333333</v>
      </c>
      <c r="E8" s="21">
        <v>3.0916666666666668</v>
      </c>
      <c r="G8" s="23" t="s">
        <v>1095</v>
      </c>
      <c r="H8" s="24" t="s">
        <v>1096</v>
      </c>
      <c r="I8" s="23" t="s">
        <v>1106</v>
      </c>
      <c r="J8" s="21"/>
    </row>
    <row r="9" spans="1:10" ht="15" thickTop="1">
      <c r="A9">
        <v>576003</v>
      </c>
      <c r="B9" t="s">
        <v>2084</v>
      </c>
      <c r="C9" s="82">
        <v>15</v>
      </c>
      <c r="D9" s="21">
        <v>0.11944444444444444</v>
      </c>
      <c r="E9" s="21">
        <v>1.7916666666666665</v>
      </c>
      <c r="G9" s="25" t="s">
        <v>1098</v>
      </c>
      <c r="H9" s="25">
        <v>50</v>
      </c>
      <c r="I9" s="26">
        <f>Tabla21[QUINTALES]/H9</f>
        <v>0.589740301388889</v>
      </c>
      <c r="J9" s="21"/>
    </row>
    <row r="10" spans="1:10">
      <c r="A10">
        <v>400000127</v>
      </c>
      <c r="B10" t="s">
        <v>585</v>
      </c>
      <c r="C10" s="82">
        <v>5</v>
      </c>
      <c r="D10" s="21">
        <v>1.5449999999999999</v>
      </c>
      <c r="E10" s="21">
        <v>7.7249999999999996</v>
      </c>
      <c r="J10" s="21"/>
    </row>
    <row r="11" spans="1:10" ht="15" thickBot="1">
      <c r="A11">
        <v>19640306</v>
      </c>
      <c r="B11" t="s">
        <v>315</v>
      </c>
      <c r="C11" s="82">
        <v>1</v>
      </c>
      <c r="D11" s="21">
        <v>0.79400000000000004</v>
      </c>
      <c r="E11" s="21">
        <v>0.79400000000000004</v>
      </c>
      <c r="G11" s="23" t="s">
        <v>1095</v>
      </c>
      <c r="H11" s="24" t="s">
        <v>1096</v>
      </c>
      <c r="I11" s="23" t="s">
        <v>1106</v>
      </c>
      <c r="J11" s="21"/>
    </row>
    <row r="12" spans="1:10" ht="15" thickTop="1">
      <c r="A12">
        <v>641833</v>
      </c>
      <c r="B12" t="s">
        <v>217</v>
      </c>
      <c r="C12" s="82">
        <v>3</v>
      </c>
      <c r="D12" s="21">
        <v>2.65</v>
      </c>
      <c r="E12" s="21">
        <v>7.9499999999999993</v>
      </c>
      <c r="G12" s="25" t="s">
        <v>1099</v>
      </c>
      <c r="H12" s="25">
        <v>50</v>
      </c>
      <c r="I12" s="26">
        <f>Tabla21[QUINTALES]/H12</f>
        <v>0.589740301388889</v>
      </c>
      <c r="J12" s="21"/>
    </row>
    <row r="13" spans="1:10">
      <c r="A13">
        <v>60000209</v>
      </c>
      <c r="B13" t="s">
        <v>147</v>
      </c>
      <c r="C13" s="82">
        <v>100</v>
      </c>
      <c r="D13" s="21">
        <v>0.77200000000000002</v>
      </c>
      <c r="E13" s="21">
        <v>77.2</v>
      </c>
      <c r="J13" s="21"/>
    </row>
    <row r="14" spans="1:10" ht="15" thickBot="1">
      <c r="A14">
        <v>60000133</v>
      </c>
      <c r="B14" t="s">
        <v>1050</v>
      </c>
      <c r="C14" s="82">
        <v>7</v>
      </c>
      <c r="D14" s="21">
        <v>50</v>
      </c>
      <c r="E14" s="21">
        <v>350</v>
      </c>
      <c r="G14" s="23" t="s">
        <v>1095</v>
      </c>
      <c r="H14" s="24" t="s">
        <v>1096</v>
      </c>
      <c r="I14" s="23" t="s">
        <v>1106</v>
      </c>
      <c r="J14" s="21"/>
    </row>
    <row r="15" spans="1:10" ht="15" thickTop="1">
      <c r="A15">
        <v>579235</v>
      </c>
      <c r="B15" t="s">
        <v>69</v>
      </c>
      <c r="C15" s="82">
        <v>1</v>
      </c>
      <c r="D15" s="21">
        <v>0.19583333333333333</v>
      </c>
      <c r="E15" s="21">
        <v>0.19583333333333333</v>
      </c>
      <c r="G15" s="25" t="s">
        <v>1100</v>
      </c>
      <c r="H15" s="25">
        <v>50</v>
      </c>
      <c r="I15" s="26">
        <f>Tabla21[QUINTALES]/H15</f>
        <v>0.589740301388889</v>
      </c>
    </row>
    <row r="16" spans="1:10">
      <c r="A16">
        <v>19640304</v>
      </c>
      <c r="B16" t="s">
        <v>317</v>
      </c>
      <c r="C16" s="82">
        <v>1</v>
      </c>
      <c r="D16" s="21">
        <v>0.79400000000000004</v>
      </c>
      <c r="E16" s="21">
        <v>0.79400000000000004</v>
      </c>
    </row>
    <row r="17" spans="1:9" ht="15" thickBot="1">
      <c r="A17">
        <v>620500</v>
      </c>
      <c r="B17" t="s">
        <v>2261</v>
      </c>
      <c r="C17" s="82">
        <v>3</v>
      </c>
      <c r="D17" s="21">
        <v>2</v>
      </c>
      <c r="E17" s="21">
        <v>6</v>
      </c>
      <c r="G17" s="23" t="s">
        <v>1095</v>
      </c>
      <c r="H17" s="24" t="s">
        <v>1096</v>
      </c>
      <c r="I17" s="23" t="s">
        <v>1106</v>
      </c>
    </row>
    <row r="18" spans="1:9" ht="15" thickTop="1">
      <c r="A18">
        <v>640959</v>
      </c>
      <c r="B18" t="s">
        <v>216</v>
      </c>
      <c r="C18" s="82">
        <v>8</v>
      </c>
      <c r="D18" s="21">
        <v>2.65</v>
      </c>
      <c r="E18" s="21">
        <v>21.2</v>
      </c>
      <c r="G18" s="25" t="s">
        <v>1101</v>
      </c>
      <c r="H18" s="25">
        <v>50</v>
      </c>
      <c r="I18" s="26">
        <f>Tabla21[QUINTALES]/H18</f>
        <v>0.589740301388889</v>
      </c>
    </row>
    <row r="19" spans="1:9">
      <c r="A19">
        <v>50491102</v>
      </c>
      <c r="B19" t="s">
        <v>1898</v>
      </c>
      <c r="C19" s="82">
        <v>1</v>
      </c>
      <c r="D19" s="21">
        <v>2.65</v>
      </c>
      <c r="E19" s="21">
        <v>2.65</v>
      </c>
    </row>
    <row r="20" spans="1:9" ht="15" thickBot="1">
      <c r="A20">
        <v>640676</v>
      </c>
      <c r="B20" t="s">
        <v>218</v>
      </c>
      <c r="C20" s="82">
        <v>1</v>
      </c>
      <c r="D20" s="21">
        <v>2.65</v>
      </c>
      <c r="E20" s="21">
        <v>2.65</v>
      </c>
      <c r="G20" s="23" t="s">
        <v>1095</v>
      </c>
      <c r="H20" s="24" t="s">
        <v>1096</v>
      </c>
      <c r="I20" s="23" t="s">
        <v>1106</v>
      </c>
    </row>
    <row r="21" spans="1:9" ht="15" thickTop="1">
      <c r="A21">
        <v>621491</v>
      </c>
      <c r="B21" t="s">
        <v>2258</v>
      </c>
      <c r="C21" s="82">
        <v>1</v>
      </c>
      <c r="D21" s="21">
        <v>0.8833333333333333</v>
      </c>
      <c r="E21" s="21">
        <v>0.8833333333333333</v>
      </c>
      <c r="G21" s="25" t="s">
        <v>1102</v>
      </c>
      <c r="H21" s="25">
        <v>50</v>
      </c>
      <c r="I21" s="26">
        <f>Tabla21[QUINTALES]/H21</f>
        <v>0.589740301388889</v>
      </c>
    </row>
    <row r="22" spans="1:9">
      <c r="A22">
        <v>400000412</v>
      </c>
      <c r="B22" t="s">
        <v>581</v>
      </c>
      <c r="C22" s="82">
        <v>1</v>
      </c>
      <c r="D22" s="21">
        <v>0.3</v>
      </c>
      <c r="E22" s="21">
        <v>0.3</v>
      </c>
    </row>
    <row r="23" spans="1:9" ht="15" thickBot="1">
      <c r="A23">
        <v>69584483</v>
      </c>
      <c r="B23" t="s">
        <v>1553</v>
      </c>
      <c r="C23" s="82">
        <v>6</v>
      </c>
      <c r="D23" s="21">
        <v>0.40750000000000003</v>
      </c>
      <c r="E23" s="21">
        <v>2.4450000000000003</v>
      </c>
      <c r="G23" s="23" t="s">
        <v>1095</v>
      </c>
      <c r="H23" s="24" t="s">
        <v>1096</v>
      </c>
      <c r="I23" s="23" t="s">
        <v>1106</v>
      </c>
    </row>
    <row r="24" spans="1:9" ht="15" thickTop="1">
      <c r="A24">
        <v>69584500</v>
      </c>
      <c r="B24" t="s">
        <v>2166</v>
      </c>
      <c r="C24" s="82">
        <v>19</v>
      </c>
      <c r="D24" s="21">
        <v>9.9124999999999991E-2</v>
      </c>
      <c r="E24" s="21">
        <v>1.8833749999999998</v>
      </c>
      <c r="G24" s="25" t="s">
        <v>1103</v>
      </c>
      <c r="H24" s="25">
        <v>30</v>
      </c>
      <c r="I24" s="26">
        <f>Tabla21[QUINTALES]/H24</f>
        <v>0.98290050231481496</v>
      </c>
    </row>
    <row r="25" spans="1:9">
      <c r="A25">
        <v>50491131</v>
      </c>
      <c r="B25" t="s">
        <v>1759</v>
      </c>
      <c r="C25" s="82">
        <v>3</v>
      </c>
      <c r="D25" s="21">
        <v>3.2916666666666665</v>
      </c>
      <c r="E25" s="21">
        <v>9.875</v>
      </c>
    </row>
    <row r="26" spans="1:9">
      <c r="A26">
        <v>50491132</v>
      </c>
      <c r="B26" t="s">
        <v>1762</v>
      </c>
      <c r="C26" s="82">
        <v>3</v>
      </c>
      <c r="D26" s="21">
        <v>3.3049999999999997</v>
      </c>
      <c r="E26" s="21">
        <v>9.9149999999999991</v>
      </c>
    </row>
    <row r="27" spans="1:9" ht="15" thickBot="1">
      <c r="A27">
        <v>50491133</v>
      </c>
      <c r="B27" t="s">
        <v>1761</v>
      </c>
      <c r="C27" s="82">
        <v>2</v>
      </c>
      <c r="D27" s="21">
        <v>3.3049999999999997</v>
      </c>
      <c r="E27" s="21">
        <v>6.6099999999999994</v>
      </c>
      <c r="G27" s="23" t="s">
        <v>1095</v>
      </c>
      <c r="H27" s="24" t="s">
        <v>1096</v>
      </c>
      <c r="I27" s="23" t="s">
        <v>1106</v>
      </c>
    </row>
    <row r="28" spans="1:9" ht="15" thickTop="1">
      <c r="A28">
        <v>642694</v>
      </c>
      <c r="B28" t="s">
        <v>1788</v>
      </c>
      <c r="C28" s="82">
        <v>6</v>
      </c>
      <c r="D28" s="21">
        <v>2.65</v>
      </c>
      <c r="E28" s="21">
        <v>15.899999999999999</v>
      </c>
      <c r="G28" s="25" t="s">
        <v>1104</v>
      </c>
      <c r="H28" s="25">
        <v>70</v>
      </c>
      <c r="I28" s="26">
        <f>Tabla21[QUINTALES]/H28</f>
        <v>0.42124307242063502</v>
      </c>
    </row>
    <row r="29" spans="1:9">
      <c r="A29">
        <v>52480086</v>
      </c>
      <c r="B29" t="s">
        <v>1939</v>
      </c>
      <c r="C29" s="82">
        <v>1</v>
      </c>
      <c r="D29" s="21">
        <v>0.23805555555555558</v>
      </c>
      <c r="E29" s="21">
        <v>0.23805555555555558</v>
      </c>
    </row>
    <row r="30" spans="1:9" ht="15" thickBot="1">
      <c r="A30">
        <v>69780941</v>
      </c>
      <c r="B30" t="s">
        <v>1951</v>
      </c>
      <c r="C30" s="82">
        <v>456</v>
      </c>
      <c r="D30" s="21">
        <v>0.19833333333333333</v>
      </c>
      <c r="E30" s="21">
        <v>90.44</v>
      </c>
      <c r="G30" s="23" t="s">
        <v>1095</v>
      </c>
      <c r="H30" s="24" t="s">
        <v>1096</v>
      </c>
      <c r="I30" s="23" t="s">
        <v>1106</v>
      </c>
    </row>
    <row r="31" spans="1:9" ht="15" thickTop="1">
      <c r="A31">
        <v>69761870</v>
      </c>
      <c r="B31" t="s">
        <v>1972</v>
      </c>
      <c r="C31" s="82">
        <v>36</v>
      </c>
      <c r="D31" s="21">
        <v>0.19833333333333333</v>
      </c>
      <c r="E31" s="21">
        <v>7.14</v>
      </c>
      <c r="G31" s="25" t="s">
        <v>1105</v>
      </c>
      <c r="H31" s="25">
        <v>70</v>
      </c>
      <c r="I31" s="26">
        <f>Tabla21[QUINTALES]/H31</f>
        <v>0.42124307242063502</v>
      </c>
    </row>
    <row r="32" spans="1:9">
      <c r="A32">
        <v>69761861</v>
      </c>
      <c r="B32" t="s">
        <v>1987</v>
      </c>
      <c r="C32" s="82">
        <v>26</v>
      </c>
      <c r="D32" s="21">
        <v>0.19833333333333333</v>
      </c>
      <c r="E32" s="21">
        <v>5.1566666666666663</v>
      </c>
    </row>
    <row r="33" spans="1:5">
      <c r="A33">
        <v>621323</v>
      </c>
      <c r="B33" t="s">
        <v>2011</v>
      </c>
      <c r="C33" s="82">
        <v>2</v>
      </c>
      <c r="D33" s="21">
        <v>0.88166666666666671</v>
      </c>
      <c r="E33" s="21">
        <v>1.7633333333333334</v>
      </c>
    </row>
    <row r="34" spans="1:5">
      <c r="A34">
        <v>69761868</v>
      </c>
      <c r="B34" t="s">
        <v>2024</v>
      </c>
      <c r="C34" s="82">
        <v>19</v>
      </c>
      <c r="D34" s="21">
        <v>0.19843750000000002</v>
      </c>
      <c r="E34" s="21">
        <v>3.7703125000000002</v>
      </c>
    </row>
    <row r="35" spans="1:5">
      <c r="A35">
        <v>69678222</v>
      </c>
      <c r="B35" t="s">
        <v>2088</v>
      </c>
      <c r="C35" s="82">
        <v>9</v>
      </c>
      <c r="D35" s="21">
        <v>0.5541666666666667</v>
      </c>
      <c r="E35" s="21">
        <v>4.9875000000000007</v>
      </c>
    </row>
    <row r="36" spans="1:5">
      <c r="A36">
        <v>69584479</v>
      </c>
      <c r="B36" t="s">
        <v>2085</v>
      </c>
      <c r="C36" s="82">
        <v>6</v>
      </c>
      <c r="D36" s="21">
        <v>0.82674999999999998</v>
      </c>
      <c r="E36" s="21">
        <v>4.9604999999999997</v>
      </c>
    </row>
    <row r="37" spans="1:5">
      <c r="A37" t="s">
        <v>109</v>
      </c>
      <c r="B37" t="s">
        <v>108</v>
      </c>
      <c r="C37" s="82">
        <v>191</v>
      </c>
      <c r="D37" s="21">
        <v>0.44166666666666665</v>
      </c>
      <c r="E37" s="21">
        <v>84.358333333333334</v>
      </c>
    </row>
    <row r="38" spans="1:5">
      <c r="A38" t="s">
        <v>482</v>
      </c>
      <c r="B38" t="s">
        <v>481</v>
      </c>
      <c r="C38" s="82">
        <v>132</v>
      </c>
      <c r="D38" s="21">
        <v>0.11493055555555556</v>
      </c>
      <c r="E38" s="21">
        <v>15.170833333333334</v>
      </c>
    </row>
    <row r="39" spans="1:5">
      <c r="A39" t="s">
        <v>21</v>
      </c>
      <c r="B39" t="s">
        <v>20</v>
      </c>
      <c r="C39" s="82">
        <v>9</v>
      </c>
      <c r="D39" s="21">
        <v>0.8833333333333333</v>
      </c>
      <c r="E39" s="21">
        <v>7.9499999999999993</v>
      </c>
    </row>
    <row r="40" spans="1:5">
      <c r="A40" t="s">
        <v>2188</v>
      </c>
      <c r="B40" t="s">
        <v>2187</v>
      </c>
      <c r="C40" s="82">
        <v>11</v>
      </c>
      <c r="D40" s="21">
        <v>0.52916666666666667</v>
      </c>
      <c r="E40" s="21">
        <v>5.8208333333333337</v>
      </c>
    </row>
    <row r="41" spans="1:5">
      <c r="A41" t="s">
        <v>1355</v>
      </c>
      <c r="B41" t="s">
        <v>1354</v>
      </c>
      <c r="C41" s="82">
        <v>10</v>
      </c>
      <c r="D41" s="21">
        <v>0.9</v>
      </c>
      <c r="E41" s="21">
        <v>9</v>
      </c>
    </row>
    <row r="42" spans="1:5">
      <c r="A42" t="s">
        <v>1716</v>
      </c>
      <c r="B42" t="s">
        <v>1715</v>
      </c>
      <c r="C42" s="82">
        <v>79</v>
      </c>
      <c r="D42" s="21">
        <v>0.25</v>
      </c>
      <c r="E42" s="21">
        <v>19.75</v>
      </c>
    </row>
    <row r="43" spans="1:5">
      <c r="A43" t="s">
        <v>1359</v>
      </c>
      <c r="B43" t="s">
        <v>1358</v>
      </c>
      <c r="C43" s="82">
        <v>7</v>
      </c>
      <c r="D43" s="21">
        <v>0.9</v>
      </c>
      <c r="E43" s="21">
        <v>6.3</v>
      </c>
    </row>
    <row r="44" spans="1:5">
      <c r="A44" t="s">
        <v>2228</v>
      </c>
      <c r="B44" t="s">
        <v>2227</v>
      </c>
      <c r="C44" s="82">
        <v>58</v>
      </c>
      <c r="D44" s="21">
        <v>0.33958333333333335</v>
      </c>
      <c r="E44" s="21">
        <v>19.695833333333333</v>
      </c>
    </row>
    <row r="45" spans="1:5">
      <c r="A45" t="s">
        <v>706</v>
      </c>
      <c r="B45" t="s">
        <v>705</v>
      </c>
      <c r="C45" s="82">
        <v>3</v>
      </c>
      <c r="D45" s="21">
        <v>0.70833333333333337</v>
      </c>
      <c r="E45" s="21">
        <v>2.125</v>
      </c>
    </row>
    <row r="46" spans="1:5">
      <c r="A46" t="s">
        <v>1525</v>
      </c>
      <c r="B46" t="s">
        <v>1524</v>
      </c>
      <c r="C46" s="82">
        <v>7</v>
      </c>
      <c r="D46" s="21">
        <v>0.9</v>
      </c>
      <c r="E46" s="21">
        <v>6.3</v>
      </c>
    </row>
    <row r="47" spans="1:5">
      <c r="A47" t="s">
        <v>825</v>
      </c>
      <c r="B47" t="s">
        <v>824</v>
      </c>
      <c r="C47" s="82">
        <v>5</v>
      </c>
      <c r="D47" s="21">
        <v>0.37040000000000001</v>
      </c>
      <c r="E47" s="21">
        <v>1.8520000000000001</v>
      </c>
    </row>
    <row r="48" spans="1:5">
      <c r="A48">
        <v>69678219</v>
      </c>
      <c r="B48" t="s">
        <v>2240</v>
      </c>
      <c r="C48" s="82">
        <v>3</v>
      </c>
      <c r="D48" s="21">
        <v>0.55541666666666667</v>
      </c>
      <c r="E48" s="21">
        <v>1.66625</v>
      </c>
    </row>
    <row r="49" spans="1:5">
      <c r="A49" t="s">
        <v>529</v>
      </c>
      <c r="B49" t="s">
        <v>528</v>
      </c>
      <c r="C49" s="82">
        <v>144</v>
      </c>
      <c r="D49" s="21">
        <v>0.34375</v>
      </c>
      <c r="E49" s="21">
        <v>49.5</v>
      </c>
    </row>
    <row r="50" spans="1:5">
      <c r="A50" t="s">
        <v>533</v>
      </c>
      <c r="B50" t="s">
        <v>532</v>
      </c>
      <c r="C50" s="82">
        <v>192</v>
      </c>
      <c r="D50" s="21">
        <v>0.5</v>
      </c>
      <c r="E50" s="21">
        <v>96</v>
      </c>
    </row>
    <row r="51" spans="1:5">
      <c r="A51" t="s">
        <v>119</v>
      </c>
      <c r="B51" t="s">
        <v>118</v>
      </c>
      <c r="C51" s="82">
        <v>6</v>
      </c>
      <c r="D51" s="21">
        <v>0.875</v>
      </c>
      <c r="E51" s="21">
        <v>5.25</v>
      </c>
    </row>
    <row r="52" spans="1:5">
      <c r="A52" t="s">
        <v>31</v>
      </c>
      <c r="B52" t="s">
        <v>30</v>
      </c>
      <c r="C52" s="82">
        <v>9</v>
      </c>
      <c r="D52" s="21">
        <v>0.11</v>
      </c>
      <c r="E52" s="21">
        <v>0.99</v>
      </c>
    </row>
    <row r="53" spans="1:5">
      <c r="A53" t="s">
        <v>1209</v>
      </c>
      <c r="B53" t="s">
        <v>295</v>
      </c>
      <c r="C53" s="82">
        <v>5</v>
      </c>
      <c r="D53" s="21">
        <v>0.9277777777777777</v>
      </c>
      <c r="E53" s="21">
        <v>4.6388888888888884</v>
      </c>
    </row>
    <row r="54" spans="1:5">
      <c r="A54" t="s">
        <v>107</v>
      </c>
      <c r="B54" t="s">
        <v>106</v>
      </c>
      <c r="C54" s="82">
        <v>108</v>
      </c>
      <c r="D54" s="21">
        <v>0.44166666666666665</v>
      </c>
      <c r="E54" s="21">
        <v>47.699999999999996</v>
      </c>
    </row>
    <row r="55" spans="1:5">
      <c r="A55" t="s">
        <v>1261</v>
      </c>
      <c r="B55" t="s">
        <v>1513</v>
      </c>
      <c r="C55" s="82">
        <v>9</v>
      </c>
      <c r="D55" s="21">
        <v>0.36249999999999999</v>
      </c>
      <c r="E55" s="21">
        <v>3.2624999999999997</v>
      </c>
    </row>
    <row r="56" spans="1:5">
      <c r="A56" t="s">
        <v>1289</v>
      </c>
      <c r="B56" t="s">
        <v>1431</v>
      </c>
      <c r="C56" s="82">
        <v>9</v>
      </c>
      <c r="D56" s="21">
        <v>0.36249999999999999</v>
      </c>
      <c r="E56" s="21">
        <v>3.2624999999999997</v>
      </c>
    </row>
    <row r="57" spans="1:5">
      <c r="A57" t="s">
        <v>1277</v>
      </c>
      <c r="B57" t="s">
        <v>1276</v>
      </c>
      <c r="C57" s="82">
        <v>16</v>
      </c>
      <c r="D57" s="21">
        <v>0.22041666666666668</v>
      </c>
      <c r="E57" s="21">
        <v>3.5266666666666668</v>
      </c>
    </row>
    <row r="58" spans="1:5">
      <c r="A58" t="s">
        <v>1081</v>
      </c>
      <c r="B58" t="s">
        <v>1080</v>
      </c>
      <c r="C58" s="82">
        <v>16</v>
      </c>
      <c r="D58" s="21">
        <v>2.1166666666666667</v>
      </c>
      <c r="E58" s="21">
        <v>33.866666666666667</v>
      </c>
    </row>
    <row r="59" spans="1:5">
      <c r="A59" t="s">
        <v>103</v>
      </c>
      <c r="B59" t="s">
        <v>1147</v>
      </c>
      <c r="C59" s="82">
        <v>96</v>
      </c>
      <c r="D59" s="21">
        <v>0.72916666666666663</v>
      </c>
      <c r="E59" s="21">
        <v>70</v>
      </c>
    </row>
    <row r="60" spans="1:5">
      <c r="A60" t="s">
        <v>510</v>
      </c>
      <c r="B60" t="s">
        <v>1237</v>
      </c>
      <c r="C60" s="82">
        <v>12</v>
      </c>
      <c r="D60" s="21">
        <v>0.72916666666666663</v>
      </c>
      <c r="E60" s="21">
        <v>8.75</v>
      </c>
    </row>
    <row r="61" spans="1:5">
      <c r="A61" t="s">
        <v>39</v>
      </c>
      <c r="B61" t="s">
        <v>38</v>
      </c>
      <c r="C61" s="82">
        <v>4</v>
      </c>
      <c r="D61" s="21">
        <v>0.24270833333333333</v>
      </c>
      <c r="E61" s="21">
        <v>0.97083333333333333</v>
      </c>
    </row>
    <row r="62" spans="1:5">
      <c r="A62" t="s">
        <v>535</v>
      </c>
      <c r="B62" t="s">
        <v>534</v>
      </c>
      <c r="C62" s="82">
        <v>24</v>
      </c>
      <c r="D62" s="21">
        <v>1.75</v>
      </c>
      <c r="E62" s="21">
        <v>42</v>
      </c>
    </row>
    <row r="63" spans="1:5">
      <c r="A63" t="s">
        <v>1749</v>
      </c>
      <c r="B63" t="s">
        <v>2008</v>
      </c>
      <c r="C63" s="82">
        <v>6</v>
      </c>
      <c r="D63" s="21">
        <v>0.71375</v>
      </c>
      <c r="E63" s="21">
        <v>4.2824999999999998</v>
      </c>
    </row>
    <row r="64" spans="1:5">
      <c r="A64" t="s">
        <v>41</v>
      </c>
      <c r="B64" t="s">
        <v>40</v>
      </c>
      <c r="C64" s="82">
        <v>4</v>
      </c>
      <c r="D64" s="21">
        <v>0.24270833333333333</v>
      </c>
      <c r="E64" s="21">
        <v>0.97083333333333333</v>
      </c>
    </row>
    <row r="65" spans="1:5">
      <c r="A65" t="s">
        <v>37</v>
      </c>
      <c r="B65" t="s">
        <v>36</v>
      </c>
      <c r="C65" s="82">
        <v>4</v>
      </c>
      <c r="D65" s="21">
        <v>0.24270833333333333</v>
      </c>
      <c r="E65" s="21">
        <v>0.97083333333333333</v>
      </c>
    </row>
    <row r="66" spans="1:5">
      <c r="A66" t="s">
        <v>115</v>
      </c>
      <c r="B66" t="s">
        <v>114</v>
      </c>
      <c r="C66" s="82">
        <v>6</v>
      </c>
      <c r="D66" s="21">
        <v>0.65625</v>
      </c>
      <c r="E66" s="21">
        <v>3.9375</v>
      </c>
    </row>
    <row r="67" spans="1:5">
      <c r="A67" t="s">
        <v>1708</v>
      </c>
      <c r="B67" t="s">
        <v>1707</v>
      </c>
      <c r="C67" s="82">
        <v>1</v>
      </c>
      <c r="D67" s="21">
        <v>0.6</v>
      </c>
      <c r="E67" s="21">
        <v>0.6</v>
      </c>
    </row>
    <row r="68" spans="1:5">
      <c r="A68" t="s">
        <v>708</v>
      </c>
      <c r="B68" t="s">
        <v>2252</v>
      </c>
      <c r="C68" s="82">
        <v>2</v>
      </c>
      <c r="D68" s="21">
        <v>4.1666666666666664E-2</v>
      </c>
      <c r="E68" s="21">
        <v>8.3333333333333329E-2</v>
      </c>
    </row>
    <row r="69" spans="1:5">
      <c r="A69" t="s">
        <v>7</v>
      </c>
      <c r="B69" t="s">
        <v>6</v>
      </c>
      <c r="C69" s="82">
        <v>3</v>
      </c>
      <c r="D69" s="21">
        <v>1.1041666666666667</v>
      </c>
      <c r="E69" s="21">
        <v>3.3125</v>
      </c>
    </row>
    <row r="70" spans="1:5">
      <c r="A70" t="s">
        <v>3</v>
      </c>
      <c r="B70" t="s">
        <v>2</v>
      </c>
      <c r="C70" s="82">
        <v>6</v>
      </c>
      <c r="D70" s="21">
        <v>1.1041666666666667</v>
      </c>
      <c r="E70" s="21">
        <v>6.625</v>
      </c>
    </row>
    <row r="71" spans="1:5">
      <c r="A71" t="s">
        <v>1213</v>
      </c>
      <c r="B71" t="s">
        <v>303</v>
      </c>
      <c r="C71" s="82">
        <v>2</v>
      </c>
      <c r="D71" s="21">
        <v>0.42399999999999999</v>
      </c>
      <c r="E71" s="21">
        <v>0.84799999999999998</v>
      </c>
    </row>
    <row r="72" spans="1:5">
      <c r="A72" t="s">
        <v>2216</v>
      </c>
      <c r="B72" t="s">
        <v>2215</v>
      </c>
      <c r="C72" s="82">
        <v>2</v>
      </c>
      <c r="D72" s="21">
        <v>0.356875</v>
      </c>
      <c r="E72" s="21">
        <v>0.71375</v>
      </c>
    </row>
    <row r="73" spans="1:5">
      <c r="A73" t="s">
        <v>1026</v>
      </c>
      <c r="B73" t="s">
        <v>1025</v>
      </c>
      <c r="C73" s="82">
        <v>4</v>
      </c>
      <c r="D73" s="21">
        <v>0.9</v>
      </c>
      <c r="E73" s="21">
        <v>3.6</v>
      </c>
    </row>
    <row r="74" spans="1:5">
      <c r="A74" t="s">
        <v>1692</v>
      </c>
      <c r="B74" t="s">
        <v>1691</v>
      </c>
      <c r="C74" s="82">
        <v>10</v>
      </c>
      <c r="D74" s="21">
        <v>0.92524999999999991</v>
      </c>
      <c r="E74" s="21">
        <v>9.2524999999999995</v>
      </c>
    </row>
    <row r="75" spans="1:5">
      <c r="A75" t="s">
        <v>1976</v>
      </c>
      <c r="B75" t="s">
        <v>1975</v>
      </c>
      <c r="C75" s="82">
        <v>2</v>
      </c>
      <c r="D75" s="21">
        <v>0.47599999999999998</v>
      </c>
      <c r="E75" s="21">
        <v>0.95199999999999996</v>
      </c>
    </row>
    <row r="76" spans="1:5">
      <c r="A76" t="s">
        <v>1265</v>
      </c>
      <c r="B76" t="s">
        <v>1264</v>
      </c>
      <c r="C76" s="82">
        <v>25</v>
      </c>
      <c r="D76" s="21">
        <v>0.22041666666666668</v>
      </c>
      <c r="E76" s="21">
        <v>5.510416666666667</v>
      </c>
    </row>
    <row r="77" spans="1:5">
      <c r="A77" t="s">
        <v>671</v>
      </c>
      <c r="B77" t="s">
        <v>670</v>
      </c>
      <c r="C77" s="82">
        <v>24</v>
      </c>
      <c r="D77" s="21">
        <v>0.25</v>
      </c>
      <c r="E77" s="21">
        <v>6</v>
      </c>
    </row>
    <row r="78" spans="1:5">
      <c r="A78" t="s">
        <v>1706</v>
      </c>
      <c r="B78" t="s">
        <v>1705</v>
      </c>
      <c r="C78" s="82">
        <v>2</v>
      </c>
      <c r="D78" s="21">
        <v>0.6</v>
      </c>
      <c r="E78" s="21">
        <v>1.2</v>
      </c>
    </row>
    <row r="79" spans="1:5">
      <c r="A79" t="s">
        <v>1475</v>
      </c>
      <c r="B79" t="s">
        <v>1474</v>
      </c>
      <c r="C79" s="82">
        <v>10</v>
      </c>
      <c r="D79" s="21">
        <v>0.9</v>
      </c>
      <c r="E79" s="21">
        <v>9</v>
      </c>
    </row>
    <row r="80" spans="1:5">
      <c r="A80" t="s">
        <v>1674</v>
      </c>
      <c r="B80" t="s">
        <v>1673</v>
      </c>
      <c r="C80" s="82">
        <v>2</v>
      </c>
      <c r="D80" s="21">
        <v>0.9</v>
      </c>
      <c r="E80" s="21">
        <v>1.8</v>
      </c>
    </row>
    <row r="81" spans="1:5">
      <c r="A81" t="s">
        <v>1471</v>
      </c>
      <c r="B81" t="s">
        <v>1470</v>
      </c>
      <c r="C81" s="82">
        <v>10</v>
      </c>
      <c r="D81" s="21">
        <v>0.9</v>
      </c>
      <c r="E81" s="21">
        <v>9</v>
      </c>
    </row>
    <row r="82" spans="1:5">
      <c r="A82" t="s">
        <v>102</v>
      </c>
      <c r="B82" t="s">
        <v>101</v>
      </c>
      <c r="C82" s="82">
        <v>12</v>
      </c>
      <c r="D82" s="21">
        <v>0.72916666666666663</v>
      </c>
      <c r="E82" s="21">
        <v>8.75</v>
      </c>
    </row>
    <row r="83" spans="1:5">
      <c r="A83" t="s">
        <v>359</v>
      </c>
      <c r="B83" t="s">
        <v>358</v>
      </c>
      <c r="C83" s="82">
        <v>2</v>
      </c>
      <c r="D83" s="21">
        <v>2.1166666666666667</v>
      </c>
      <c r="E83" s="21">
        <v>4.2333333333333334</v>
      </c>
    </row>
    <row r="84" spans="1:5">
      <c r="A84" t="s">
        <v>1477</v>
      </c>
      <c r="B84" t="s">
        <v>1476</v>
      </c>
      <c r="C84" s="82">
        <v>5</v>
      </c>
      <c r="D84" s="21">
        <v>0.9</v>
      </c>
      <c r="E84" s="21">
        <v>4.5</v>
      </c>
    </row>
    <row r="85" spans="1:5">
      <c r="A85" t="s">
        <v>1279</v>
      </c>
      <c r="B85" t="s">
        <v>1278</v>
      </c>
      <c r="C85" s="82">
        <v>12</v>
      </c>
      <c r="D85" s="21">
        <v>0.875</v>
      </c>
      <c r="E85" s="21">
        <v>10.5</v>
      </c>
    </row>
    <row r="86" spans="1:5">
      <c r="A86" t="s">
        <v>96</v>
      </c>
      <c r="B86" t="s">
        <v>95</v>
      </c>
      <c r="C86" s="82">
        <v>24</v>
      </c>
      <c r="D86" s="21">
        <v>0.25</v>
      </c>
      <c r="E86" s="21">
        <v>6</v>
      </c>
    </row>
    <row r="87" spans="1:5">
      <c r="A87" t="s">
        <v>431</v>
      </c>
      <c r="B87" t="s">
        <v>430</v>
      </c>
      <c r="C87" s="82">
        <v>3</v>
      </c>
      <c r="D87" s="21">
        <v>2.1166666666666667</v>
      </c>
      <c r="E87" s="21">
        <v>6.35</v>
      </c>
    </row>
    <row r="88" spans="1:5">
      <c r="A88" t="s">
        <v>5</v>
      </c>
      <c r="B88" t="s">
        <v>4</v>
      </c>
      <c r="C88" s="82">
        <v>1</v>
      </c>
      <c r="D88" s="21">
        <v>1.1041666666666667</v>
      </c>
      <c r="E88" s="21">
        <v>1.1041666666666667</v>
      </c>
    </row>
    <row r="89" spans="1:5">
      <c r="A89" t="s">
        <v>1349</v>
      </c>
      <c r="B89" t="s">
        <v>1348</v>
      </c>
      <c r="C89" s="82">
        <v>5</v>
      </c>
      <c r="D89" s="21">
        <v>0.9</v>
      </c>
      <c r="E89" s="21">
        <v>4.5</v>
      </c>
    </row>
    <row r="90" spans="1:5">
      <c r="A90" t="s">
        <v>113</v>
      </c>
      <c r="B90" t="s">
        <v>112</v>
      </c>
      <c r="C90" s="82">
        <v>12</v>
      </c>
      <c r="D90" s="21">
        <v>0.9375</v>
      </c>
      <c r="E90" s="21">
        <v>11.25</v>
      </c>
    </row>
    <row r="91" spans="1:5">
      <c r="A91" t="s">
        <v>47</v>
      </c>
      <c r="B91" t="s">
        <v>46</v>
      </c>
      <c r="C91" s="82">
        <v>1</v>
      </c>
      <c r="D91" s="21">
        <v>2.1166666666666667</v>
      </c>
      <c r="E91" s="21">
        <v>2.1166666666666667</v>
      </c>
    </row>
    <row r="92" spans="1:5">
      <c r="A92" t="s">
        <v>1718</v>
      </c>
      <c r="B92" t="s">
        <v>1717</v>
      </c>
      <c r="C92" s="82">
        <v>2</v>
      </c>
      <c r="D92" s="21">
        <v>0.6</v>
      </c>
      <c r="E92" s="21">
        <v>1.2</v>
      </c>
    </row>
    <row r="93" spans="1:5">
      <c r="A93" t="s">
        <v>1722</v>
      </c>
      <c r="B93" t="s">
        <v>1721</v>
      </c>
      <c r="C93" s="82">
        <v>2</v>
      </c>
      <c r="D93" s="21">
        <v>0.6</v>
      </c>
      <c r="E93" s="21">
        <v>1.2</v>
      </c>
    </row>
    <row r="94" spans="1:5">
      <c r="A94" t="s">
        <v>1177</v>
      </c>
      <c r="B94" t="s">
        <v>298</v>
      </c>
      <c r="C94" s="82">
        <v>1</v>
      </c>
      <c r="D94" s="21">
        <v>0.9277777777777777</v>
      </c>
      <c r="E94" s="21">
        <v>0.9277777777777777</v>
      </c>
    </row>
    <row r="95" spans="1:5">
      <c r="A95" t="s">
        <v>2057</v>
      </c>
      <c r="B95" t="s">
        <v>2056</v>
      </c>
      <c r="C95" s="82">
        <v>1</v>
      </c>
      <c r="D95" s="21">
        <v>0.45</v>
      </c>
      <c r="E95" s="21">
        <v>0.45</v>
      </c>
    </row>
    <row r="96" spans="1:5">
      <c r="A96" t="s">
        <v>662</v>
      </c>
      <c r="B96" t="s">
        <v>2171</v>
      </c>
      <c r="C96" s="82">
        <v>12</v>
      </c>
      <c r="D96" s="21">
        <v>8.3333333333333329E-2</v>
      </c>
      <c r="E96" s="21">
        <v>1</v>
      </c>
    </row>
    <row r="97" spans="1:5">
      <c r="A97" t="s">
        <v>125</v>
      </c>
      <c r="B97" t="s">
        <v>124</v>
      </c>
      <c r="C97" s="82">
        <v>24</v>
      </c>
      <c r="D97" s="21">
        <v>0.44166666666666665</v>
      </c>
      <c r="E97" s="21">
        <v>10.6</v>
      </c>
    </row>
    <row r="98" spans="1:5">
      <c r="A98" t="s">
        <v>92</v>
      </c>
      <c r="B98" t="s">
        <v>91</v>
      </c>
      <c r="C98" s="82">
        <v>6</v>
      </c>
      <c r="D98" s="21">
        <v>5.5</v>
      </c>
      <c r="E98" s="21">
        <v>33</v>
      </c>
    </row>
    <row r="99" spans="1:5">
      <c r="A99" t="s">
        <v>345</v>
      </c>
      <c r="B99" t="s">
        <v>344</v>
      </c>
      <c r="C99" s="82">
        <v>2</v>
      </c>
      <c r="D99" s="21">
        <v>2.65</v>
      </c>
      <c r="E99" s="21">
        <v>5.3</v>
      </c>
    </row>
    <row r="100" spans="1:5">
      <c r="A100" t="s">
        <v>343</v>
      </c>
      <c r="B100" t="s">
        <v>342</v>
      </c>
      <c r="C100" s="82">
        <v>2</v>
      </c>
      <c r="D100" s="21">
        <v>1.1041666666666667</v>
      </c>
      <c r="E100" s="21">
        <v>2.2083333333333335</v>
      </c>
    </row>
    <row r="101" spans="1:5">
      <c r="A101" t="s">
        <v>1040</v>
      </c>
      <c r="B101" t="s">
        <v>1039</v>
      </c>
      <c r="C101" s="82">
        <v>1</v>
      </c>
      <c r="D101" s="21">
        <v>0.88437500000000002</v>
      </c>
      <c r="E101" s="21">
        <v>0.88437500000000002</v>
      </c>
    </row>
    <row r="102" spans="1:5">
      <c r="A102" t="s">
        <v>1347</v>
      </c>
      <c r="B102" t="s">
        <v>1346</v>
      </c>
      <c r="C102" s="82">
        <v>4</v>
      </c>
      <c r="D102" s="21">
        <v>0.9</v>
      </c>
      <c r="E102" s="21">
        <v>3.6</v>
      </c>
    </row>
    <row r="103" spans="1:5">
      <c r="A103" t="s">
        <v>2218</v>
      </c>
      <c r="B103" t="s">
        <v>2217</v>
      </c>
      <c r="C103" s="82">
        <v>2</v>
      </c>
      <c r="D103" s="21">
        <v>1.3125</v>
      </c>
      <c r="E103" s="21">
        <v>2.625</v>
      </c>
    </row>
    <row r="104" spans="1:5">
      <c r="A104" t="s">
        <v>1974</v>
      </c>
      <c r="B104" t="s">
        <v>1973</v>
      </c>
      <c r="C104" s="82">
        <v>5</v>
      </c>
      <c r="D104" s="21">
        <v>0.47599999999999998</v>
      </c>
      <c r="E104" s="21">
        <v>2.38</v>
      </c>
    </row>
    <row r="105" spans="1:5">
      <c r="A105" t="s">
        <v>1269</v>
      </c>
      <c r="B105" t="s">
        <v>1647</v>
      </c>
      <c r="C105" s="82">
        <v>65</v>
      </c>
      <c r="D105" s="21">
        <v>0.22041666666666668</v>
      </c>
      <c r="E105" s="21">
        <v>14.327083333333334</v>
      </c>
    </row>
    <row r="106" spans="1:5">
      <c r="A106" t="s">
        <v>1271</v>
      </c>
      <c r="B106" t="s">
        <v>1642</v>
      </c>
      <c r="C106" s="82">
        <v>12</v>
      </c>
      <c r="D106" s="21">
        <v>0.83750000000000002</v>
      </c>
      <c r="E106" s="21">
        <v>10.050000000000001</v>
      </c>
    </row>
    <row r="107" spans="1:5">
      <c r="A107" t="s">
        <v>1384</v>
      </c>
      <c r="B107" t="s">
        <v>1383</v>
      </c>
      <c r="C107" s="82">
        <v>6</v>
      </c>
      <c r="D107" s="21">
        <v>1</v>
      </c>
      <c r="E107" s="21">
        <v>6</v>
      </c>
    </row>
    <row r="108" spans="1:5">
      <c r="A108" t="s">
        <v>1273</v>
      </c>
      <c r="B108" t="s">
        <v>1272</v>
      </c>
      <c r="C108" s="82">
        <v>30</v>
      </c>
      <c r="D108" s="21">
        <v>0.79375000000000007</v>
      </c>
      <c r="E108" s="21">
        <v>23.812500000000004</v>
      </c>
    </row>
    <row r="109" spans="1:5">
      <c r="A109" t="s">
        <v>2179</v>
      </c>
      <c r="B109" t="s">
        <v>2178</v>
      </c>
      <c r="C109" s="82">
        <v>2</v>
      </c>
      <c r="D109" s="21">
        <v>0.42333333333333334</v>
      </c>
      <c r="E109" s="21">
        <v>0.84666666666666668</v>
      </c>
    </row>
    <row r="110" spans="1:5">
      <c r="A110" t="s">
        <v>2136</v>
      </c>
      <c r="B110" t="s">
        <v>2135</v>
      </c>
      <c r="C110" s="82">
        <v>6</v>
      </c>
      <c r="D110" s="21">
        <v>0.82750000000000001</v>
      </c>
      <c r="E110" s="21">
        <v>4.9649999999999999</v>
      </c>
    </row>
    <row r="111" spans="1:5">
      <c r="A111" t="s">
        <v>2087</v>
      </c>
      <c r="B111" t="s">
        <v>2086</v>
      </c>
      <c r="C111" s="82">
        <v>4</v>
      </c>
      <c r="D111" s="21">
        <v>0.82750000000000001</v>
      </c>
      <c r="E111" s="21">
        <v>3.31</v>
      </c>
    </row>
    <row r="112" spans="1:5">
      <c r="A112" t="s">
        <v>492</v>
      </c>
      <c r="B112" t="s">
        <v>491</v>
      </c>
      <c r="C112" s="82">
        <v>3</v>
      </c>
      <c r="D112" s="21">
        <v>0.82708333333333339</v>
      </c>
      <c r="E112" s="21">
        <v>2.4812500000000002</v>
      </c>
    </row>
    <row r="113" spans="1:5">
      <c r="A113" t="s">
        <v>1944</v>
      </c>
      <c r="B113" t="s">
        <v>1943</v>
      </c>
      <c r="C113" s="82">
        <v>1</v>
      </c>
      <c r="D113" s="21">
        <v>0.10416666666666667</v>
      </c>
      <c r="E113" s="21">
        <v>0.10416666666666667</v>
      </c>
    </row>
    <row r="114" spans="1:5">
      <c r="A114" t="s">
        <v>403</v>
      </c>
      <c r="B114" t="s">
        <v>402</v>
      </c>
      <c r="C114" s="82">
        <v>2</v>
      </c>
      <c r="D114" s="21">
        <v>2.1166666666666667</v>
      </c>
      <c r="E114" s="21">
        <v>4.2333333333333334</v>
      </c>
    </row>
    <row r="115" spans="1:5">
      <c r="A115" t="s">
        <v>387</v>
      </c>
      <c r="B115" t="s">
        <v>2271</v>
      </c>
      <c r="C115" s="82">
        <v>6</v>
      </c>
      <c r="D115" s="21">
        <v>0.88249999999999995</v>
      </c>
      <c r="E115" s="21">
        <v>5.2949999999999999</v>
      </c>
    </row>
    <row r="116" spans="1:5">
      <c r="A116" t="s">
        <v>429</v>
      </c>
      <c r="B116" t="s">
        <v>428</v>
      </c>
      <c r="C116" s="82">
        <v>3</v>
      </c>
      <c r="D116" s="21">
        <v>2.1166666666666667</v>
      </c>
      <c r="E116" s="21">
        <v>6.35</v>
      </c>
    </row>
    <row r="117" spans="1:5">
      <c r="A117" t="s">
        <v>339</v>
      </c>
      <c r="B117" t="s">
        <v>338</v>
      </c>
      <c r="C117" s="82">
        <v>7</v>
      </c>
      <c r="D117" s="21">
        <v>1.1041666666666667</v>
      </c>
      <c r="E117" s="21">
        <v>7.729166666666667</v>
      </c>
    </row>
    <row r="118" spans="1:5">
      <c r="A118" t="s">
        <v>857</v>
      </c>
      <c r="B118" t="s">
        <v>856</v>
      </c>
      <c r="C118" s="82">
        <v>1</v>
      </c>
      <c r="D118" s="21">
        <v>1.3125</v>
      </c>
      <c r="E118" s="21">
        <v>1.3125</v>
      </c>
    </row>
    <row r="119" spans="1:5">
      <c r="A119" t="s">
        <v>1473</v>
      </c>
      <c r="B119" t="s">
        <v>1472</v>
      </c>
      <c r="C119" s="82">
        <v>1</v>
      </c>
      <c r="D119" s="21">
        <v>0.9</v>
      </c>
      <c r="E119" s="21">
        <v>0.9</v>
      </c>
    </row>
    <row r="120" spans="1:5">
      <c r="A120" t="s">
        <v>2033</v>
      </c>
      <c r="B120" t="s">
        <v>2032</v>
      </c>
      <c r="C120" s="82">
        <v>2</v>
      </c>
      <c r="D120" s="21">
        <v>1.1016666666666668</v>
      </c>
      <c r="E120" s="21">
        <v>2.2033333333333336</v>
      </c>
    </row>
    <row r="121" spans="1:5">
      <c r="A121" t="s">
        <v>2090</v>
      </c>
      <c r="B121" t="s">
        <v>2089</v>
      </c>
      <c r="C121" s="82">
        <v>1</v>
      </c>
      <c r="D121" s="21">
        <v>100</v>
      </c>
      <c r="E121" s="21">
        <v>100</v>
      </c>
    </row>
    <row r="122" spans="1:5">
      <c r="A122" t="s">
        <v>2191</v>
      </c>
      <c r="B122" t="s">
        <v>2190</v>
      </c>
      <c r="C122" s="82">
        <v>4</v>
      </c>
      <c r="D122" s="21">
        <v>0.52916666666666667</v>
      </c>
      <c r="E122" s="21">
        <v>2.1166666666666667</v>
      </c>
    </row>
    <row r="123" spans="1:5">
      <c r="A123" t="s">
        <v>2186</v>
      </c>
      <c r="B123" t="s">
        <v>2185</v>
      </c>
      <c r="C123" s="82">
        <v>2</v>
      </c>
      <c r="D123" s="21">
        <v>0.52916666666666667</v>
      </c>
      <c r="E123" s="21">
        <v>1.0583333333333333</v>
      </c>
    </row>
    <row r="124" spans="1:5">
      <c r="A124" t="s">
        <v>1702</v>
      </c>
      <c r="B124" t="s">
        <v>1701</v>
      </c>
      <c r="C124" s="82">
        <v>4</v>
      </c>
      <c r="D124" s="21">
        <v>0.58333333333333337</v>
      </c>
      <c r="E124" s="21">
        <v>2.3333333333333335</v>
      </c>
    </row>
    <row r="125" spans="1:5">
      <c r="A125" t="s">
        <v>1342</v>
      </c>
      <c r="B125" t="s">
        <v>1341</v>
      </c>
      <c r="C125" s="82">
        <v>6</v>
      </c>
      <c r="D125" s="21">
        <v>0.23</v>
      </c>
      <c r="E125" s="21">
        <v>1.3800000000000001</v>
      </c>
    </row>
    <row r="126" spans="1:5">
      <c r="A126" t="s">
        <v>1305</v>
      </c>
      <c r="B126" t="s">
        <v>2165</v>
      </c>
      <c r="C126" s="82">
        <v>24</v>
      </c>
      <c r="D126" s="21">
        <v>0.22041666666666668</v>
      </c>
      <c r="E126" s="21">
        <v>5.29</v>
      </c>
    </row>
    <row r="127" spans="1:5">
      <c r="A127" t="s">
        <v>1275</v>
      </c>
      <c r="B127" t="s">
        <v>2263</v>
      </c>
      <c r="C127" s="82">
        <v>12</v>
      </c>
      <c r="D127" s="21">
        <v>0.11020833333333334</v>
      </c>
      <c r="E127" s="21">
        <v>1.3225</v>
      </c>
    </row>
    <row r="128" spans="1:5">
      <c r="A128" t="s">
        <v>1301</v>
      </c>
      <c r="B128" t="s">
        <v>1300</v>
      </c>
      <c r="C128" s="82">
        <v>6</v>
      </c>
      <c r="D128" s="21">
        <v>0.22041666666666668</v>
      </c>
      <c r="E128" s="21">
        <v>1.3225</v>
      </c>
    </row>
    <row r="129" spans="1:5">
      <c r="A129" t="s">
        <v>1293</v>
      </c>
      <c r="B129" t="s">
        <v>1292</v>
      </c>
      <c r="C129" s="82">
        <v>3</v>
      </c>
      <c r="D129" s="21">
        <v>0.21875</v>
      </c>
      <c r="E129" s="21">
        <v>0.65625</v>
      </c>
    </row>
    <row r="130" spans="1:5">
      <c r="A130" t="s">
        <v>1373</v>
      </c>
      <c r="B130" t="s">
        <v>1372</v>
      </c>
      <c r="C130" s="82">
        <v>18</v>
      </c>
      <c r="D130" s="21">
        <v>0.34</v>
      </c>
      <c r="E130" s="21">
        <v>6.12</v>
      </c>
    </row>
    <row r="131" spans="1:5">
      <c r="A131" t="s">
        <v>1428</v>
      </c>
      <c r="B131" t="s">
        <v>1427</v>
      </c>
      <c r="C131" s="82">
        <v>3</v>
      </c>
      <c r="D131" s="21">
        <v>0.44083333333333335</v>
      </c>
      <c r="E131" s="21">
        <v>1.3225</v>
      </c>
    </row>
    <row r="132" spans="1:5">
      <c r="A132" t="s">
        <v>1263</v>
      </c>
      <c r="B132" t="s">
        <v>1262</v>
      </c>
      <c r="C132" s="82">
        <v>12</v>
      </c>
      <c r="D132" s="21">
        <v>1.6600000000000001</v>
      </c>
      <c r="E132" s="21">
        <v>19.920000000000002</v>
      </c>
    </row>
    <row r="133" spans="1:5">
      <c r="A133" t="s">
        <v>1317</v>
      </c>
      <c r="B133" t="s">
        <v>1316</v>
      </c>
      <c r="C133" s="82">
        <v>6</v>
      </c>
      <c r="D133" s="21">
        <v>0.2</v>
      </c>
      <c r="E133" s="21">
        <v>1.2000000000000002</v>
      </c>
    </row>
    <row r="134" spans="1:5">
      <c r="A134" t="s">
        <v>2144</v>
      </c>
      <c r="B134" t="s">
        <v>2143</v>
      </c>
      <c r="C134" s="82">
        <v>2</v>
      </c>
      <c r="D134" s="21">
        <v>0.82750000000000001</v>
      </c>
      <c r="E134" s="21">
        <v>1.655</v>
      </c>
    </row>
    <row r="135" spans="1:5">
      <c r="A135" t="s">
        <v>1828</v>
      </c>
      <c r="B135" t="s">
        <v>1827</v>
      </c>
      <c r="C135" s="82">
        <v>1</v>
      </c>
      <c r="D135" s="21">
        <v>0.26</v>
      </c>
      <c r="E135" s="21">
        <v>0.26</v>
      </c>
    </row>
    <row r="136" spans="1:5">
      <c r="A136" t="s">
        <v>13</v>
      </c>
      <c r="B136" t="s">
        <v>12</v>
      </c>
      <c r="C136" s="82">
        <v>36</v>
      </c>
      <c r="D136" s="21">
        <v>3.1091666666666669</v>
      </c>
      <c r="E136" s="21">
        <v>111.93</v>
      </c>
    </row>
    <row r="137" spans="1:5">
      <c r="A137" t="s">
        <v>480</v>
      </c>
      <c r="B137" t="s">
        <v>479</v>
      </c>
      <c r="C137" s="82">
        <v>36</v>
      </c>
      <c r="D137" s="21">
        <v>0.55208333333333337</v>
      </c>
      <c r="E137" s="21">
        <v>19.875</v>
      </c>
    </row>
    <row r="138" spans="1:5">
      <c r="A138" t="s">
        <v>100</v>
      </c>
      <c r="B138" t="s">
        <v>99</v>
      </c>
      <c r="C138" s="82">
        <v>36</v>
      </c>
      <c r="D138" s="21">
        <v>0.55208333333333337</v>
      </c>
      <c r="E138" s="21">
        <v>19.875</v>
      </c>
    </row>
    <row r="139" spans="1:5">
      <c r="A139" t="s">
        <v>1724</v>
      </c>
      <c r="B139" t="s">
        <v>2276</v>
      </c>
      <c r="C139" s="82">
        <v>12</v>
      </c>
      <c r="D139" s="21">
        <v>1.75</v>
      </c>
      <c r="E139" s="21">
        <v>21</v>
      </c>
    </row>
    <row r="140" spans="1:5">
      <c r="A140" t="s">
        <v>401</v>
      </c>
      <c r="B140" t="s">
        <v>400</v>
      </c>
      <c r="C140" s="82">
        <v>1</v>
      </c>
      <c r="D140" s="21">
        <v>2.1166666666666667</v>
      </c>
      <c r="E140" s="21">
        <v>2.1166666666666667</v>
      </c>
    </row>
    <row r="141" spans="1:5">
      <c r="A141" t="s">
        <v>45</v>
      </c>
      <c r="B141" t="s">
        <v>2170</v>
      </c>
      <c r="C141" s="82">
        <v>2</v>
      </c>
      <c r="D141" s="21">
        <v>0.5</v>
      </c>
      <c r="E141" s="21">
        <v>1</v>
      </c>
    </row>
    <row r="142" spans="1:5">
      <c r="A142" t="s">
        <v>395</v>
      </c>
      <c r="B142" t="s">
        <v>2237</v>
      </c>
      <c r="C142" s="82">
        <v>42</v>
      </c>
      <c r="D142" s="21">
        <v>0.47499999999999998</v>
      </c>
      <c r="E142" s="21">
        <v>19.95</v>
      </c>
    </row>
    <row r="143" spans="1:5">
      <c r="A143" t="s">
        <v>1694</v>
      </c>
      <c r="B143" t="s">
        <v>1693</v>
      </c>
      <c r="C143" s="82">
        <v>1</v>
      </c>
      <c r="D143" s="21">
        <v>0.6</v>
      </c>
      <c r="E143" s="21">
        <v>0.6</v>
      </c>
    </row>
    <row r="144" spans="1:5">
      <c r="A144" t="s">
        <v>1180</v>
      </c>
      <c r="B144" t="s">
        <v>297</v>
      </c>
      <c r="C144" s="82">
        <v>1</v>
      </c>
      <c r="D144" s="21">
        <v>0.9277777777777777</v>
      </c>
      <c r="E144" s="21">
        <v>0.9277777777777777</v>
      </c>
    </row>
    <row r="145" spans="1:5">
      <c r="A145" t="s">
        <v>1189</v>
      </c>
      <c r="B145" t="s">
        <v>1188</v>
      </c>
      <c r="C145" s="82">
        <v>1</v>
      </c>
      <c r="D145" s="21">
        <v>0.9277777777777777</v>
      </c>
      <c r="E145" s="21">
        <v>0.9277777777777777</v>
      </c>
    </row>
    <row r="146" spans="1:5">
      <c r="A146" t="s">
        <v>2242</v>
      </c>
      <c r="B146" t="s">
        <v>2241</v>
      </c>
      <c r="C146" s="82">
        <v>1</v>
      </c>
      <c r="D146" s="21">
        <v>0.45</v>
      </c>
      <c r="E146" s="21">
        <v>0.45</v>
      </c>
    </row>
    <row r="147" spans="1:5">
      <c r="A147" t="s">
        <v>2063</v>
      </c>
      <c r="B147" t="s">
        <v>2062</v>
      </c>
      <c r="C147" s="82">
        <v>1</v>
      </c>
      <c r="D147" s="21">
        <v>0.53</v>
      </c>
      <c r="E147" s="21">
        <v>0.53</v>
      </c>
    </row>
  </sheetData>
  <customSheetViews>
    <customSheetView guid="{D03BBA77-B0D6-4284-98FD-BE2506FB6F43}"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J155"/>
  <sheetViews>
    <sheetView topLeftCell="C1" workbookViewId="0">
      <selection activeCell="D4" sqref="D4"/>
    </sheetView>
  </sheetViews>
  <sheetFormatPr baseColWidth="10" defaultRowHeight="14.4"/>
  <cols>
    <col min="1" max="1" width="18.33203125" bestFit="1" customWidth="1"/>
    <col min="2" max="2" width="45" bestFit="1" customWidth="1"/>
    <col min="3" max="5" width="17.44140625" bestFit="1" customWidth="1"/>
    <col min="8" max="8" width="13" customWidth="1"/>
  </cols>
  <sheetData>
    <row r="1" spans="1:10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1092</v>
      </c>
      <c r="H1" t="s">
        <v>1089</v>
      </c>
    </row>
    <row r="2" spans="1:10">
      <c r="A2">
        <v>60000210</v>
      </c>
      <c r="B2" t="s">
        <v>148</v>
      </c>
      <c r="C2" s="82">
        <v>487</v>
      </c>
      <c r="D2" s="22">
        <v>0.77200000000000002</v>
      </c>
      <c r="E2" s="22">
        <v>375.964</v>
      </c>
      <c r="G2" s="21">
        <f>SUM(E:E)</f>
        <v>2988.0298473117778</v>
      </c>
      <c r="H2" s="21">
        <f>CONVERT(G2,"lbm","cwt")</f>
        <v>29.880298473117779</v>
      </c>
    </row>
    <row r="3" spans="1:10">
      <c r="A3">
        <v>10010010010</v>
      </c>
      <c r="B3" t="s">
        <v>146</v>
      </c>
      <c r="C3" s="82">
        <v>240</v>
      </c>
      <c r="D3" s="22">
        <v>0.88200000000000001</v>
      </c>
      <c r="E3" s="22">
        <v>211.68</v>
      </c>
    </row>
    <row r="4" spans="1:10" ht="15" thickBot="1">
      <c r="A4">
        <v>10020040002</v>
      </c>
      <c r="B4" t="s">
        <v>145</v>
      </c>
      <c r="C4" s="82">
        <v>37</v>
      </c>
      <c r="D4" s="22">
        <v>0.88200000000000001</v>
      </c>
      <c r="E4" s="22">
        <v>32.634</v>
      </c>
      <c r="G4" s="23" t="s">
        <v>1095</v>
      </c>
      <c r="H4" s="24" t="s">
        <v>1096</v>
      </c>
      <c r="I4" s="23" t="s">
        <v>1106</v>
      </c>
    </row>
    <row r="5" spans="1:10" ht="15" thickTop="1">
      <c r="A5">
        <v>10010020002</v>
      </c>
      <c r="B5" t="s">
        <v>144</v>
      </c>
      <c r="C5" s="82">
        <v>6</v>
      </c>
      <c r="D5" s="22">
        <v>0.88200000000000001</v>
      </c>
      <c r="E5" s="22">
        <v>5.2919999999999998</v>
      </c>
      <c r="G5" s="25" t="s">
        <v>1097</v>
      </c>
      <c r="H5" s="25">
        <v>50</v>
      </c>
      <c r="I5" s="26">
        <f>Tabla23[QUINTALES]/H5</f>
        <v>0.59760596946235556</v>
      </c>
      <c r="J5" s="27"/>
    </row>
    <row r="6" spans="1:10">
      <c r="A6">
        <v>576003</v>
      </c>
      <c r="B6" t="s">
        <v>2084</v>
      </c>
      <c r="C6" s="82">
        <v>73</v>
      </c>
      <c r="D6" s="22">
        <v>0.11944444444444444</v>
      </c>
      <c r="E6" s="22">
        <v>8.7194444444444432</v>
      </c>
      <c r="J6" s="21"/>
    </row>
    <row r="7" spans="1:10" ht="15" thickBot="1">
      <c r="A7">
        <v>5460400</v>
      </c>
      <c r="B7" t="s">
        <v>2133</v>
      </c>
      <c r="C7" s="82">
        <v>120</v>
      </c>
      <c r="D7" s="22">
        <v>0.75</v>
      </c>
      <c r="E7" s="22">
        <v>90</v>
      </c>
      <c r="G7" s="23" t="s">
        <v>1095</v>
      </c>
      <c r="H7" s="24" t="s">
        <v>1096</v>
      </c>
      <c r="I7" s="23" t="s">
        <v>1106</v>
      </c>
      <c r="J7" s="21"/>
    </row>
    <row r="8" spans="1:10" ht="15" thickTop="1">
      <c r="A8">
        <v>5467000</v>
      </c>
      <c r="B8" t="s">
        <v>2066</v>
      </c>
      <c r="C8" s="82">
        <v>12</v>
      </c>
      <c r="D8" s="22">
        <v>1.1100000000000001</v>
      </c>
      <c r="E8" s="22">
        <v>13.32</v>
      </c>
      <c r="G8" s="25" t="s">
        <v>1098</v>
      </c>
      <c r="H8" s="25">
        <v>50</v>
      </c>
      <c r="I8" s="26">
        <f>Tabla23[QUINTALES]/H8</f>
        <v>0.59760596946235556</v>
      </c>
      <c r="J8" s="21"/>
    </row>
    <row r="9" spans="1:10">
      <c r="A9">
        <v>400000221</v>
      </c>
      <c r="B9" t="s">
        <v>587</v>
      </c>
      <c r="C9" s="82">
        <v>10</v>
      </c>
      <c r="D9" s="22">
        <v>0.8</v>
      </c>
      <c r="E9" s="22">
        <v>8</v>
      </c>
      <c r="J9" s="21"/>
    </row>
    <row r="10" spans="1:10" ht="15" thickBot="1">
      <c r="A10">
        <v>50491108</v>
      </c>
      <c r="B10" t="s">
        <v>2010</v>
      </c>
      <c r="C10" s="82">
        <v>8</v>
      </c>
      <c r="D10" s="22">
        <v>2.65</v>
      </c>
      <c r="E10" s="22">
        <v>21.2</v>
      </c>
      <c r="G10" s="23" t="s">
        <v>1095</v>
      </c>
      <c r="H10" s="24" t="s">
        <v>1096</v>
      </c>
      <c r="I10" s="23" t="s">
        <v>1106</v>
      </c>
      <c r="J10" s="21"/>
    </row>
    <row r="11" spans="1:10" ht="15" thickTop="1">
      <c r="A11">
        <v>50491107</v>
      </c>
      <c r="B11" t="s">
        <v>1897</v>
      </c>
      <c r="C11" s="82">
        <v>8</v>
      </c>
      <c r="D11" s="22">
        <v>2.65</v>
      </c>
      <c r="E11" s="22">
        <v>21.2</v>
      </c>
      <c r="G11" s="25" t="s">
        <v>1099</v>
      </c>
      <c r="H11" s="25">
        <v>50</v>
      </c>
      <c r="I11" s="26">
        <f>Tabla23[QUINTALES]/H11</f>
        <v>0.59760596946235556</v>
      </c>
      <c r="J11" s="21"/>
    </row>
    <row r="12" spans="1:10">
      <c r="A12">
        <v>50491109</v>
      </c>
      <c r="B12" t="s">
        <v>1584</v>
      </c>
      <c r="C12" s="82">
        <v>8</v>
      </c>
      <c r="D12" s="22">
        <v>2.65</v>
      </c>
      <c r="E12" s="22">
        <v>21.2</v>
      </c>
      <c r="J12" s="21"/>
    </row>
    <row r="13" spans="1:10" ht="15" thickBot="1">
      <c r="A13">
        <v>50491106</v>
      </c>
      <c r="B13" t="s">
        <v>2256</v>
      </c>
      <c r="C13" s="82">
        <v>1</v>
      </c>
      <c r="D13" s="22">
        <v>2.65</v>
      </c>
      <c r="E13" s="22">
        <v>2.65</v>
      </c>
      <c r="G13" s="23" t="s">
        <v>1095</v>
      </c>
      <c r="H13" s="24" t="s">
        <v>1096</v>
      </c>
      <c r="I13" s="23" t="s">
        <v>1106</v>
      </c>
      <c r="J13" s="21"/>
    </row>
    <row r="14" spans="1:10" ht="15" thickTop="1">
      <c r="A14">
        <v>620821</v>
      </c>
      <c r="B14" t="s">
        <v>1478</v>
      </c>
      <c r="C14" s="82">
        <v>30</v>
      </c>
      <c r="D14" s="22">
        <v>0.9770833333333333</v>
      </c>
      <c r="E14" s="22">
        <v>29.3125</v>
      </c>
      <c r="G14" s="25" t="s">
        <v>1100</v>
      </c>
      <c r="H14" s="25">
        <v>50</v>
      </c>
      <c r="I14" s="26">
        <f>Tabla23[QUINTALES]/H14</f>
        <v>0.59760596946235556</v>
      </c>
      <c r="J14" s="21"/>
    </row>
    <row r="15" spans="1:10">
      <c r="A15">
        <v>620678</v>
      </c>
      <c r="B15" t="s">
        <v>654</v>
      </c>
      <c r="C15" s="82">
        <v>6</v>
      </c>
      <c r="D15" s="22">
        <v>1</v>
      </c>
      <c r="E15" s="22">
        <v>6</v>
      </c>
    </row>
    <row r="16" spans="1:10" ht="15" thickBot="1">
      <c r="A16">
        <v>621330</v>
      </c>
      <c r="B16" t="s">
        <v>652</v>
      </c>
      <c r="C16" s="82">
        <v>22</v>
      </c>
      <c r="D16" s="22">
        <v>0.8833333333333333</v>
      </c>
      <c r="E16" s="22">
        <v>19.433333333333334</v>
      </c>
      <c r="G16" s="23" t="s">
        <v>1095</v>
      </c>
      <c r="H16" s="24" t="s">
        <v>1096</v>
      </c>
      <c r="I16" s="23" t="s">
        <v>1106</v>
      </c>
    </row>
    <row r="17" spans="1:9" ht="15" thickTop="1">
      <c r="A17">
        <v>1008011812</v>
      </c>
      <c r="B17" t="s">
        <v>445</v>
      </c>
      <c r="C17" s="82">
        <v>6</v>
      </c>
      <c r="D17" s="22">
        <v>0.63928571428571423</v>
      </c>
      <c r="E17" s="22">
        <v>3.8357142857142854</v>
      </c>
      <c r="G17" s="25" t="s">
        <v>1101</v>
      </c>
      <c r="H17" s="25">
        <v>50</v>
      </c>
      <c r="I17" s="26">
        <f>Tabla23[QUINTALES]/H17</f>
        <v>0.59760596946235556</v>
      </c>
    </row>
    <row r="18" spans="1:9">
      <c r="A18">
        <v>1008010073</v>
      </c>
      <c r="B18" t="s">
        <v>443</v>
      </c>
      <c r="C18" s="82">
        <v>1</v>
      </c>
      <c r="D18" s="22">
        <v>0.33071428571428568</v>
      </c>
      <c r="E18" s="22">
        <v>0.33071428571428568</v>
      </c>
    </row>
    <row r="19" spans="1:9" ht="15" thickBot="1">
      <c r="A19">
        <v>60000094</v>
      </c>
      <c r="B19" t="s">
        <v>1387</v>
      </c>
      <c r="C19" s="82">
        <v>82</v>
      </c>
      <c r="D19" s="22">
        <v>1.76</v>
      </c>
      <c r="E19" s="22">
        <v>144.32</v>
      </c>
      <c r="G19" s="23" t="s">
        <v>1095</v>
      </c>
      <c r="H19" s="24" t="s">
        <v>1096</v>
      </c>
      <c r="I19" s="23" t="s">
        <v>1106</v>
      </c>
    </row>
    <row r="20" spans="1:9" ht="15" thickTop="1">
      <c r="A20">
        <v>620845</v>
      </c>
      <c r="B20" t="s">
        <v>1627</v>
      </c>
      <c r="C20" s="82">
        <v>34</v>
      </c>
      <c r="D20" s="22">
        <v>1.6555555555555557</v>
      </c>
      <c r="E20" s="22">
        <v>56.288888888888891</v>
      </c>
      <c r="G20" s="25" t="s">
        <v>1102</v>
      </c>
      <c r="H20" s="25">
        <v>50</v>
      </c>
      <c r="I20" s="26">
        <f>Tabla23[QUINTALES]/H20</f>
        <v>0.59760596946235556</v>
      </c>
    </row>
    <row r="21" spans="1:9">
      <c r="A21">
        <v>400000127</v>
      </c>
      <c r="B21" t="s">
        <v>585</v>
      </c>
      <c r="C21" s="82">
        <v>5</v>
      </c>
      <c r="D21" s="22">
        <v>1.5449999999999999</v>
      </c>
      <c r="E21" s="22">
        <v>7.7249999999999996</v>
      </c>
    </row>
    <row r="22" spans="1:9" ht="15" thickBot="1">
      <c r="A22">
        <v>50491101</v>
      </c>
      <c r="B22" t="s">
        <v>1950</v>
      </c>
      <c r="C22" s="82">
        <v>6</v>
      </c>
      <c r="D22" s="22">
        <v>2.65</v>
      </c>
      <c r="E22" s="22">
        <v>15.899999999999999</v>
      </c>
      <c r="G22" s="23" t="s">
        <v>1095</v>
      </c>
      <c r="H22" s="24" t="s">
        <v>1096</v>
      </c>
      <c r="I22" s="23" t="s">
        <v>1106</v>
      </c>
    </row>
    <row r="23" spans="1:9" ht="15" thickTop="1">
      <c r="A23">
        <v>1008012355</v>
      </c>
      <c r="B23" t="s">
        <v>446</v>
      </c>
      <c r="C23" s="82">
        <v>5</v>
      </c>
      <c r="D23" s="22">
        <v>1.3666666666666665</v>
      </c>
      <c r="E23" s="22">
        <v>6.8333333333333321</v>
      </c>
      <c r="G23" s="25" t="s">
        <v>1103</v>
      </c>
      <c r="H23" s="25">
        <v>30</v>
      </c>
      <c r="I23" s="26">
        <f>Tabla23[QUINTALES]/H23</f>
        <v>0.99600994910392593</v>
      </c>
    </row>
    <row r="24" spans="1:9">
      <c r="A24">
        <v>60000209</v>
      </c>
      <c r="B24" t="s">
        <v>147</v>
      </c>
      <c r="C24" s="82">
        <v>57</v>
      </c>
      <c r="D24" s="22">
        <v>0.77200000000000002</v>
      </c>
      <c r="E24" s="22">
        <v>44.003999999999998</v>
      </c>
    </row>
    <row r="25" spans="1:9">
      <c r="A25">
        <v>620500</v>
      </c>
      <c r="B25" t="s">
        <v>2261</v>
      </c>
      <c r="C25" s="82">
        <v>8</v>
      </c>
      <c r="D25" s="22">
        <v>2</v>
      </c>
      <c r="E25" s="22">
        <v>16</v>
      </c>
    </row>
    <row r="26" spans="1:9" ht="15" thickBot="1">
      <c r="A26">
        <v>60000205</v>
      </c>
      <c r="B26" t="s">
        <v>141</v>
      </c>
      <c r="C26" s="82">
        <v>20</v>
      </c>
      <c r="D26" s="22">
        <v>0.88000000000000012</v>
      </c>
      <c r="E26" s="22">
        <v>17.600000000000001</v>
      </c>
      <c r="G26" s="23" t="s">
        <v>1095</v>
      </c>
      <c r="H26" s="24" t="s">
        <v>1096</v>
      </c>
      <c r="I26" s="23" t="s">
        <v>1106</v>
      </c>
    </row>
    <row r="27" spans="1:9" ht="15" thickTop="1">
      <c r="A27">
        <v>574983</v>
      </c>
      <c r="B27" t="s">
        <v>2274</v>
      </c>
      <c r="C27" s="82">
        <v>14</v>
      </c>
      <c r="D27" s="22">
        <v>0.22083333333333333</v>
      </c>
      <c r="E27" s="22">
        <v>3.0916666666666668</v>
      </c>
      <c r="G27" s="25" t="s">
        <v>1104</v>
      </c>
      <c r="H27" s="25">
        <v>70</v>
      </c>
      <c r="I27" s="26">
        <f>Tabla23[QUINTALES]/H27</f>
        <v>0.42686140675882545</v>
      </c>
    </row>
    <row r="28" spans="1:9">
      <c r="A28">
        <v>50491122</v>
      </c>
      <c r="B28" t="s">
        <v>2264</v>
      </c>
      <c r="C28" s="82">
        <v>1</v>
      </c>
      <c r="D28" s="22">
        <v>0.88166666666666671</v>
      </c>
      <c r="E28" s="22">
        <v>0.88166666666666671</v>
      </c>
    </row>
    <row r="29" spans="1:9" ht="15" thickBot="1">
      <c r="A29">
        <v>4040000841</v>
      </c>
      <c r="B29" t="s">
        <v>590</v>
      </c>
      <c r="C29" s="82">
        <v>1</v>
      </c>
      <c r="D29" s="22">
        <v>0.625</v>
      </c>
      <c r="E29" s="22">
        <v>0.625</v>
      </c>
      <c r="G29" s="23" t="s">
        <v>1095</v>
      </c>
      <c r="H29" s="24" t="s">
        <v>1096</v>
      </c>
      <c r="I29" s="23" t="s">
        <v>1106</v>
      </c>
    </row>
    <row r="30" spans="1:9" ht="15" thickTop="1">
      <c r="A30">
        <v>69584500</v>
      </c>
      <c r="B30" t="s">
        <v>2166</v>
      </c>
      <c r="C30" s="82">
        <v>50</v>
      </c>
      <c r="D30" s="22">
        <v>9.9124999999999991E-2</v>
      </c>
      <c r="E30" s="22">
        <v>4.9562499999999998</v>
      </c>
      <c r="G30" s="25" t="s">
        <v>1105</v>
      </c>
      <c r="H30" s="25">
        <v>70</v>
      </c>
      <c r="I30" s="26">
        <f>Tabla23[QUINTALES]/H30</f>
        <v>0.42686140675882545</v>
      </c>
    </row>
    <row r="31" spans="1:9">
      <c r="A31">
        <v>50491131</v>
      </c>
      <c r="B31" t="s">
        <v>1759</v>
      </c>
      <c r="C31" s="82">
        <v>9</v>
      </c>
      <c r="D31" s="22">
        <v>3.2916666666666665</v>
      </c>
      <c r="E31" s="22">
        <v>29.625</v>
      </c>
    </row>
    <row r="32" spans="1:9">
      <c r="A32">
        <v>50491134</v>
      </c>
      <c r="B32" t="s">
        <v>1758</v>
      </c>
      <c r="C32" s="82">
        <v>20</v>
      </c>
      <c r="D32" s="22">
        <v>3.2916666666666665</v>
      </c>
      <c r="E32" s="22">
        <v>65.833333333333329</v>
      </c>
    </row>
    <row r="33" spans="1:5">
      <c r="A33">
        <v>50491133</v>
      </c>
      <c r="B33" t="s">
        <v>1761</v>
      </c>
      <c r="C33" s="82">
        <v>9</v>
      </c>
      <c r="D33" s="22">
        <v>3.3049999999999997</v>
      </c>
      <c r="E33" s="22">
        <v>29.744999999999997</v>
      </c>
    </row>
    <row r="34" spans="1:5">
      <c r="A34" t="s">
        <v>109</v>
      </c>
      <c r="B34" t="s">
        <v>108</v>
      </c>
      <c r="C34" s="82">
        <v>176</v>
      </c>
      <c r="D34" s="22">
        <v>0.44166666666666665</v>
      </c>
      <c r="E34" s="22">
        <v>77.733333333333334</v>
      </c>
    </row>
    <row r="35" spans="1:5">
      <c r="A35">
        <v>52480086</v>
      </c>
      <c r="B35" t="s">
        <v>1939</v>
      </c>
      <c r="C35" s="82">
        <v>11</v>
      </c>
      <c r="D35" s="22">
        <v>0.23805555555555558</v>
      </c>
      <c r="E35" s="22">
        <v>2.6186111111111114</v>
      </c>
    </row>
    <row r="36" spans="1:5">
      <c r="A36">
        <v>69780941</v>
      </c>
      <c r="B36" t="s">
        <v>1951</v>
      </c>
      <c r="C36" s="82">
        <v>696</v>
      </c>
      <c r="D36" s="22">
        <v>0.19833333333333333</v>
      </c>
      <c r="E36" s="22">
        <v>138.04</v>
      </c>
    </row>
    <row r="37" spans="1:5">
      <c r="A37">
        <v>69761870</v>
      </c>
      <c r="B37" t="s">
        <v>1972</v>
      </c>
      <c r="C37" s="82">
        <v>60</v>
      </c>
      <c r="D37" s="22">
        <v>0.19833333333333333</v>
      </c>
      <c r="E37" s="22">
        <v>11.9</v>
      </c>
    </row>
    <row r="38" spans="1:5">
      <c r="A38">
        <v>69761868</v>
      </c>
      <c r="B38" t="s">
        <v>2024</v>
      </c>
      <c r="C38" s="82">
        <v>10</v>
      </c>
      <c r="D38" s="22">
        <v>0.19843750000000002</v>
      </c>
      <c r="E38" s="22">
        <v>1.9843750000000002</v>
      </c>
    </row>
    <row r="39" spans="1:5">
      <c r="A39">
        <v>84153470</v>
      </c>
      <c r="B39" t="s">
        <v>318</v>
      </c>
      <c r="C39" s="82">
        <v>1</v>
      </c>
      <c r="D39" s="22">
        <v>2.6875E-2</v>
      </c>
      <c r="E39" s="22">
        <v>2.6875E-2</v>
      </c>
    </row>
    <row r="40" spans="1:5">
      <c r="A40">
        <v>69678222</v>
      </c>
      <c r="B40" t="s">
        <v>2088</v>
      </c>
      <c r="C40" s="82">
        <v>8</v>
      </c>
      <c r="D40" s="22">
        <v>0.5541666666666667</v>
      </c>
      <c r="E40" s="22">
        <v>4.4333333333333336</v>
      </c>
    </row>
    <row r="41" spans="1:5">
      <c r="A41" t="s">
        <v>107</v>
      </c>
      <c r="B41" t="s">
        <v>106</v>
      </c>
      <c r="C41" s="82">
        <v>72</v>
      </c>
      <c r="D41" s="22">
        <v>0.44166666666666665</v>
      </c>
      <c r="E41" s="22">
        <v>31.799999999999997</v>
      </c>
    </row>
    <row r="42" spans="1:5">
      <c r="A42" t="s">
        <v>21</v>
      </c>
      <c r="B42" t="s">
        <v>20</v>
      </c>
      <c r="C42" s="82">
        <v>5</v>
      </c>
      <c r="D42" s="22">
        <v>0.8833333333333333</v>
      </c>
      <c r="E42" s="22">
        <v>4.4166666666666661</v>
      </c>
    </row>
    <row r="43" spans="1:5">
      <c r="A43" t="s">
        <v>1475</v>
      </c>
      <c r="B43" t="s">
        <v>1474</v>
      </c>
      <c r="C43" s="82">
        <v>41</v>
      </c>
      <c r="D43" s="22">
        <v>0.9</v>
      </c>
      <c r="E43" s="22">
        <v>36.9</v>
      </c>
    </row>
    <row r="44" spans="1:5">
      <c r="A44" t="s">
        <v>1525</v>
      </c>
      <c r="B44" t="s">
        <v>1524</v>
      </c>
      <c r="C44" s="82">
        <v>51</v>
      </c>
      <c r="D44" s="22">
        <v>0.9</v>
      </c>
      <c r="E44" s="22">
        <v>45.9</v>
      </c>
    </row>
    <row r="45" spans="1:5">
      <c r="A45" t="s">
        <v>529</v>
      </c>
      <c r="B45" t="s">
        <v>528</v>
      </c>
      <c r="C45" s="82">
        <v>116</v>
      </c>
      <c r="D45" s="22">
        <v>0.34375</v>
      </c>
      <c r="E45" s="22">
        <v>39.875</v>
      </c>
    </row>
    <row r="46" spans="1:5">
      <c r="A46" t="s">
        <v>2188</v>
      </c>
      <c r="B46" t="s">
        <v>2187</v>
      </c>
      <c r="C46" s="82">
        <v>32</v>
      </c>
      <c r="D46" s="22">
        <v>0.52916666666666667</v>
      </c>
      <c r="E46" s="22">
        <v>16.933333333333334</v>
      </c>
    </row>
    <row r="47" spans="1:5">
      <c r="A47" t="s">
        <v>2228</v>
      </c>
      <c r="B47" t="s">
        <v>2227</v>
      </c>
      <c r="C47" s="82">
        <v>120</v>
      </c>
      <c r="D47" s="22">
        <v>0.33958333333333335</v>
      </c>
      <c r="E47" s="22">
        <v>40.75</v>
      </c>
    </row>
    <row r="48" spans="1:5">
      <c r="A48" t="s">
        <v>1716</v>
      </c>
      <c r="B48" t="s">
        <v>1715</v>
      </c>
      <c r="C48" s="82">
        <v>123</v>
      </c>
      <c r="D48" s="22">
        <v>0.25</v>
      </c>
      <c r="E48" s="22">
        <v>30.75</v>
      </c>
    </row>
    <row r="49" spans="1:5">
      <c r="A49" t="s">
        <v>706</v>
      </c>
      <c r="B49" t="s">
        <v>705</v>
      </c>
      <c r="C49" s="82">
        <v>10</v>
      </c>
      <c r="D49" s="22">
        <v>0.70833333333333337</v>
      </c>
      <c r="E49" s="22">
        <v>7.0833333333333339</v>
      </c>
    </row>
    <row r="50" spans="1:5">
      <c r="A50" t="s">
        <v>39</v>
      </c>
      <c r="B50" t="s">
        <v>38</v>
      </c>
      <c r="C50" s="82">
        <v>2</v>
      </c>
      <c r="D50" s="22">
        <v>0.24270833333333333</v>
      </c>
      <c r="E50" s="22">
        <v>0.48541666666666666</v>
      </c>
    </row>
    <row r="51" spans="1:5">
      <c r="A51">
        <v>69678219</v>
      </c>
      <c r="B51" t="s">
        <v>2240</v>
      </c>
      <c r="C51" s="82">
        <v>1</v>
      </c>
      <c r="D51" s="22">
        <v>0.55541666666666667</v>
      </c>
      <c r="E51" s="22">
        <v>0.55541666666666667</v>
      </c>
    </row>
    <row r="52" spans="1:5">
      <c r="A52" t="s">
        <v>1261</v>
      </c>
      <c r="B52" t="s">
        <v>1513</v>
      </c>
      <c r="C52" s="82">
        <v>43</v>
      </c>
      <c r="D52" s="22">
        <v>0.36249999999999999</v>
      </c>
      <c r="E52" s="22">
        <v>15.5875</v>
      </c>
    </row>
    <row r="53" spans="1:5">
      <c r="A53" t="s">
        <v>1081</v>
      </c>
      <c r="B53" t="s">
        <v>1080</v>
      </c>
      <c r="C53" s="82">
        <v>9</v>
      </c>
      <c r="D53" s="22">
        <v>2.1166666666666667</v>
      </c>
      <c r="E53" s="22">
        <v>19.05</v>
      </c>
    </row>
    <row r="54" spans="1:5">
      <c r="A54" t="s">
        <v>37</v>
      </c>
      <c r="B54" t="s">
        <v>36</v>
      </c>
      <c r="C54" s="82">
        <v>2</v>
      </c>
      <c r="D54" s="22">
        <v>0.24270833333333333</v>
      </c>
      <c r="E54" s="22">
        <v>0.48541666666666666</v>
      </c>
    </row>
    <row r="55" spans="1:5">
      <c r="A55" t="s">
        <v>41</v>
      </c>
      <c r="B55" t="s">
        <v>40</v>
      </c>
      <c r="C55" s="82">
        <v>2</v>
      </c>
      <c r="D55" s="22">
        <v>0.24270833333333333</v>
      </c>
      <c r="E55" s="22">
        <v>0.48541666666666666</v>
      </c>
    </row>
    <row r="56" spans="1:5">
      <c r="A56" t="s">
        <v>1289</v>
      </c>
      <c r="B56" t="s">
        <v>1431</v>
      </c>
      <c r="C56" s="82">
        <v>18</v>
      </c>
      <c r="D56" s="22">
        <v>0.36249999999999999</v>
      </c>
      <c r="E56" s="22">
        <v>6.5249999999999995</v>
      </c>
    </row>
    <row r="57" spans="1:5">
      <c r="A57" t="s">
        <v>2146</v>
      </c>
      <c r="B57" t="s">
        <v>2145</v>
      </c>
      <c r="C57" s="82">
        <v>62</v>
      </c>
      <c r="D57" s="22">
        <v>0.24041666666666664</v>
      </c>
      <c r="E57" s="22">
        <v>14.905833333333332</v>
      </c>
    </row>
    <row r="58" spans="1:5">
      <c r="A58" t="s">
        <v>662</v>
      </c>
      <c r="B58" t="s">
        <v>2171</v>
      </c>
      <c r="C58" s="82">
        <v>32</v>
      </c>
      <c r="D58" s="22">
        <v>8.3333333333333329E-2</v>
      </c>
      <c r="E58" s="22">
        <v>2.6666666666666665</v>
      </c>
    </row>
    <row r="59" spans="1:5">
      <c r="A59" t="s">
        <v>671</v>
      </c>
      <c r="B59" t="s">
        <v>670</v>
      </c>
      <c r="C59" s="82">
        <v>12</v>
      </c>
      <c r="D59" s="22">
        <v>0.25</v>
      </c>
      <c r="E59" s="22">
        <v>3</v>
      </c>
    </row>
    <row r="60" spans="1:5">
      <c r="A60" t="s">
        <v>431</v>
      </c>
      <c r="B60" t="s">
        <v>430</v>
      </c>
      <c r="C60" s="82">
        <v>4</v>
      </c>
      <c r="D60" s="22">
        <v>2.1166666666666667</v>
      </c>
      <c r="E60" s="22">
        <v>8.4666666666666668</v>
      </c>
    </row>
    <row r="61" spans="1:5">
      <c r="A61" t="s">
        <v>102</v>
      </c>
      <c r="B61" t="s">
        <v>101</v>
      </c>
      <c r="C61" s="82">
        <v>18</v>
      </c>
      <c r="D61" s="22">
        <v>0.72916666666666663</v>
      </c>
      <c r="E61" s="22">
        <v>13.125</v>
      </c>
    </row>
    <row r="62" spans="1:5">
      <c r="A62" t="s">
        <v>510</v>
      </c>
      <c r="B62" t="s">
        <v>1237</v>
      </c>
      <c r="C62" s="82">
        <v>18</v>
      </c>
      <c r="D62" s="22">
        <v>0.72916666666666663</v>
      </c>
      <c r="E62" s="22">
        <v>13.125</v>
      </c>
    </row>
    <row r="63" spans="1:5">
      <c r="A63" t="s">
        <v>533</v>
      </c>
      <c r="B63" t="s">
        <v>532</v>
      </c>
      <c r="C63" s="82">
        <v>159</v>
      </c>
      <c r="D63" s="22">
        <v>0.5</v>
      </c>
      <c r="E63" s="22">
        <v>79.5</v>
      </c>
    </row>
    <row r="64" spans="1:5">
      <c r="A64" t="s">
        <v>119</v>
      </c>
      <c r="B64" t="s">
        <v>118</v>
      </c>
      <c r="C64" s="82">
        <v>12</v>
      </c>
      <c r="D64" s="22">
        <v>0.875</v>
      </c>
      <c r="E64" s="22">
        <v>10.5</v>
      </c>
    </row>
    <row r="65" spans="1:5">
      <c r="A65" t="s">
        <v>535</v>
      </c>
      <c r="B65" t="s">
        <v>534</v>
      </c>
      <c r="C65" s="82">
        <v>42</v>
      </c>
      <c r="D65" s="22">
        <v>1.75</v>
      </c>
      <c r="E65" s="22">
        <v>73.5</v>
      </c>
    </row>
    <row r="66" spans="1:5">
      <c r="A66" t="s">
        <v>1359</v>
      </c>
      <c r="B66" t="s">
        <v>1358</v>
      </c>
      <c r="C66" s="82">
        <v>6</v>
      </c>
      <c r="D66" s="22">
        <v>0.9</v>
      </c>
      <c r="E66" s="22">
        <v>5.4</v>
      </c>
    </row>
    <row r="67" spans="1:5">
      <c r="A67" t="s">
        <v>482</v>
      </c>
      <c r="B67" t="s">
        <v>481</v>
      </c>
      <c r="C67" s="82">
        <v>12</v>
      </c>
      <c r="D67" s="22">
        <v>0.11493055555555556</v>
      </c>
      <c r="E67" s="22">
        <v>1.3791666666666669</v>
      </c>
    </row>
    <row r="68" spans="1:5">
      <c r="A68" t="s">
        <v>115</v>
      </c>
      <c r="B68" t="s">
        <v>114</v>
      </c>
      <c r="C68" s="82">
        <v>42</v>
      </c>
      <c r="D68" s="22">
        <v>0.65625</v>
      </c>
      <c r="E68" s="22">
        <v>27.5625</v>
      </c>
    </row>
    <row r="69" spans="1:5">
      <c r="A69" t="s">
        <v>1471</v>
      </c>
      <c r="B69" t="s">
        <v>1470</v>
      </c>
      <c r="C69" s="82">
        <v>27</v>
      </c>
      <c r="D69" s="22">
        <v>0.9</v>
      </c>
      <c r="E69" s="22">
        <v>24.3</v>
      </c>
    </row>
    <row r="70" spans="1:5">
      <c r="A70" t="s">
        <v>31</v>
      </c>
      <c r="B70" t="s">
        <v>30</v>
      </c>
      <c r="C70" s="82">
        <v>10</v>
      </c>
      <c r="D70" s="22">
        <v>0.11</v>
      </c>
      <c r="E70" s="22">
        <v>1.1000000000000001</v>
      </c>
    </row>
    <row r="71" spans="1:5">
      <c r="A71" t="s">
        <v>1265</v>
      </c>
      <c r="B71" t="s">
        <v>1264</v>
      </c>
      <c r="C71" s="82">
        <v>28</v>
      </c>
      <c r="D71" s="22">
        <v>0.22041666666666668</v>
      </c>
      <c r="E71" s="22">
        <v>6.1716666666666669</v>
      </c>
    </row>
    <row r="72" spans="1:5">
      <c r="A72" t="s">
        <v>1293</v>
      </c>
      <c r="B72" t="s">
        <v>1292</v>
      </c>
      <c r="C72" s="82">
        <v>12</v>
      </c>
      <c r="D72" s="22">
        <v>0.21875</v>
      </c>
      <c r="E72" s="22">
        <v>2.625</v>
      </c>
    </row>
    <row r="73" spans="1:5">
      <c r="A73" t="s">
        <v>1277</v>
      </c>
      <c r="B73" t="s">
        <v>1276</v>
      </c>
      <c r="C73" s="82">
        <v>49</v>
      </c>
      <c r="D73" s="22">
        <v>0.22041666666666668</v>
      </c>
      <c r="E73" s="22">
        <v>10.800416666666667</v>
      </c>
    </row>
    <row r="74" spans="1:5">
      <c r="A74" t="s">
        <v>1718</v>
      </c>
      <c r="B74" t="s">
        <v>1717</v>
      </c>
      <c r="C74" s="82">
        <v>4</v>
      </c>
      <c r="D74" s="22">
        <v>0.6</v>
      </c>
      <c r="E74" s="22">
        <v>2.4</v>
      </c>
    </row>
    <row r="75" spans="1:5">
      <c r="A75" t="s">
        <v>1674</v>
      </c>
      <c r="B75" t="s">
        <v>1673</v>
      </c>
      <c r="C75" s="82">
        <v>3</v>
      </c>
      <c r="D75" s="22">
        <v>0.9</v>
      </c>
      <c r="E75" s="22">
        <v>2.7</v>
      </c>
    </row>
    <row r="76" spans="1:5">
      <c r="A76" t="s">
        <v>2136</v>
      </c>
      <c r="B76" t="s">
        <v>2135</v>
      </c>
      <c r="C76" s="82">
        <v>9</v>
      </c>
      <c r="D76" s="22">
        <v>0.82750000000000001</v>
      </c>
      <c r="E76" s="22">
        <v>7.4474999999999998</v>
      </c>
    </row>
    <row r="77" spans="1:5">
      <c r="A77" t="s">
        <v>103</v>
      </c>
      <c r="B77" t="s">
        <v>1147</v>
      </c>
      <c r="C77" s="82">
        <v>72</v>
      </c>
      <c r="D77" s="22">
        <v>0.72916666666666663</v>
      </c>
      <c r="E77" s="22">
        <v>52.5</v>
      </c>
    </row>
    <row r="78" spans="1:5">
      <c r="A78" t="s">
        <v>1749</v>
      </c>
      <c r="B78" t="s">
        <v>2008</v>
      </c>
      <c r="C78" s="82">
        <v>9</v>
      </c>
      <c r="D78" s="22">
        <v>0.71375</v>
      </c>
      <c r="E78" s="22">
        <v>6.4237500000000001</v>
      </c>
    </row>
    <row r="79" spans="1:5">
      <c r="A79" t="s">
        <v>2213</v>
      </c>
      <c r="B79" t="s">
        <v>2212</v>
      </c>
      <c r="C79" s="82">
        <v>12</v>
      </c>
      <c r="D79" s="22">
        <v>0.77159999999999995</v>
      </c>
      <c r="E79" s="22">
        <v>9.2591999999999999</v>
      </c>
    </row>
    <row r="80" spans="1:5">
      <c r="A80" t="s">
        <v>1974</v>
      </c>
      <c r="B80" t="s">
        <v>1973</v>
      </c>
      <c r="C80" s="82">
        <v>3</v>
      </c>
      <c r="D80" s="22">
        <v>0.47599999999999998</v>
      </c>
      <c r="E80" s="22">
        <v>1.4279999999999999</v>
      </c>
    </row>
    <row r="81" spans="1:5">
      <c r="A81" t="s">
        <v>339</v>
      </c>
      <c r="B81" t="s">
        <v>338</v>
      </c>
      <c r="C81" s="82">
        <v>19</v>
      </c>
      <c r="D81" s="22">
        <v>1.1041666666666667</v>
      </c>
      <c r="E81" s="22">
        <v>20.979166666666668</v>
      </c>
    </row>
    <row r="82" spans="1:5">
      <c r="A82" t="s">
        <v>1026</v>
      </c>
      <c r="B82" t="s">
        <v>1025</v>
      </c>
      <c r="C82" s="82">
        <v>18</v>
      </c>
      <c r="D82" s="22">
        <v>0.9</v>
      </c>
      <c r="E82" s="22">
        <v>16.2</v>
      </c>
    </row>
    <row r="83" spans="1:5">
      <c r="A83" t="s">
        <v>1355</v>
      </c>
      <c r="B83" t="s">
        <v>1354</v>
      </c>
      <c r="C83" s="82">
        <v>108</v>
      </c>
      <c r="D83" s="22">
        <v>0.9</v>
      </c>
      <c r="E83" s="22">
        <v>97.2</v>
      </c>
    </row>
    <row r="84" spans="1:5">
      <c r="A84" t="s">
        <v>1347</v>
      </c>
      <c r="B84" t="s">
        <v>1346</v>
      </c>
      <c r="C84" s="82">
        <v>7</v>
      </c>
      <c r="D84" s="22">
        <v>0.9</v>
      </c>
      <c r="E84" s="22">
        <v>6.3</v>
      </c>
    </row>
    <row r="85" spans="1:5">
      <c r="A85" t="s">
        <v>1473</v>
      </c>
      <c r="B85" t="s">
        <v>1472</v>
      </c>
      <c r="C85" s="82">
        <v>6</v>
      </c>
      <c r="D85" s="22">
        <v>0.9</v>
      </c>
      <c r="E85" s="22">
        <v>5.4</v>
      </c>
    </row>
    <row r="86" spans="1:5">
      <c r="A86" t="s">
        <v>1477</v>
      </c>
      <c r="B86" t="s">
        <v>1476</v>
      </c>
      <c r="C86" s="82">
        <v>58</v>
      </c>
      <c r="D86" s="22">
        <v>0.9</v>
      </c>
      <c r="E86" s="22">
        <v>52.2</v>
      </c>
    </row>
    <row r="87" spans="1:5">
      <c r="A87" t="s">
        <v>1349</v>
      </c>
      <c r="B87" t="s">
        <v>1348</v>
      </c>
      <c r="C87" s="82">
        <v>53</v>
      </c>
      <c r="D87" s="22">
        <v>0.9</v>
      </c>
      <c r="E87" s="22">
        <v>47.7</v>
      </c>
    </row>
    <row r="88" spans="1:5">
      <c r="A88" t="s">
        <v>94</v>
      </c>
      <c r="B88" t="s">
        <v>93</v>
      </c>
      <c r="C88" s="82">
        <v>3</v>
      </c>
      <c r="D88" s="22">
        <v>0.375</v>
      </c>
      <c r="E88" s="22">
        <v>1.125</v>
      </c>
    </row>
    <row r="89" spans="1:5">
      <c r="A89" t="s">
        <v>96</v>
      </c>
      <c r="B89" t="s">
        <v>95</v>
      </c>
      <c r="C89" s="82">
        <v>30</v>
      </c>
      <c r="D89" s="22">
        <v>0.25</v>
      </c>
      <c r="E89" s="22">
        <v>7.5</v>
      </c>
    </row>
    <row r="90" spans="1:5">
      <c r="A90" t="s">
        <v>1679</v>
      </c>
      <c r="B90" t="s">
        <v>2201</v>
      </c>
      <c r="C90" s="82">
        <v>18</v>
      </c>
      <c r="D90" s="22">
        <v>0.33041666666666664</v>
      </c>
      <c r="E90" s="22">
        <v>5.9474999999999998</v>
      </c>
    </row>
    <row r="91" spans="1:5">
      <c r="A91" t="s">
        <v>857</v>
      </c>
      <c r="B91" t="s">
        <v>856</v>
      </c>
      <c r="C91" s="82">
        <v>1</v>
      </c>
      <c r="D91" s="22">
        <v>1.3125</v>
      </c>
      <c r="E91" s="22">
        <v>1.3125</v>
      </c>
    </row>
    <row r="92" spans="1:5">
      <c r="A92" t="s">
        <v>1694</v>
      </c>
      <c r="B92" t="s">
        <v>1693</v>
      </c>
      <c r="C92" s="82">
        <v>2</v>
      </c>
      <c r="D92" s="22">
        <v>0.6</v>
      </c>
      <c r="E92" s="22">
        <v>1.2</v>
      </c>
    </row>
    <row r="93" spans="1:5">
      <c r="A93" t="s">
        <v>1722</v>
      </c>
      <c r="B93" t="s">
        <v>1721</v>
      </c>
      <c r="C93" s="82">
        <v>1</v>
      </c>
      <c r="D93" s="22">
        <v>0.6</v>
      </c>
      <c r="E93" s="22">
        <v>0.6</v>
      </c>
    </row>
    <row r="94" spans="1:5">
      <c r="A94" t="s">
        <v>1690</v>
      </c>
      <c r="B94" t="s">
        <v>1689</v>
      </c>
      <c r="C94" s="82">
        <v>10</v>
      </c>
      <c r="D94" s="22">
        <v>0.92524999999999991</v>
      </c>
      <c r="E94" s="22">
        <v>9.2524999999999995</v>
      </c>
    </row>
    <row r="95" spans="1:5">
      <c r="A95" t="s">
        <v>1342</v>
      </c>
      <c r="B95" t="s">
        <v>1341</v>
      </c>
      <c r="C95" s="82">
        <v>7</v>
      </c>
      <c r="D95" s="22">
        <v>0.23</v>
      </c>
      <c r="E95" s="22">
        <v>1.61</v>
      </c>
    </row>
    <row r="96" spans="1:5">
      <c r="A96" t="s">
        <v>1259</v>
      </c>
      <c r="B96" t="s">
        <v>1258</v>
      </c>
      <c r="C96" s="82">
        <v>10</v>
      </c>
      <c r="D96" s="22">
        <v>0.44083333333333335</v>
      </c>
      <c r="E96" s="22">
        <v>4.4083333333333332</v>
      </c>
    </row>
    <row r="97" spans="1:5">
      <c r="A97" t="s">
        <v>1287</v>
      </c>
      <c r="B97" t="s">
        <v>1286</v>
      </c>
      <c r="C97" s="82">
        <v>1</v>
      </c>
      <c r="D97" s="22">
        <v>0.57333333333333336</v>
      </c>
      <c r="E97" s="22">
        <v>0.57333333333333336</v>
      </c>
    </row>
    <row r="98" spans="1:5">
      <c r="A98" t="s">
        <v>1285</v>
      </c>
      <c r="B98" t="s">
        <v>1284</v>
      </c>
      <c r="C98" s="82">
        <v>1</v>
      </c>
      <c r="D98" s="22">
        <v>0.57333333333333336</v>
      </c>
      <c r="E98" s="22">
        <v>0.57333333333333336</v>
      </c>
    </row>
    <row r="99" spans="1:5">
      <c r="A99" t="s">
        <v>1283</v>
      </c>
      <c r="B99" t="s">
        <v>1282</v>
      </c>
      <c r="C99" s="82">
        <v>1</v>
      </c>
      <c r="D99" s="22">
        <v>0.57333333333333336</v>
      </c>
      <c r="E99" s="22">
        <v>0.57333333333333336</v>
      </c>
    </row>
    <row r="100" spans="1:5">
      <c r="A100" t="s">
        <v>1267</v>
      </c>
      <c r="B100" t="s">
        <v>1662</v>
      </c>
      <c r="C100" s="82">
        <v>6</v>
      </c>
      <c r="D100" s="22">
        <v>0.44083333333333335</v>
      </c>
      <c r="E100" s="22">
        <v>2.645</v>
      </c>
    </row>
    <row r="101" spans="1:5">
      <c r="A101" t="s">
        <v>2154</v>
      </c>
      <c r="B101" t="s">
        <v>2153</v>
      </c>
      <c r="C101" s="82">
        <v>6</v>
      </c>
      <c r="D101" s="22">
        <v>0.95906250000000004</v>
      </c>
      <c r="E101" s="22">
        <v>5.7543750000000005</v>
      </c>
    </row>
    <row r="102" spans="1:5">
      <c r="A102" t="s">
        <v>1279</v>
      </c>
      <c r="B102" t="s">
        <v>1278</v>
      </c>
      <c r="C102" s="82">
        <v>6</v>
      </c>
      <c r="D102" s="22">
        <v>0.875</v>
      </c>
      <c r="E102" s="22">
        <v>5.25</v>
      </c>
    </row>
    <row r="103" spans="1:5">
      <c r="A103" t="s">
        <v>2144</v>
      </c>
      <c r="B103" t="s">
        <v>2143</v>
      </c>
      <c r="C103" s="82">
        <v>5</v>
      </c>
      <c r="D103" s="22">
        <v>0.82750000000000001</v>
      </c>
      <c r="E103" s="22">
        <v>4.1375000000000002</v>
      </c>
    </row>
    <row r="104" spans="1:5">
      <c r="A104" t="s">
        <v>2087</v>
      </c>
      <c r="B104" t="s">
        <v>2086</v>
      </c>
      <c r="C104" s="82">
        <v>6</v>
      </c>
      <c r="D104" s="22">
        <v>0.82750000000000001</v>
      </c>
      <c r="E104" s="22">
        <v>4.9649999999999999</v>
      </c>
    </row>
    <row r="105" spans="1:5">
      <c r="A105" t="s">
        <v>13</v>
      </c>
      <c r="B105" t="s">
        <v>12</v>
      </c>
      <c r="C105" s="82">
        <v>36</v>
      </c>
      <c r="D105" s="22">
        <v>3.1091666666666669</v>
      </c>
      <c r="E105" s="22">
        <v>111.93</v>
      </c>
    </row>
    <row r="106" spans="1:5">
      <c r="A106" t="s">
        <v>35</v>
      </c>
      <c r="B106" t="s">
        <v>2273</v>
      </c>
      <c r="C106" s="82">
        <v>1</v>
      </c>
      <c r="D106" s="22">
        <v>3.0416666666666665</v>
      </c>
      <c r="E106" s="22">
        <v>3.0416666666666665</v>
      </c>
    </row>
    <row r="107" spans="1:5">
      <c r="A107" t="s">
        <v>395</v>
      </c>
      <c r="B107" t="s">
        <v>2237</v>
      </c>
      <c r="C107" s="82">
        <v>12</v>
      </c>
      <c r="D107" s="22">
        <v>0.47499999999999998</v>
      </c>
      <c r="E107" s="22">
        <v>5.6999999999999993</v>
      </c>
    </row>
    <row r="108" spans="1:5">
      <c r="A108" t="s">
        <v>7</v>
      </c>
      <c r="B108" t="s">
        <v>6</v>
      </c>
      <c r="C108" s="82">
        <v>43</v>
      </c>
      <c r="D108" s="22">
        <v>1.1041666666666667</v>
      </c>
      <c r="E108" s="22">
        <v>47.479166666666671</v>
      </c>
    </row>
    <row r="109" spans="1:5">
      <c r="A109" t="s">
        <v>343</v>
      </c>
      <c r="B109" t="s">
        <v>342</v>
      </c>
      <c r="C109" s="82">
        <v>15</v>
      </c>
      <c r="D109" s="22">
        <v>1.1041666666666667</v>
      </c>
      <c r="E109" s="22">
        <v>16.5625</v>
      </c>
    </row>
    <row r="110" spans="1:5">
      <c r="A110" t="s">
        <v>3</v>
      </c>
      <c r="B110" t="s">
        <v>2</v>
      </c>
      <c r="C110" s="82">
        <v>19</v>
      </c>
      <c r="D110" s="22">
        <v>1.1041666666666667</v>
      </c>
      <c r="E110" s="22">
        <v>20.979166666666668</v>
      </c>
    </row>
    <row r="111" spans="1:5">
      <c r="A111" t="s">
        <v>1213</v>
      </c>
      <c r="B111" t="s">
        <v>303</v>
      </c>
      <c r="C111" s="82">
        <v>2</v>
      </c>
      <c r="D111" s="22">
        <v>0.42399999999999999</v>
      </c>
      <c r="E111" s="22">
        <v>0.84799999999999998</v>
      </c>
    </row>
    <row r="112" spans="1:5">
      <c r="A112" t="s">
        <v>2191</v>
      </c>
      <c r="B112" t="s">
        <v>2190</v>
      </c>
      <c r="C112" s="82">
        <v>6</v>
      </c>
      <c r="D112" s="22">
        <v>0.52916666666666667</v>
      </c>
      <c r="E112" s="22">
        <v>3.1749999999999998</v>
      </c>
    </row>
    <row r="113" spans="1:5">
      <c r="A113" t="s">
        <v>2186</v>
      </c>
      <c r="B113" t="s">
        <v>2185</v>
      </c>
      <c r="C113" s="82">
        <v>2</v>
      </c>
      <c r="D113" s="22">
        <v>0.52916666666666667</v>
      </c>
      <c r="E113" s="22">
        <v>1.0583333333333333</v>
      </c>
    </row>
    <row r="114" spans="1:5">
      <c r="A114" t="s">
        <v>1498</v>
      </c>
      <c r="B114" t="s">
        <v>1497</v>
      </c>
      <c r="C114" s="82">
        <v>2</v>
      </c>
      <c r="D114" s="22">
        <v>0.70666666666666667</v>
      </c>
      <c r="E114" s="22">
        <v>1.4133333333333333</v>
      </c>
    </row>
    <row r="115" spans="1:5">
      <c r="A115" t="s">
        <v>1419</v>
      </c>
      <c r="B115" t="s">
        <v>1418</v>
      </c>
      <c r="C115" s="82">
        <v>2</v>
      </c>
      <c r="D115" s="22">
        <v>0.70666666666666667</v>
      </c>
      <c r="E115" s="22">
        <v>1.4133333333333333</v>
      </c>
    </row>
    <row r="116" spans="1:5">
      <c r="A116" t="s">
        <v>1382</v>
      </c>
      <c r="B116" t="s">
        <v>1381</v>
      </c>
      <c r="C116" s="82">
        <v>7</v>
      </c>
      <c r="D116" s="22">
        <v>0.5</v>
      </c>
      <c r="E116" s="22">
        <v>3.5</v>
      </c>
    </row>
    <row r="117" spans="1:5">
      <c r="A117" t="s">
        <v>1269</v>
      </c>
      <c r="B117" t="s">
        <v>1647</v>
      </c>
      <c r="C117" s="82">
        <v>39</v>
      </c>
      <c r="D117" s="22">
        <v>0.22041666666666668</v>
      </c>
      <c r="E117" s="22">
        <v>8.5962500000000013</v>
      </c>
    </row>
    <row r="118" spans="1:5">
      <c r="A118" t="s">
        <v>1301</v>
      </c>
      <c r="B118" t="s">
        <v>1300</v>
      </c>
      <c r="C118" s="82">
        <v>12</v>
      </c>
      <c r="D118" s="22">
        <v>0.22041666666666668</v>
      </c>
      <c r="E118" s="22">
        <v>2.645</v>
      </c>
    </row>
    <row r="119" spans="1:5">
      <c r="A119" t="s">
        <v>2148</v>
      </c>
      <c r="B119" t="s">
        <v>2147</v>
      </c>
      <c r="C119" s="82">
        <v>24</v>
      </c>
      <c r="D119" s="22">
        <v>0.22041666666666668</v>
      </c>
      <c r="E119" s="22">
        <v>5.29</v>
      </c>
    </row>
    <row r="120" spans="1:5">
      <c r="A120" t="s">
        <v>2152</v>
      </c>
      <c r="B120" t="s">
        <v>2151</v>
      </c>
      <c r="C120" s="82">
        <v>6</v>
      </c>
      <c r="D120" s="22">
        <v>0.47395833333333331</v>
      </c>
      <c r="E120" s="22">
        <v>2.84375</v>
      </c>
    </row>
    <row r="121" spans="1:5">
      <c r="A121" t="s">
        <v>1295</v>
      </c>
      <c r="B121" t="s">
        <v>1294</v>
      </c>
      <c r="C121" s="82">
        <v>12</v>
      </c>
      <c r="D121" s="22">
        <v>0.21875</v>
      </c>
      <c r="E121" s="22">
        <v>2.625</v>
      </c>
    </row>
    <row r="122" spans="1:5">
      <c r="A122" t="s">
        <v>1428</v>
      </c>
      <c r="B122" t="s">
        <v>1427</v>
      </c>
      <c r="C122" s="82">
        <v>12</v>
      </c>
      <c r="D122" s="22">
        <v>0.44083333333333335</v>
      </c>
      <c r="E122" s="22">
        <v>5.29</v>
      </c>
    </row>
    <row r="123" spans="1:5">
      <c r="A123" t="s">
        <v>2179</v>
      </c>
      <c r="B123" t="s">
        <v>2178</v>
      </c>
      <c r="C123" s="82">
        <v>2</v>
      </c>
      <c r="D123" s="22">
        <v>0.42333333333333334</v>
      </c>
      <c r="E123" s="22">
        <v>0.84666666666666668</v>
      </c>
    </row>
    <row r="124" spans="1:5">
      <c r="A124" t="s">
        <v>1819</v>
      </c>
      <c r="B124" t="s">
        <v>1818</v>
      </c>
      <c r="C124" s="82">
        <v>4</v>
      </c>
      <c r="D124" s="22">
        <v>0.87035714285714294</v>
      </c>
      <c r="E124" s="22">
        <v>3.4814285714285718</v>
      </c>
    </row>
    <row r="125" spans="1:5">
      <c r="A125" t="s">
        <v>1766</v>
      </c>
      <c r="B125" t="s">
        <v>1765</v>
      </c>
      <c r="C125" s="82">
        <v>4</v>
      </c>
      <c r="D125" s="22">
        <v>0.87035714285714294</v>
      </c>
      <c r="E125" s="22">
        <v>3.4814285714285718</v>
      </c>
    </row>
    <row r="126" spans="1:5">
      <c r="A126" t="s">
        <v>1764</v>
      </c>
      <c r="B126" t="s">
        <v>1763</v>
      </c>
      <c r="C126" s="82">
        <v>1</v>
      </c>
      <c r="D126" s="22">
        <v>0.87035714285714294</v>
      </c>
      <c r="E126" s="22">
        <v>0.87035714285714294</v>
      </c>
    </row>
    <row r="127" spans="1:5">
      <c r="A127" t="s">
        <v>1841</v>
      </c>
      <c r="B127" t="s">
        <v>1840</v>
      </c>
      <c r="C127" s="82">
        <v>2</v>
      </c>
      <c r="D127" s="22">
        <v>0.88178571428571428</v>
      </c>
      <c r="E127" s="22">
        <v>1.7635714285714286</v>
      </c>
    </row>
    <row r="128" spans="1:5">
      <c r="A128" t="s">
        <v>2196</v>
      </c>
      <c r="B128" t="s">
        <v>2195</v>
      </c>
      <c r="C128" s="82">
        <v>1</v>
      </c>
      <c r="D128" s="22">
        <v>0.5</v>
      </c>
      <c r="E128" s="22">
        <v>0.5</v>
      </c>
    </row>
    <row r="129" spans="1:5">
      <c r="A129" t="s">
        <v>2198</v>
      </c>
      <c r="B129" t="s">
        <v>2197</v>
      </c>
      <c r="C129" s="82">
        <v>2</v>
      </c>
      <c r="D129" s="22">
        <v>0.15</v>
      </c>
      <c r="E129" s="22">
        <v>0.3</v>
      </c>
    </row>
    <row r="130" spans="1:5">
      <c r="A130" t="s">
        <v>1861</v>
      </c>
      <c r="B130" t="s">
        <v>1860</v>
      </c>
      <c r="C130" s="82">
        <v>2</v>
      </c>
      <c r="D130" s="22">
        <v>0.1</v>
      </c>
      <c r="E130" s="22">
        <v>0.2</v>
      </c>
    </row>
    <row r="131" spans="1:5">
      <c r="A131" t="s">
        <v>2068</v>
      </c>
      <c r="B131" t="s">
        <v>2067</v>
      </c>
      <c r="C131" s="82">
        <v>2</v>
      </c>
      <c r="D131" s="22">
        <v>1.1008333333333333</v>
      </c>
      <c r="E131" s="22">
        <v>2.2016666666666667</v>
      </c>
    </row>
    <row r="132" spans="1:5">
      <c r="A132" t="s">
        <v>480</v>
      </c>
      <c r="B132" t="s">
        <v>479</v>
      </c>
      <c r="C132" s="82">
        <v>24</v>
      </c>
      <c r="D132" s="22">
        <v>0.55208333333333337</v>
      </c>
      <c r="E132" s="22">
        <v>13.25</v>
      </c>
    </row>
    <row r="133" spans="1:5">
      <c r="A133" t="s">
        <v>100</v>
      </c>
      <c r="B133" t="s">
        <v>99</v>
      </c>
      <c r="C133" s="82">
        <v>24</v>
      </c>
      <c r="D133" s="22">
        <v>0.55208333333333337</v>
      </c>
      <c r="E133" s="22">
        <v>13.25</v>
      </c>
    </row>
    <row r="134" spans="1:5">
      <c r="A134" t="s">
        <v>123</v>
      </c>
      <c r="B134" t="s">
        <v>122</v>
      </c>
      <c r="C134" s="82">
        <v>24</v>
      </c>
      <c r="D134" s="22">
        <v>0.44166666666666665</v>
      </c>
      <c r="E134" s="22">
        <v>10.6</v>
      </c>
    </row>
    <row r="135" spans="1:5">
      <c r="A135" t="s">
        <v>125</v>
      </c>
      <c r="B135" t="s">
        <v>124</v>
      </c>
      <c r="C135" s="82">
        <v>24</v>
      </c>
      <c r="D135" s="22">
        <v>0.44166666666666665</v>
      </c>
      <c r="E135" s="22">
        <v>10.6</v>
      </c>
    </row>
    <row r="136" spans="1:5">
      <c r="A136" t="s">
        <v>512</v>
      </c>
      <c r="B136" t="s">
        <v>2236</v>
      </c>
      <c r="C136" s="82">
        <v>24</v>
      </c>
      <c r="D136" s="22">
        <v>0.72916666666666663</v>
      </c>
      <c r="E136" s="22">
        <v>17.5</v>
      </c>
    </row>
    <row r="137" spans="1:5">
      <c r="A137" t="s">
        <v>517</v>
      </c>
      <c r="B137" t="s">
        <v>516</v>
      </c>
      <c r="C137" s="82">
        <v>12</v>
      </c>
      <c r="D137" s="22">
        <v>0.96875</v>
      </c>
      <c r="E137" s="22">
        <v>11.625</v>
      </c>
    </row>
    <row r="138" spans="1:5">
      <c r="A138" t="s">
        <v>1720</v>
      </c>
      <c r="B138" t="s">
        <v>2262</v>
      </c>
      <c r="C138" s="82">
        <v>6</v>
      </c>
      <c r="D138" s="22">
        <v>0.875</v>
      </c>
      <c r="E138" s="22">
        <v>5.25</v>
      </c>
    </row>
    <row r="139" spans="1:5">
      <c r="A139" t="s">
        <v>531</v>
      </c>
      <c r="B139" t="s">
        <v>530</v>
      </c>
      <c r="C139" s="82">
        <v>2</v>
      </c>
      <c r="D139" s="22">
        <v>1.8125</v>
      </c>
      <c r="E139" s="22">
        <v>3.625</v>
      </c>
    </row>
    <row r="140" spans="1:5">
      <c r="A140" t="s">
        <v>508</v>
      </c>
      <c r="B140" t="s">
        <v>507</v>
      </c>
      <c r="C140" s="82">
        <v>18</v>
      </c>
      <c r="D140" s="22">
        <v>0.72916666666666663</v>
      </c>
      <c r="E140" s="22">
        <v>13.125</v>
      </c>
    </row>
    <row r="141" spans="1:5">
      <c r="A141" t="s">
        <v>506</v>
      </c>
      <c r="B141" t="s">
        <v>505</v>
      </c>
      <c r="C141" s="82">
        <v>18</v>
      </c>
      <c r="D141" s="22">
        <v>0.72916666666666663</v>
      </c>
      <c r="E141" s="22">
        <v>13.125</v>
      </c>
    </row>
    <row r="142" spans="1:5">
      <c r="A142" t="s">
        <v>113</v>
      </c>
      <c r="B142" t="s">
        <v>112</v>
      </c>
      <c r="C142" s="82">
        <v>12</v>
      </c>
      <c r="D142" s="22">
        <v>0.9375</v>
      </c>
      <c r="E142" s="22">
        <v>11.25</v>
      </c>
    </row>
    <row r="143" spans="1:5">
      <c r="A143" t="s">
        <v>1795</v>
      </c>
      <c r="B143" t="s">
        <v>1794</v>
      </c>
      <c r="C143" s="82">
        <v>1</v>
      </c>
      <c r="D143" s="22">
        <v>0.2</v>
      </c>
      <c r="E143" s="22">
        <v>0.2</v>
      </c>
    </row>
    <row r="144" spans="1:5">
      <c r="A144" t="s">
        <v>403</v>
      </c>
      <c r="B144" t="s">
        <v>402</v>
      </c>
      <c r="C144" s="82">
        <v>1</v>
      </c>
      <c r="D144" s="22">
        <v>2.1166666666666667</v>
      </c>
      <c r="E144" s="22">
        <v>2.1166666666666667</v>
      </c>
    </row>
    <row r="145" spans="1:5">
      <c r="A145" t="s">
        <v>401</v>
      </c>
      <c r="B145" t="s">
        <v>400</v>
      </c>
      <c r="C145" s="82">
        <v>4</v>
      </c>
      <c r="D145" s="22">
        <v>2.1166666666666667</v>
      </c>
      <c r="E145" s="22">
        <v>8.4666666666666668</v>
      </c>
    </row>
    <row r="146" spans="1:5">
      <c r="A146" t="s">
        <v>359</v>
      </c>
      <c r="B146" t="s">
        <v>358</v>
      </c>
      <c r="C146" s="82">
        <v>2</v>
      </c>
      <c r="D146" s="22">
        <v>2.1166666666666667</v>
      </c>
      <c r="E146" s="22">
        <v>4.2333333333333334</v>
      </c>
    </row>
    <row r="147" spans="1:5">
      <c r="A147" t="s">
        <v>391</v>
      </c>
      <c r="B147" t="s">
        <v>2260</v>
      </c>
      <c r="C147" s="82">
        <v>1</v>
      </c>
      <c r="D147" s="22">
        <v>1.5</v>
      </c>
      <c r="E147" s="22">
        <v>1.5</v>
      </c>
    </row>
    <row r="148" spans="1:5">
      <c r="A148" t="s">
        <v>47</v>
      </c>
      <c r="B148" t="s">
        <v>46</v>
      </c>
      <c r="C148" s="82">
        <v>1</v>
      </c>
      <c r="D148" s="22">
        <v>2.1166666666666667</v>
      </c>
      <c r="E148" s="22">
        <v>2.1166666666666667</v>
      </c>
    </row>
    <row r="149" spans="1:5">
      <c r="A149" t="s">
        <v>1136</v>
      </c>
      <c r="B149" t="s">
        <v>1135</v>
      </c>
      <c r="C149" s="82">
        <v>1</v>
      </c>
      <c r="D149" s="22">
        <v>0.06</v>
      </c>
      <c r="E149" s="22">
        <v>0.06</v>
      </c>
    </row>
    <row r="150" spans="1:5">
      <c r="A150" t="s">
        <v>427</v>
      </c>
      <c r="B150" t="s">
        <v>426</v>
      </c>
      <c r="C150" s="82">
        <v>1</v>
      </c>
      <c r="D150" s="22">
        <v>0.01</v>
      </c>
      <c r="E150" s="22">
        <v>0.01</v>
      </c>
    </row>
    <row r="151" spans="1:5">
      <c r="A151" t="s">
        <v>5</v>
      </c>
      <c r="B151" t="s">
        <v>4</v>
      </c>
      <c r="C151" s="82">
        <v>8</v>
      </c>
      <c r="D151" s="22">
        <v>1.1041666666666667</v>
      </c>
      <c r="E151" s="22">
        <v>8.8333333333333339</v>
      </c>
    </row>
    <row r="152" spans="1:5">
      <c r="A152" t="s">
        <v>1980</v>
      </c>
      <c r="B152" t="s">
        <v>1979</v>
      </c>
      <c r="C152" s="82">
        <v>6</v>
      </c>
      <c r="D152" s="22">
        <v>1.3340744858254587</v>
      </c>
      <c r="E152" s="22">
        <v>8.0044469149527515</v>
      </c>
    </row>
    <row r="153" spans="1:5">
      <c r="A153" t="s">
        <v>1738</v>
      </c>
      <c r="B153" t="s">
        <v>1737</v>
      </c>
      <c r="C153" s="82">
        <v>1</v>
      </c>
      <c r="D153" s="22">
        <v>0.6</v>
      </c>
      <c r="E153" s="22">
        <v>0.6</v>
      </c>
    </row>
    <row r="154" spans="1:5">
      <c r="A154" t="s">
        <v>1710</v>
      </c>
      <c r="B154" t="s">
        <v>1709</v>
      </c>
      <c r="C154" s="82">
        <v>1</v>
      </c>
      <c r="D154" s="22">
        <v>0.6</v>
      </c>
      <c r="E154" s="22">
        <v>0.6</v>
      </c>
    </row>
    <row r="155" spans="1:5">
      <c r="A155" t="s">
        <v>1148</v>
      </c>
      <c r="B155" t="s">
        <v>1512</v>
      </c>
      <c r="C155" s="82">
        <v>43</v>
      </c>
      <c r="D155" s="22">
        <v>0.88</v>
      </c>
      <c r="E155" s="22">
        <v>37.840000000000003</v>
      </c>
    </row>
  </sheetData>
  <customSheetViews>
    <customSheetView guid="{D03BBA77-B0D6-4284-98FD-BE2506FB6F43}">
      <selection activeCell="F9" sqref="F9:G11"/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6"/>
  <dimension ref="A1:J134"/>
  <sheetViews>
    <sheetView topLeftCell="C1" workbookViewId="0">
      <selection activeCell="D4" sqref="D4"/>
    </sheetView>
  </sheetViews>
  <sheetFormatPr baseColWidth="10" defaultRowHeight="14.4"/>
  <cols>
    <col min="1" max="1" width="18.33203125" bestFit="1" customWidth="1"/>
    <col min="2" max="2" width="46" bestFit="1" customWidth="1"/>
    <col min="3" max="5" width="17.44140625" bestFit="1" customWidth="1"/>
    <col min="8" max="8" width="13" customWidth="1"/>
  </cols>
  <sheetData>
    <row r="1" spans="1:10">
      <c r="A1" s="20" t="s">
        <v>1085</v>
      </c>
      <c r="B1" s="20" t="s">
        <v>1084</v>
      </c>
      <c r="C1" t="s">
        <v>1087</v>
      </c>
      <c r="D1" t="s">
        <v>1086</v>
      </c>
      <c r="E1" s="21" t="s">
        <v>1088</v>
      </c>
      <c r="G1" t="s">
        <v>1092</v>
      </c>
      <c r="H1" t="s">
        <v>1089</v>
      </c>
    </row>
    <row r="2" spans="1:10">
      <c r="A2">
        <v>10010010010</v>
      </c>
      <c r="B2" t="s">
        <v>146</v>
      </c>
      <c r="C2" s="82">
        <v>24</v>
      </c>
      <c r="D2" s="21">
        <v>0.88200000000000001</v>
      </c>
      <c r="E2" s="21">
        <v>21.167999999999999</v>
      </c>
      <c r="G2" s="21">
        <f>SUM(E:E)</f>
        <v>2912.2014597041848</v>
      </c>
      <c r="H2" s="21">
        <f>CONVERT(G2,"lbm","cwt")</f>
        <v>29.122014597041847</v>
      </c>
    </row>
    <row r="3" spans="1:10">
      <c r="A3">
        <v>5460400</v>
      </c>
      <c r="B3" t="s">
        <v>2133</v>
      </c>
      <c r="C3" s="82">
        <v>48</v>
      </c>
      <c r="D3" s="21">
        <v>0.75</v>
      </c>
      <c r="E3" s="21">
        <v>36</v>
      </c>
    </row>
    <row r="4" spans="1:10" ht="15" thickBot="1">
      <c r="A4">
        <v>621330</v>
      </c>
      <c r="B4" t="s">
        <v>652</v>
      </c>
      <c r="C4" s="82">
        <v>10</v>
      </c>
      <c r="D4" s="21">
        <v>0.8833333333333333</v>
      </c>
      <c r="E4" s="21">
        <v>8.8333333333333321</v>
      </c>
      <c r="G4" s="23" t="s">
        <v>1095</v>
      </c>
      <c r="H4" s="24" t="s">
        <v>1096</v>
      </c>
      <c r="I4" s="23" t="s">
        <v>1106</v>
      </c>
    </row>
    <row r="5" spans="1:10" ht="15" thickTop="1">
      <c r="A5">
        <v>1008011812</v>
      </c>
      <c r="B5" t="s">
        <v>445</v>
      </c>
      <c r="C5" s="82">
        <v>8</v>
      </c>
      <c r="D5" s="21">
        <v>0.63928571428571423</v>
      </c>
      <c r="E5" s="21">
        <v>5.1142857142857139</v>
      </c>
      <c r="G5" s="25" t="s">
        <v>1097</v>
      </c>
      <c r="H5" s="25">
        <v>50</v>
      </c>
      <c r="I5" s="26">
        <f>Tabla22[QUINTALES]/H5</f>
        <v>0.58244029194083691</v>
      </c>
      <c r="J5" s="27"/>
    </row>
    <row r="6" spans="1:10">
      <c r="A6">
        <v>60000210</v>
      </c>
      <c r="B6" t="s">
        <v>148</v>
      </c>
      <c r="C6" s="82">
        <v>6</v>
      </c>
      <c r="D6" s="21">
        <v>0.77200000000000002</v>
      </c>
      <c r="E6" s="21">
        <v>4.6319999999999997</v>
      </c>
      <c r="J6" s="21"/>
    </row>
    <row r="7" spans="1:10" ht="15" thickBot="1">
      <c r="A7">
        <v>10020010007</v>
      </c>
      <c r="B7" t="s">
        <v>143</v>
      </c>
      <c r="C7" s="82">
        <v>6</v>
      </c>
      <c r="D7" s="21">
        <v>0.88200000000000001</v>
      </c>
      <c r="E7" s="21">
        <v>5.2919999999999998</v>
      </c>
      <c r="G7" s="23" t="s">
        <v>1095</v>
      </c>
      <c r="H7" s="24" t="s">
        <v>1096</v>
      </c>
      <c r="I7" s="23" t="s">
        <v>1106</v>
      </c>
      <c r="J7" s="21"/>
    </row>
    <row r="8" spans="1:10" ht="15" thickTop="1">
      <c r="A8">
        <v>60000094</v>
      </c>
      <c r="B8" t="s">
        <v>1387</v>
      </c>
      <c r="C8" s="82">
        <v>186</v>
      </c>
      <c r="D8" s="21">
        <v>1.76</v>
      </c>
      <c r="E8" s="21">
        <v>327.36</v>
      </c>
      <c r="G8" s="25" t="s">
        <v>1098</v>
      </c>
      <c r="H8" s="25">
        <v>50</v>
      </c>
      <c r="I8" s="26">
        <f>Tabla22[QUINTALES]/H8</f>
        <v>0.58244029194083691</v>
      </c>
      <c r="J8" s="21"/>
    </row>
    <row r="9" spans="1:10">
      <c r="A9">
        <v>576003</v>
      </c>
      <c r="B9" t="s">
        <v>2084</v>
      </c>
      <c r="C9" s="82">
        <v>12</v>
      </c>
      <c r="D9" s="21">
        <v>0.11944444444444444</v>
      </c>
      <c r="E9" s="21">
        <v>1.4333333333333331</v>
      </c>
      <c r="J9" s="21"/>
    </row>
    <row r="10" spans="1:10" ht="15" thickBot="1">
      <c r="A10">
        <v>5467000</v>
      </c>
      <c r="B10" t="s">
        <v>2066</v>
      </c>
      <c r="C10" s="82">
        <v>12</v>
      </c>
      <c r="D10" s="21">
        <v>1.1100000000000001</v>
      </c>
      <c r="E10" s="21">
        <v>13.32</v>
      </c>
      <c r="G10" s="23" t="s">
        <v>1095</v>
      </c>
      <c r="H10" s="24" t="s">
        <v>1096</v>
      </c>
      <c r="I10" s="23" t="s">
        <v>1106</v>
      </c>
      <c r="J10" s="21"/>
    </row>
    <row r="11" spans="1:10" ht="15" thickTop="1">
      <c r="A11">
        <v>400000127</v>
      </c>
      <c r="B11" t="s">
        <v>585</v>
      </c>
      <c r="C11" s="82">
        <v>6</v>
      </c>
      <c r="D11" s="21">
        <v>1.5449999999999999</v>
      </c>
      <c r="E11" s="21">
        <v>9.27</v>
      </c>
      <c r="G11" s="25" t="s">
        <v>1099</v>
      </c>
      <c r="H11" s="25">
        <v>50</v>
      </c>
      <c r="I11" s="26">
        <f>Tabla22[QUINTALES]/H11</f>
        <v>0.58244029194083691</v>
      </c>
      <c r="J11" s="21"/>
    </row>
    <row r="12" spans="1:10">
      <c r="A12">
        <v>620845</v>
      </c>
      <c r="B12" t="s">
        <v>1627</v>
      </c>
      <c r="C12" s="82">
        <v>3</v>
      </c>
      <c r="D12" s="21">
        <v>1.6555555555555557</v>
      </c>
      <c r="E12" s="21">
        <v>4.9666666666666668</v>
      </c>
      <c r="J12" s="21"/>
    </row>
    <row r="13" spans="1:10" ht="15" thickBot="1">
      <c r="A13">
        <v>620678</v>
      </c>
      <c r="B13" t="s">
        <v>654</v>
      </c>
      <c r="C13" s="82">
        <v>6</v>
      </c>
      <c r="D13" s="21">
        <v>1</v>
      </c>
      <c r="E13" s="21">
        <v>6</v>
      </c>
      <c r="G13" s="23" t="s">
        <v>1095</v>
      </c>
      <c r="H13" s="24" t="s">
        <v>1096</v>
      </c>
      <c r="I13" s="23" t="s">
        <v>1106</v>
      </c>
      <c r="J13" s="21"/>
    </row>
    <row r="14" spans="1:10" ht="15" thickTop="1">
      <c r="A14">
        <v>50470107</v>
      </c>
      <c r="B14" t="s">
        <v>2272</v>
      </c>
      <c r="C14" s="82">
        <v>6</v>
      </c>
      <c r="D14" s="21">
        <v>2.9166666666666665</v>
      </c>
      <c r="E14" s="21">
        <v>17.5</v>
      </c>
      <c r="G14" s="25" t="s">
        <v>1100</v>
      </c>
      <c r="H14" s="25">
        <v>50</v>
      </c>
      <c r="I14" s="26">
        <f>Tabla22[QUINTALES]/H14</f>
        <v>0.58244029194083691</v>
      </c>
      <c r="J14" s="21"/>
    </row>
    <row r="15" spans="1:10">
      <c r="A15">
        <v>642557</v>
      </c>
      <c r="B15" t="s">
        <v>220</v>
      </c>
      <c r="C15" s="82">
        <v>3</v>
      </c>
      <c r="D15" s="21">
        <v>2.65</v>
      </c>
      <c r="E15" s="21">
        <v>7.9499999999999993</v>
      </c>
    </row>
    <row r="16" spans="1:10" ht="15" thickBot="1">
      <c r="A16">
        <v>1008010073</v>
      </c>
      <c r="B16" t="s">
        <v>443</v>
      </c>
      <c r="C16" s="82">
        <v>2</v>
      </c>
      <c r="D16" s="21">
        <v>0.33071428571428568</v>
      </c>
      <c r="E16" s="21">
        <v>0.66142857142857137</v>
      </c>
      <c r="G16" s="23" t="s">
        <v>1095</v>
      </c>
      <c r="H16" s="24" t="s">
        <v>1096</v>
      </c>
      <c r="I16" s="23" t="s">
        <v>1106</v>
      </c>
    </row>
    <row r="17" spans="1:9" ht="15" thickTop="1">
      <c r="A17">
        <v>50491108</v>
      </c>
      <c r="B17" t="s">
        <v>2010</v>
      </c>
      <c r="C17" s="82">
        <v>2</v>
      </c>
      <c r="D17" s="21">
        <v>2.65</v>
      </c>
      <c r="E17" s="21">
        <v>5.3</v>
      </c>
      <c r="G17" s="25" t="s">
        <v>1101</v>
      </c>
      <c r="H17" s="25">
        <v>50</v>
      </c>
      <c r="I17" s="26">
        <f>Tabla22[QUINTALES]/H17</f>
        <v>0.58244029194083691</v>
      </c>
    </row>
    <row r="18" spans="1:9">
      <c r="A18">
        <v>50491102</v>
      </c>
      <c r="B18" t="s">
        <v>1898</v>
      </c>
      <c r="C18" s="82">
        <v>14</v>
      </c>
      <c r="D18" s="21">
        <v>2.65</v>
      </c>
      <c r="E18" s="21">
        <v>37.1</v>
      </c>
    </row>
    <row r="19" spans="1:9" ht="15" thickBot="1">
      <c r="A19">
        <v>84157362</v>
      </c>
      <c r="B19" t="s">
        <v>275</v>
      </c>
      <c r="C19" s="82">
        <v>2</v>
      </c>
      <c r="D19" s="21">
        <v>6.6666666666666666E-2</v>
      </c>
      <c r="E19" s="21">
        <v>0.13333333333333333</v>
      </c>
      <c r="G19" s="23" t="s">
        <v>1095</v>
      </c>
      <c r="H19" s="24" t="s">
        <v>1096</v>
      </c>
      <c r="I19" s="23" t="s">
        <v>1106</v>
      </c>
    </row>
    <row r="20" spans="1:9" ht="15" thickTop="1">
      <c r="A20">
        <v>84153562</v>
      </c>
      <c r="B20" t="s">
        <v>320</v>
      </c>
      <c r="C20" s="82">
        <v>2</v>
      </c>
      <c r="D20" s="21">
        <v>2.6875E-2</v>
      </c>
      <c r="E20" s="21">
        <v>5.3749999999999999E-2</v>
      </c>
      <c r="G20" s="25" t="s">
        <v>1102</v>
      </c>
      <c r="H20" s="25">
        <v>50</v>
      </c>
      <c r="I20" s="26">
        <f>Tabla22[QUINTALES]/H20</f>
        <v>0.58244029194083691</v>
      </c>
    </row>
    <row r="21" spans="1:9">
      <c r="A21">
        <v>50491122</v>
      </c>
      <c r="B21" t="s">
        <v>2264</v>
      </c>
      <c r="C21" s="82">
        <v>2</v>
      </c>
      <c r="D21" s="21">
        <v>0.88166666666666671</v>
      </c>
      <c r="E21" s="21">
        <v>1.7633333333333334</v>
      </c>
    </row>
    <row r="22" spans="1:9" ht="15" thickBot="1">
      <c r="A22">
        <v>67767705</v>
      </c>
      <c r="B22" t="s">
        <v>276</v>
      </c>
      <c r="C22" s="82">
        <v>1</v>
      </c>
      <c r="D22" s="21">
        <v>6.6666666666666666E-2</v>
      </c>
      <c r="E22" s="21">
        <v>6.6666666666666666E-2</v>
      </c>
      <c r="G22" s="23" t="s">
        <v>1095</v>
      </c>
      <c r="H22" s="24" t="s">
        <v>1096</v>
      </c>
      <c r="I22" s="23" t="s">
        <v>1106</v>
      </c>
    </row>
    <row r="23" spans="1:9" ht="15" thickTop="1">
      <c r="A23">
        <v>84159040</v>
      </c>
      <c r="B23" t="s">
        <v>244</v>
      </c>
      <c r="C23" s="82">
        <v>1</v>
      </c>
      <c r="D23" s="21">
        <v>0.75</v>
      </c>
      <c r="E23" s="21">
        <v>0.75</v>
      </c>
      <c r="G23" s="25" t="s">
        <v>1103</v>
      </c>
      <c r="H23" s="25">
        <v>30</v>
      </c>
      <c r="I23" s="26">
        <f>Tabla22[QUINTALES]/H23</f>
        <v>0.97073381990139496</v>
      </c>
    </row>
    <row r="24" spans="1:9">
      <c r="A24">
        <v>400000160</v>
      </c>
      <c r="B24" t="s">
        <v>584</v>
      </c>
      <c r="C24" s="82">
        <v>10</v>
      </c>
      <c r="D24" s="21">
        <v>1.4166666666666667</v>
      </c>
      <c r="E24" s="21">
        <v>14.166666666666668</v>
      </c>
    </row>
    <row r="25" spans="1:9">
      <c r="A25">
        <v>69584483</v>
      </c>
      <c r="B25" t="s">
        <v>1553</v>
      </c>
      <c r="C25" s="82">
        <v>6</v>
      </c>
      <c r="D25" s="21">
        <v>0.40750000000000003</v>
      </c>
      <c r="E25" s="21">
        <v>2.4450000000000003</v>
      </c>
    </row>
    <row r="26" spans="1:9" ht="15" thickBot="1">
      <c r="A26">
        <v>69584500</v>
      </c>
      <c r="B26" t="s">
        <v>2166</v>
      </c>
      <c r="C26" s="82">
        <v>93</v>
      </c>
      <c r="D26" s="21">
        <v>9.9124999999999991E-2</v>
      </c>
      <c r="E26" s="21">
        <v>9.2186249999999994</v>
      </c>
      <c r="G26" s="23" t="s">
        <v>1095</v>
      </c>
      <c r="H26" s="24" t="s">
        <v>1096</v>
      </c>
      <c r="I26" s="23" t="s">
        <v>1106</v>
      </c>
    </row>
    <row r="27" spans="1:9" ht="15" thickTop="1">
      <c r="A27">
        <v>84158961</v>
      </c>
      <c r="B27" t="s">
        <v>246</v>
      </c>
      <c r="C27" s="82">
        <v>1</v>
      </c>
      <c r="D27" s="21">
        <v>0.75</v>
      </c>
      <c r="E27" s="21">
        <v>0.75</v>
      </c>
      <c r="G27" s="25" t="s">
        <v>1104</v>
      </c>
      <c r="H27" s="25">
        <v>70</v>
      </c>
      <c r="I27" s="26">
        <f>Tabla22[QUINTALES]/H27</f>
        <v>0.41602877995774068</v>
      </c>
    </row>
    <row r="28" spans="1:9">
      <c r="A28">
        <v>50491134</v>
      </c>
      <c r="B28" t="s">
        <v>1758</v>
      </c>
      <c r="C28" s="82">
        <v>12</v>
      </c>
      <c r="D28" s="21">
        <v>3.2916666666666665</v>
      </c>
      <c r="E28" s="21">
        <v>39.5</v>
      </c>
    </row>
    <row r="29" spans="1:9" ht="15" thickBot="1">
      <c r="A29">
        <v>50491132</v>
      </c>
      <c r="B29" t="s">
        <v>1762</v>
      </c>
      <c r="C29" s="82">
        <v>6</v>
      </c>
      <c r="D29" s="21">
        <v>3.3049999999999997</v>
      </c>
      <c r="E29" s="21">
        <v>19.829999999999998</v>
      </c>
      <c r="G29" s="23" t="s">
        <v>1095</v>
      </c>
      <c r="H29" s="24" t="s">
        <v>1096</v>
      </c>
      <c r="I29" s="23" t="s">
        <v>1106</v>
      </c>
    </row>
    <row r="30" spans="1:9" ht="15" thickTop="1">
      <c r="A30">
        <v>642694</v>
      </c>
      <c r="B30" t="s">
        <v>1788</v>
      </c>
      <c r="C30" s="82">
        <v>3</v>
      </c>
      <c r="D30" s="21">
        <v>2.65</v>
      </c>
      <c r="E30" s="21">
        <v>7.9499999999999993</v>
      </c>
      <c r="G30" s="25" t="s">
        <v>1105</v>
      </c>
      <c r="H30" s="25">
        <v>70</v>
      </c>
      <c r="I30" s="26">
        <f>Tabla22[QUINTALES]/H30</f>
        <v>0.41602877995774068</v>
      </c>
    </row>
    <row r="31" spans="1:9">
      <c r="A31">
        <v>69584486</v>
      </c>
      <c r="B31" t="s">
        <v>1834</v>
      </c>
      <c r="C31" s="82">
        <v>19</v>
      </c>
      <c r="D31" s="21">
        <v>1.190625</v>
      </c>
      <c r="E31" s="21">
        <v>22.621874999999999</v>
      </c>
    </row>
    <row r="32" spans="1:9">
      <c r="A32" t="s">
        <v>109</v>
      </c>
      <c r="B32" t="s">
        <v>108</v>
      </c>
      <c r="C32" s="82">
        <v>593</v>
      </c>
      <c r="D32" s="21">
        <v>0.44166666666666665</v>
      </c>
      <c r="E32" s="21">
        <v>261.9083333333333</v>
      </c>
    </row>
    <row r="33" spans="1:5">
      <c r="A33" t="s">
        <v>107</v>
      </c>
      <c r="B33" t="s">
        <v>106</v>
      </c>
      <c r="C33" s="82">
        <v>711</v>
      </c>
      <c r="D33" s="21">
        <v>0.44166666666666665</v>
      </c>
      <c r="E33" s="21">
        <v>314.02499999999998</v>
      </c>
    </row>
    <row r="34" spans="1:5">
      <c r="A34">
        <v>52480086</v>
      </c>
      <c r="B34" t="s">
        <v>1939</v>
      </c>
      <c r="C34" s="82">
        <v>6</v>
      </c>
      <c r="D34" s="21">
        <v>0.23805555555555558</v>
      </c>
      <c r="E34" s="21">
        <v>1.4283333333333335</v>
      </c>
    </row>
    <row r="35" spans="1:5">
      <c r="A35">
        <v>69780941</v>
      </c>
      <c r="B35" t="s">
        <v>1951</v>
      </c>
      <c r="C35" s="82">
        <v>216</v>
      </c>
      <c r="D35" s="21">
        <v>0.19833333333333333</v>
      </c>
      <c r="E35" s="21">
        <v>42.84</v>
      </c>
    </row>
    <row r="36" spans="1:5">
      <c r="A36">
        <v>69761861</v>
      </c>
      <c r="B36" t="s">
        <v>1987</v>
      </c>
      <c r="C36" s="82">
        <v>130</v>
      </c>
      <c r="D36" s="21">
        <v>0.19833333333333333</v>
      </c>
      <c r="E36" s="21">
        <v>25.783333333333335</v>
      </c>
    </row>
    <row r="37" spans="1:5">
      <c r="A37">
        <v>68798139</v>
      </c>
      <c r="B37" t="s">
        <v>1993</v>
      </c>
      <c r="C37" s="82">
        <v>12</v>
      </c>
      <c r="D37" s="21">
        <v>0.1275</v>
      </c>
      <c r="E37" s="21">
        <v>1.53</v>
      </c>
    </row>
    <row r="38" spans="1:5">
      <c r="A38">
        <v>68798140</v>
      </c>
      <c r="B38" t="s">
        <v>1992</v>
      </c>
      <c r="C38" s="82">
        <v>12</v>
      </c>
      <c r="D38" s="21">
        <v>0.1275</v>
      </c>
      <c r="E38" s="21">
        <v>1.53</v>
      </c>
    </row>
    <row r="39" spans="1:5">
      <c r="A39">
        <v>69761868</v>
      </c>
      <c r="B39" t="s">
        <v>2024</v>
      </c>
      <c r="C39" s="82">
        <v>24</v>
      </c>
      <c r="D39" s="21">
        <v>0.19843750000000002</v>
      </c>
      <c r="E39" s="21">
        <v>4.7625000000000002</v>
      </c>
    </row>
    <row r="40" spans="1:5">
      <c r="A40">
        <v>50470114</v>
      </c>
      <c r="B40" t="s">
        <v>2053</v>
      </c>
      <c r="C40" s="82">
        <v>2</v>
      </c>
      <c r="D40" s="21">
        <v>2.48</v>
      </c>
      <c r="E40" s="21">
        <v>4.96</v>
      </c>
    </row>
    <row r="41" spans="1:5">
      <c r="A41">
        <v>69584479</v>
      </c>
      <c r="B41" t="s">
        <v>2085</v>
      </c>
      <c r="C41" s="82">
        <v>12</v>
      </c>
      <c r="D41" s="21">
        <v>0.82674999999999998</v>
      </c>
      <c r="E41" s="21">
        <v>9.9209999999999994</v>
      </c>
    </row>
    <row r="42" spans="1:5">
      <c r="A42">
        <v>50470115</v>
      </c>
      <c r="B42" t="s">
        <v>2052</v>
      </c>
      <c r="C42" s="82">
        <v>2</v>
      </c>
      <c r="D42" s="21">
        <v>2.48</v>
      </c>
      <c r="E42" s="21">
        <v>4.96</v>
      </c>
    </row>
    <row r="43" spans="1:5">
      <c r="A43" t="s">
        <v>103</v>
      </c>
      <c r="B43" t="s">
        <v>1147</v>
      </c>
      <c r="C43" s="82">
        <v>378</v>
      </c>
      <c r="D43" s="21">
        <v>0.72916666666666663</v>
      </c>
      <c r="E43" s="21">
        <v>275.625</v>
      </c>
    </row>
    <row r="44" spans="1:5">
      <c r="A44" t="s">
        <v>21</v>
      </c>
      <c r="B44" t="s">
        <v>20</v>
      </c>
      <c r="C44" s="82">
        <v>48</v>
      </c>
      <c r="D44" s="21">
        <v>0.8833333333333333</v>
      </c>
      <c r="E44" s="21">
        <v>42.4</v>
      </c>
    </row>
    <row r="45" spans="1:5">
      <c r="A45" t="s">
        <v>529</v>
      </c>
      <c r="B45" t="s">
        <v>528</v>
      </c>
      <c r="C45" s="82">
        <v>212</v>
      </c>
      <c r="D45" s="21">
        <v>0.34375</v>
      </c>
      <c r="E45" s="21">
        <v>72.875</v>
      </c>
    </row>
    <row r="46" spans="1:5">
      <c r="A46" t="s">
        <v>2228</v>
      </c>
      <c r="B46" t="s">
        <v>2227</v>
      </c>
      <c r="C46" s="82">
        <v>603</v>
      </c>
      <c r="D46" s="21">
        <v>0.33958333333333335</v>
      </c>
      <c r="E46" s="21">
        <v>204.76875000000001</v>
      </c>
    </row>
    <row r="47" spans="1:5">
      <c r="A47" t="s">
        <v>1716</v>
      </c>
      <c r="B47" t="s">
        <v>1715</v>
      </c>
      <c r="C47" s="82">
        <v>38</v>
      </c>
      <c r="D47" s="21">
        <v>0.25</v>
      </c>
      <c r="E47" s="21">
        <v>9.5</v>
      </c>
    </row>
    <row r="48" spans="1:5">
      <c r="A48">
        <v>69678219</v>
      </c>
      <c r="B48" t="s">
        <v>2240</v>
      </c>
      <c r="C48" s="82">
        <v>1</v>
      </c>
      <c r="D48" s="21">
        <v>0.55541666666666667</v>
      </c>
      <c r="E48" s="21">
        <v>0.55541666666666667</v>
      </c>
    </row>
    <row r="49" spans="1:5">
      <c r="A49" t="s">
        <v>119</v>
      </c>
      <c r="B49" t="s">
        <v>118</v>
      </c>
      <c r="C49" s="82">
        <v>35</v>
      </c>
      <c r="D49" s="21">
        <v>0.875</v>
      </c>
      <c r="E49" s="21">
        <v>30.625</v>
      </c>
    </row>
    <row r="50" spans="1:5">
      <c r="A50" t="s">
        <v>706</v>
      </c>
      <c r="B50" t="s">
        <v>705</v>
      </c>
      <c r="C50" s="82">
        <v>4</v>
      </c>
      <c r="D50" s="21">
        <v>0.70833333333333337</v>
      </c>
      <c r="E50" s="21">
        <v>2.8333333333333335</v>
      </c>
    </row>
    <row r="51" spans="1:5">
      <c r="A51" t="s">
        <v>1261</v>
      </c>
      <c r="B51" t="s">
        <v>1513</v>
      </c>
      <c r="C51" s="82">
        <v>36</v>
      </c>
      <c r="D51" s="21">
        <v>0.36249999999999999</v>
      </c>
      <c r="E51" s="21">
        <v>13.049999999999999</v>
      </c>
    </row>
    <row r="52" spans="1:5">
      <c r="A52" t="s">
        <v>1269</v>
      </c>
      <c r="B52" t="s">
        <v>1647</v>
      </c>
      <c r="C52" s="82">
        <v>16</v>
      </c>
      <c r="D52" s="21">
        <v>0.22041666666666668</v>
      </c>
      <c r="E52" s="21">
        <v>3.5266666666666668</v>
      </c>
    </row>
    <row r="53" spans="1:5">
      <c r="A53" t="s">
        <v>533</v>
      </c>
      <c r="B53" t="s">
        <v>532</v>
      </c>
      <c r="C53" s="82">
        <v>80</v>
      </c>
      <c r="D53" s="21">
        <v>0.5</v>
      </c>
      <c r="E53" s="21">
        <v>40</v>
      </c>
    </row>
    <row r="54" spans="1:5">
      <c r="A54" t="s">
        <v>535</v>
      </c>
      <c r="B54" t="s">
        <v>534</v>
      </c>
      <c r="C54" s="82">
        <v>32</v>
      </c>
      <c r="D54" s="21">
        <v>1.75</v>
      </c>
      <c r="E54" s="21">
        <v>56</v>
      </c>
    </row>
    <row r="55" spans="1:5">
      <c r="A55" t="s">
        <v>37</v>
      </c>
      <c r="B55" t="s">
        <v>36</v>
      </c>
      <c r="C55" s="82">
        <v>5</v>
      </c>
      <c r="D55" s="21">
        <v>0.24270833333333333</v>
      </c>
      <c r="E55" s="21">
        <v>1.2135416666666667</v>
      </c>
    </row>
    <row r="56" spans="1:5">
      <c r="A56" t="s">
        <v>115</v>
      </c>
      <c r="B56" t="s">
        <v>114</v>
      </c>
      <c r="C56" s="82">
        <v>48</v>
      </c>
      <c r="D56" s="21">
        <v>0.65625</v>
      </c>
      <c r="E56" s="21">
        <v>31.5</v>
      </c>
    </row>
    <row r="57" spans="1:5">
      <c r="A57" t="s">
        <v>482</v>
      </c>
      <c r="B57" t="s">
        <v>481</v>
      </c>
      <c r="C57" s="82">
        <v>39</v>
      </c>
      <c r="D57" s="21">
        <v>0.11493055555555556</v>
      </c>
      <c r="E57" s="21">
        <v>4.4822916666666668</v>
      </c>
    </row>
    <row r="58" spans="1:5">
      <c r="A58" t="s">
        <v>1267</v>
      </c>
      <c r="B58" t="s">
        <v>1662</v>
      </c>
      <c r="C58" s="82">
        <v>18</v>
      </c>
      <c r="D58" s="21">
        <v>0.44083333333333335</v>
      </c>
      <c r="E58" s="21">
        <v>7.9350000000000005</v>
      </c>
    </row>
    <row r="59" spans="1:5">
      <c r="A59" t="s">
        <v>1265</v>
      </c>
      <c r="B59" t="s">
        <v>1264</v>
      </c>
      <c r="C59" s="82">
        <v>69</v>
      </c>
      <c r="D59" s="21">
        <v>0.22041666666666668</v>
      </c>
      <c r="E59" s="21">
        <v>15.20875</v>
      </c>
    </row>
    <row r="60" spans="1:5">
      <c r="A60" t="s">
        <v>1289</v>
      </c>
      <c r="B60" t="s">
        <v>1431</v>
      </c>
      <c r="C60" s="82">
        <v>18</v>
      </c>
      <c r="D60" s="21">
        <v>0.36249999999999999</v>
      </c>
      <c r="E60" s="21">
        <v>6.5249999999999995</v>
      </c>
    </row>
    <row r="61" spans="1:5">
      <c r="A61" t="s">
        <v>1277</v>
      </c>
      <c r="B61" t="s">
        <v>1276</v>
      </c>
      <c r="C61" s="82">
        <v>35</v>
      </c>
      <c r="D61" s="21">
        <v>0.22041666666666668</v>
      </c>
      <c r="E61" s="21">
        <v>7.7145833333333336</v>
      </c>
    </row>
    <row r="62" spans="1:5">
      <c r="A62" t="s">
        <v>1271</v>
      </c>
      <c r="B62" t="s">
        <v>1642</v>
      </c>
      <c r="C62" s="82">
        <v>30</v>
      </c>
      <c r="D62" s="21">
        <v>0.83750000000000002</v>
      </c>
      <c r="E62" s="21">
        <v>25.125</v>
      </c>
    </row>
    <row r="63" spans="1:5">
      <c r="A63" t="s">
        <v>531</v>
      </c>
      <c r="B63" t="s">
        <v>530</v>
      </c>
      <c r="C63" s="82">
        <v>18</v>
      </c>
      <c r="D63" s="21">
        <v>1.8125</v>
      </c>
      <c r="E63" s="21">
        <v>32.625</v>
      </c>
    </row>
    <row r="64" spans="1:5">
      <c r="A64" t="s">
        <v>1749</v>
      </c>
      <c r="B64" t="s">
        <v>2008</v>
      </c>
      <c r="C64" s="82">
        <v>2</v>
      </c>
      <c r="D64" s="21">
        <v>0.71375</v>
      </c>
      <c r="E64" s="21">
        <v>1.4275</v>
      </c>
    </row>
    <row r="65" spans="1:5">
      <c r="A65" t="s">
        <v>1355</v>
      </c>
      <c r="B65" t="s">
        <v>1354</v>
      </c>
      <c r="C65" s="82">
        <v>2</v>
      </c>
      <c r="D65" s="21">
        <v>0.9</v>
      </c>
      <c r="E65" s="21">
        <v>1.8</v>
      </c>
    </row>
    <row r="66" spans="1:5">
      <c r="A66" t="s">
        <v>708</v>
      </c>
      <c r="B66" t="s">
        <v>2252</v>
      </c>
      <c r="C66" s="82">
        <v>2</v>
      </c>
      <c r="D66" s="21">
        <v>4.1666666666666664E-2</v>
      </c>
      <c r="E66" s="21">
        <v>8.3333333333333329E-2</v>
      </c>
    </row>
    <row r="67" spans="1:5">
      <c r="A67" t="s">
        <v>125</v>
      </c>
      <c r="B67" t="s">
        <v>124</v>
      </c>
      <c r="C67" s="82">
        <v>3</v>
      </c>
      <c r="D67" s="21">
        <v>0.44166666666666665</v>
      </c>
      <c r="E67" s="21">
        <v>1.325</v>
      </c>
    </row>
    <row r="68" spans="1:5">
      <c r="A68" t="s">
        <v>1081</v>
      </c>
      <c r="B68" t="s">
        <v>1080</v>
      </c>
      <c r="C68" s="82">
        <v>2</v>
      </c>
      <c r="D68" s="21">
        <v>2.1166666666666667</v>
      </c>
      <c r="E68" s="21">
        <v>4.2333333333333334</v>
      </c>
    </row>
    <row r="69" spans="1:5">
      <c r="A69" t="s">
        <v>39</v>
      </c>
      <c r="B69" t="s">
        <v>38</v>
      </c>
      <c r="C69" s="82">
        <v>17</v>
      </c>
      <c r="D69" s="21">
        <v>0.24270833333333333</v>
      </c>
      <c r="E69" s="21">
        <v>4.1260416666666666</v>
      </c>
    </row>
    <row r="70" spans="1:5">
      <c r="A70" t="s">
        <v>1692</v>
      </c>
      <c r="B70" t="s">
        <v>1691</v>
      </c>
      <c r="C70" s="82">
        <v>10</v>
      </c>
      <c r="D70" s="21">
        <v>0.92524999999999991</v>
      </c>
      <c r="E70" s="21">
        <v>9.2524999999999995</v>
      </c>
    </row>
    <row r="71" spans="1:5">
      <c r="A71" t="s">
        <v>1293</v>
      </c>
      <c r="B71" t="s">
        <v>1292</v>
      </c>
      <c r="C71" s="82">
        <v>6</v>
      </c>
      <c r="D71" s="21">
        <v>0.21875</v>
      </c>
      <c r="E71" s="21">
        <v>1.3125</v>
      </c>
    </row>
    <row r="72" spans="1:5">
      <c r="A72" t="s">
        <v>1026</v>
      </c>
      <c r="B72" t="s">
        <v>1025</v>
      </c>
      <c r="C72" s="82">
        <v>5</v>
      </c>
      <c r="D72" s="21">
        <v>0.9</v>
      </c>
      <c r="E72" s="21">
        <v>4.5</v>
      </c>
    </row>
    <row r="73" spans="1:5">
      <c r="A73" t="s">
        <v>1475</v>
      </c>
      <c r="B73" t="s">
        <v>1474</v>
      </c>
      <c r="C73" s="82">
        <v>10</v>
      </c>
      <c r="D73" s="21">
        <v>0.9</v>
      </c>
      <c r="E73" s="21">
        <v>9</v>
      </c>
    </row>
    <row r="74" spans="1:5">
      <c r="A74" t="s">
        <v>1349</v>
      </c>
      <c r="B74" t="s">
        <v>1348</v>
      </c>
      <c r="C74" s="82">
        <v>5</v>
      </c>
      <c r="D74" s="21">
        <v>0.9</v>
      </c>
      <c r="E74" s="21">
        <v>4.5</v>
      </c>
    </row>
    <row r="75" spans="1:5">
      <c r="A75" t="s">
        <v>2188</v>
      </c>
      <c r="B75" t="s">
        <v>2187</v>
      </c>
      <c r="C75" s="82">
        <v>3</v>
      </c>
      <c r="D75" s="21">
        <v>0.52916666666666667</v>
      </c>
      <c r="E75" s="21">
        <v>1.5874999999999999</v>
      </c>
    </row>
    <row r="76" spans="1:5">
      <c r="A76" t="s">
        <v>1301</v>
      </c>
      <c r="B76" t="s">
        <v>1300</v>
      </c>
      <c r="C76" s="82">
        <v>6</v>
      </c>
      <c r="D76" s="21">
        <v>0.22041666666666668</v>
      </c>
      <c r="E76" s="21">
        <v>1.3225</v>
      </c>
    </row>
    <row r="77" spans="1:5">
      <c r="A77" t="s">
        <v>13</v>
      </c>
      <c r="B77" t="s">
        <v>12</v>
      </c>
      <c r="C77" s="82">
        <v>48</v>
      </c>
      <c r="D77" s="21">
        <v>3.1091666666666669</v>
      </c>
      <c r="E77" s="21">
        <v>149.24</v>
      </c>
    </row>
    <row r="78" spans="1:5">
      <c r="A78" t="s">
        <v>429</v>
      </c>
      <c r="B78" t="s">
        <v>428</v>
      </c>
      <c r="C78" s="82">
        <v>2</v>
      </c>
      <c r="D78" s="21">
        <v>2.1166666666666667</v>
      </c>
      <c r="E78" s="21">
        <v>4.2333333333333334</v>
      </c>
    </row>
    <row r="79" spans="1:5">
      <c r="A79" t="s">
        <v>395</v>
      </c>
      <c r="B79" t="s">
        <v>2237</v>
      </c>
      <c r="C79" s="82">
        <v>126</v>
      </c>
      <c r="D79" s="21">
        <v>0.47499999999999998</v>
      </c>
      <c r="E79" s="21">
        <v>59.849999999999994</v>
      </c>
    </row>
    <row r="80" spans="1:5">
      <c r="A80" t="s">
        <v>5</v>
      </c>
      <c r="B80" t="s">
        <v>4</v>
      </c>
      <c r="C80" s="82">
        <v>6</v>
      </c>
      <c r="D80" s="21">
        <v>1.1041666666666667</v>
      </c>
      <c r="E80" s="21">
        <v>6.625</v>
      </c>
    </row>
    <row r="81" spans="1:5">
      <c r="A81" t="s">
        <v>3</v>
      </c>
      <c r="B81" t="s">
        <v>2</v>
      </c>
      <c r="C81" s="82">
        <v>15</v>
      </c>
      <c r="D81" s="21">
        <v>1.1041666666666667</v>
      </c>
      <c r="E81" s="21">
        <v>16.5625</v>
      </c>
    </row>
    <row r="82" spans="1:5">
      <c r="A82" t="s">
        <v>1330</v>
      </c>
      <c r="B82" t="s">
        <v>2221</v>
      </c>
      <c r="C82" s="82">
        <v>1</v>
      </c>
      <c r="D82" s="21">
        <v>0.62</v>
      </c>
      <c r="E82" s="21">
        <v>0.62</v>
      </c>
    </row>
    <row r="83" spans="1:5">
      <c r="A83" t="s">
        <v>1347</v>
      </c>
      <c r="B83" t="s">
        <v>1346</v>
      </c>
      <c r="C83" s="82">
        <v>7</v>
      </c>
      <c r="D83" s="21">
        <v>0.9</v>
      </c>
      <c r="E83" s="21">
        <v>6.3</v>
      </c>
    </row>
    <row r="84" spans="1:5">
      <c r="A84" t="s">
        <v>1477</v>
      </c>
      <c r="B84" t="s">
        <v>1476</v>
      </c>
      <c r="C84" s="82">
        <v>7</v>
      </c>
      <c r="D84" s="21">
        <v>0.9</v>
      </c>
      <c r="E84" s="21">
        <v>6.3</v>
      </c>
    </row>
    <row r="85" spans="1:5">
      <c r="A85" t="s">
        <v>1674</v>
      </c>
      <c r="B85" t="s">
        <v>1673</v>
      </c>
      <c r="C85" s="82">
        <v>5</v>
      </c>
      <c r="D85" s="21">
        <v>0.9</v>
      </c>
      <c r="E85" s="21">
        <v>4.5</v>
      </c>
    </row>
    <row r="86" spans="1:5">
      <c r="A86" t="s">
        <v>1974</v>
      </c>
      <c r="B86" t="s">
        <v>1973</v>
      </c>
      <c r="C86" s="82">
        <v>4</v>
      </c>
      <c r="D86" s="21">
        <v>0.47599999999999998</v>
      </c>
      <c r="E86" s="21">
        <v>1.9039999999999999</v>
      </c>
    </row>
    <row r="87" spans="1:5">
      <c r="A87" t="s">
        <v>671</v>
      </c>
      <c r="B87" t="s">
        <v>670</v>
      </c>
      <c r="C87" s="82">
        <v>43</v>
      </c>
      <c r="D87" s="21">
        <v>0.25</v>
      </c>
      <c r="E87" s="21">
        <v>10.75</v>
      </c>
    </row>
    <row r="88" spans="1:5">
      <c r="A88" t="s">
        <v>2068</v>
      </c>
      <c r="B88" t="s">
        <v>2067</v>
      </c>
      <c r="C88" s="82">
        <v>2</v>
      </c>
      <c r="D88" s="21">
        <v>1.1008333333333333</v>
      </c>
      <c r="E88" s="21">
        <v>2.2016666666666667</v>
      </c>
    </row>
    <row r="89" spans="1:5">
      <c r="A89" t="s">
        <v>1795</v>
      </c>
      <c r="B89" t="s">
        <v>1794</v>
      </c>
      <c r="C89" s="82">
        <v>1</v>
      </c>
      <c r="D89" s="21">
        <v>0.2</v>
      </c>
      <c r="E89" s="21">
        <v>0.2</v>
      </c>
    </row>
    <row r="90" spans="1:5">
      <c r="A90" t="s">
        <v>347</v>
      </c>
      <c r="B90" t="s">
        <v>346</v>
      </c>
      <c r="C90" s="82">
        <v>2</v>
      </c>
      <c r="D90" s="21">
        <v>2.65</v>
      </c>
      <c r="E90" s="21">
        <v>5.3</v>
      </c>
    </row>
    <row r="91" spans="1:5">
      <c r="A91" t="s">
        <v>431</v>
      </c>
      <c r="B91" t="s">
        <v>430</v>
      </c>
      <c r="C91" s="82">
        <v>2</v>
      </c>
      <c r="D91" s="21">
        <v>2.1166666666666667</v>
      </c>
      <c r="E91" s="21">
        <v>4.2333333333333334</v>
      </c>
    </row>
    <row r="92" spans="1:5">
      <c r="A92" t="s">
        <v>1244</v>
      </c>
      <c r="B92" t="s">
        <v>1243</v>
      </c>
      <c r="C92" s="82">
        <v>1</v>
      </c>
      <c r="D92" s="21">
        <v>2.1166666666666667</v>
      </c>
      <c r="E92" s="21">
        <v>2.1166666666666667</v>
      </c>
    </row>
    <row r="93" spans="1:5">
      <c r="A93" t="s">
        <v>339</v>
      </c>
      <c r="B93" t="s">
        <v>338</v>
      </c>
      <c r="C93" s="82">
        <v>31</v>
      </c>
      <c r="D93" s="21">
        <v>1.1041666666666667</v>
      </c>
      <c r="E93" s="21">
        <v>34.229166666666671</v>
      </c>
    </row>
    <row r="94" spans="1:5">
      <c r="A94" t="s">
        <v>7</v>
      </c>
      <c r="B94" t="s">
        <v>6</v>
      </c>
      <c r="C94" s="82">
        <v>3</v>
      </c>
      <c r="D94" s="21">
        <v>1.1041666666666667</v>
      </c>
      <c r="E94" s="21">
        <v>3.3125</v>
      </c>
    </row>
    <row r="95" spans="1:5">
      <c r="A95" t="s">
        <v>857</v>
      </c>
      <c r="B95" t="s">
        <v>856</v>
      </c>
      <c r="C95" s="82">
        <v>1</v>
      </c>
      <c r="D95" s="21">
        <v>1.3125</v>
      </c>
      <c r="E95" s="21">
        <v>1.3125</v>
      </c>
    </row>
    <row r="96" spans="1:5">
      <c r="A96" t="s">
        <v>1040</v>
      </c>
      <c r="B96" t="s">
        <v>1039</v>
      </c>
      <c r="C96" s="82">
        <v>2</v>
      </c>
      <c r="D96" s="21">
        <v>0.88437500000000002</v>
      </c>
      <c r="E96" s="21">
        <v>1.76875</v>
      </c>
    </row>
    <row r="97" spans="1:5">
      <c r="A97" t="s">
        <v>1473</v>
      </c>
      <c r="B97" t="s">
        <v>1472</v>
      </c>
      <c r="C97" s="82">
        <v>7</v>
      </c>
      <c r="D97" s="21">
        <v>0.9</v>
      </c>
      <c r="E97" s="21">
        <v>6.3</v>
      </c>
    </row>
    <row r="98" spans="1:5">
      <c r="A98" t="s">
        <v>1359</v>
      </c>
      <c r="B98" t="s">
        <v>1358</v>
      </c>
      <c r="C98" s="82">
        <v>7</v>
      </c>
      <c r="D98" s="21">
        <v>0.9</v>
      </c>
      <c r="E98" s="21">
        <v>6.3</v>
      </c>
    </row>
    <row r="99" spans="1:5">
      <c r="A99" t="s">
        <v>2218</v>
      </c>
      <c r="B99" t="s">
        <v>2217</v>
      </c>
      <c r="C99" s="82">
        <v>1</v>
      </c>
      <c r="D99" s="21">
        <v>1.3125</v>
      </c>
      <c r="E99" s="21">
        <v>1.3125</v>
      </c>
    </row>
    <row r="100" spans="1:5">
      <c r="A100" t="s">
        <v>1443</v>
      </c>
      <c r="B100" t="s">
        <v>1442</v>
      </c>
      <c r="C100" s="82">
        <v>1</v>
      </c>
      <c r="D100" s="21">
        <v>3.3050000000000002</v>
      </c>
      <c r="E100" s="21">
        <v>3.3050000000000002</v>
      </c>
    </row>
    <row r="101" spans="1:5">
      <c r="A101" t="s">
        <v>1291</v>
      </c>
      <c r="B101" t="s">
        <v>1290</v>
      </c>
      <c r="C101" s="82">
        <v>12</v>
      </c>
      <c r="D101" s="21">
        <v>0.22041666666666668</v>
      </c>
      <c r="E101" s="21">
        <v>2.645</v>
      </c>
    </row>
    <row r="102" spans="1:5">
      <c r="A102" t="s">
        <v>1449</v>
      </c>
      <c r="B102" t="s">
        <v>1448</v>
      </c>
      <c r="C102" s="82">
        <v>3</v>
      </c>
      <c r="D102" s="21">
        <v>1.1875</v>
      </c>
      <c r="E102" s="21">
        <v>3.5625</v>
      </c>
    </row>
    <row r="103" spans="1:5">
      <c r="A103" t="s">
        <v>2146</v>
      </c>
      <c r="B103" t="s">
        <v>2145</v>
      </c>
      <c r="C103" s="82">
        <v>12</v>
      </c>
      <c r="D103" s="21">
        <v>0.24041666666666664</v>
      </c>
      <c r="E103" s="21">
        <v>2.8849999999999998</v>
      </c>
    </row>
    <row r="104" spans="1:5">
      <c r="A104" t="s">
        <v>1353</v>
      </c>
      <c r="B104" t="s">
        <v>1352</v>
      </c>
      <c r="C104" s="82">
        <v>3</v>
      </c>
      <c r="D104" s="21">
        <v>0.5</v>
      </c>
      <c r="E104" s="21">
        <v>1.5</v>
      </c>
    </row>
    <row r="105" spans="1:5">
      <c r="A105" t="s">
        <v>1263</v>
      </c>
      <c r="B105" t="s">
        <v>1262</v>
      </c>
      <c r="C105" s="82">
        <v>4</v>
      </c>
      <c r="D105" s="21">
        <v>1.6600000000000001</v>
      </c>
      <c r="E105" s="21">
        <v>6.6400000000000006</v>
      </c>
    </row>
    <row r="106" spans="1:5">
      <c r="A106" t="s">
        <v>662</v>
      </c>
      <c r="B106" t="s">
        <v>2171</v>
      </c>
      <c r="C106" s="82">
        <v>18</v>
      </c>
      <c r="D106" s="21">
        <v>8.3333333333333329E-2</v>
      </c>
      <c r="E106" s="21">
        <v>1.5</v>
      </c>
    </row>
    <row r="107" spans="1:5">
      <c r="A107" t="s">
        <v>1819</v>
      </c>
      <c r="B107" t="s">
        <v>1818</v>
      </c>
      <c r="C107" s="82">
        <v>46</v>
      </c>
      <c r="D107" s="21">
        <v>0.87035714285714294</v>
      </c>
      <c r="E107" s="21">
        <v>40.036428571428573</v>
      </c>
    </row>
    <row r="108" spans="1:5">
      <c r="A108" t="s">
        <v>1766</v>
      </c>
      <c r="B108" t="s">
        <v>1765</v>
      </c>
      <c r="C108" s="82">
        <v>58</v>
      </c>
      <c r="D108" s="21">
        <v>0.87035714285714294</v>
      </c>
      <c r="E108" s="21">
        <v>50.480714285714292</v>
      </c>
    </row>
    <row r="109" spans="1:5">
      <c r="A109" t="s">
        <v>1764</v>
      </c>
      <c r="B109" t="s">
        <v>1763</v>
      </c>
      <c r="C109" s="82">
        <v>6</v>
      </c>
      <c r="D109" s="21">
        <v>0.87035714285714294</v>
      </c>
      <c r="E109" s="21">
        <v>5.2221428571428579</v>
      </c>
    </row>
    <row r="110" spans="1:5">
      <c r="A110" t="s">
        <v>1841</v>
      </c>
      <c r="B110" t="s">
        <v>1840</v>
      </c>
      <c r="C110" s="82">
        <v>12</v>
      </c>
      <c r="D110" s="21">
        <v>0.88178571428571428</v>
      </c>
      <c r="E110" s="21">
        <v>10.581428571428571</v>
      </c>
    </row>
    <row r="111" spans="1:5">
      <c r="A111" t="s">
        <v>1839</v>
      </c>
      <c r="B111" t="s">
        <v>1838</v>
      </c>
      <c r="C111" s="82">
        <v>3</v>
      </c>
      <c r="D111" s="21">
        <v>0.88178571428571428</v>
      </c>
      <c r="E111" s="21">
        <v>2.6453571428571427</v>
      </c>
    </row>
    <row r="112" spans="1:5">
      <c r="A112" t="s">
        <v>1823</v>
      </c>
      <c r="B112" t="s">
        <v>1822</v>
      </c>
      <c r="C112" s="82">
        <v>5</v>
      </c>
      <c r="D112" s="21">
        <v>0.88107142857142862</v>
      </c>
      <c r="E112" s="21">
        <v>4.4053571428571434</v>
      </c>
    </row>
    <row r="113" spans="1:5">
      <c r="A113" t="s">
        <v>2023</v>
      </c>
      <c r="B113" t="s">
        <v>2022</v>
      </c>
      <c r="C113" s="82">
        <v>3</v>
      </c>
      <c r="D113" s="21">
        <v>0.95321428571428579</v>
      </c>
      <c r="E113" s="21">
        <v>2.8596428571428572</v>
      </c>
    </row>
    <row r="114" spans="1:5">
      <c r="A114" t="s">
        <v>1821</v>
      </c>
      <c r="B114" t="s">
        <v>1820</v>
      </c>
      <c r="C114" s="82">
        <v>24</v>
      </c>
      <c r="D114" s="21">
        <v>1.3216666666666665</v>
      </c>
      <c r="E114" s="21">
        <v>31.72</v>
      </c>
    </row>
    <row r="115" spans="1:5">
      <c r="A115" t="s">
        <v>480</v>
      </c>
      <c r="B115" t="s">
        <v>479</v>
      </c>
      <c r="C115" s="82">
        <v>12</v>
      </c>
      <c r="D115" s="21">
        <v>0.55208333333333337</v>
      </c>
      <c r="E115" s="21">
        <v>6.625</v>
      </c>
    </row>
    <row r="116" spans="1:5">
      <c r="A116" t="s">
        <v>100</v>
      </c>
      <c r="B116" t="s">
        <v>99</v>
      </c>
      <c r="C116" s="82">
        <v>12</v>
      </c>
      <c r="D116" s="21">
        <v>0.55208333333333337</v>
      </c>
      <c r="E116" s="21">
        <v>6.625</v>
      </c>
    </row>
    <row r="117" spans="1:5">
      <c r="A117" t="s">
        <v>123</v>
      </c>
      <c r="B117" t="s">
        <v>122</v>
      </c>
      <c r="C117" s="82">
        <v>12</v>
      </c>
      <c r="D117" s="21">
        <v>0.44166666666666665</v>
      </c>
      <c r="E117" s="21">
        <v>5.3</v>
      </c>
    </row>
    <row r="118" spans="1:5">
      <c r="A118" t="s">
        <v>555</v>
      </c>
      <c r="B118" t="s">
        <v>554</v>
      </c>
      <c r="C118" s="82">
        <v>24</v>
      </c>
      <c r="D118" s="21">
        <v>0.7729166666666667</v>
      </c>
      <c r="E118" s="21">
        <v>18.55</v>
      </c>
    </row>
    <row r="119" spans="1:5">
      <c r="A119" t="s">
        <v>102</v>
      </c>
      <c r="B119" t="s">
        <v>101</v>
      </c>
      <c r="C119" s="82">
        <v>12</v>
      </c>
      <c r="D119" s="21">
        <v>0.72916666666666663</v>
      </c>
      <c r="E119" s="21">
        <v>8.75</v>
      </c>
    </row>
    <row r="120" spans="1:5">
      <c r="A120" t="s">
        <v>510</v>
      </c>
      <c r="B120" t="s">
        <v>1237</v>
      </c>
      <c r="C120" s="82">
        <v>12</v>
      </c>
      <c r="D120" s="21">
        <v>0.72916666666666663</v>
      </c>
      <c r="E120" s="21">
        <v>8.75</v>
      </c>
    </row>
    <row r="121" spans="1:5">
      <c r="A121" t="s">
        <v>113</v>
      </c>
      <c r="B121" t="s">
        <v>112</v>
      </c>
      <c r="C121" s="82">
        <v>24</v>
      </c>
      <c r="D121" s="21">
        <v>0.9375</v>
      </c>
      <c r="E121" s="21">
        <v>22.5</v>
      </c>
    </row>
    <row r="122" spans="1:5">
      <c r="A122" t="s">
        <v>2076</v>
      </c>
      <c r="B122" t="s">
        <v>2247</v>
      </c>
      <c r="C122" s="82">
        <v>26</v>
      </c>
      <c r="D122" s="21">
        <v>1.1363636363636362</v>
      </c>
      <c r="E122" s="21">
        <v>29.545454545454543</v>
      </c>
    </row>
    <row r="123" spans="1:5">
      <c r="A123" t="s">
        <v>419</v>
      </c>
      <c r="B123" t="s">
        <v>418</v>
      </c>
      <c r="C123" s="82">
        <v>2</v>
      </c>
      <c r="D123" s="21">
        <v>0.16</v>
      </c>
      <c r="E123" s="21">
        <v>0.32</v>
      </c>
    </row>
    <row r="124" spans="1:5">
      <c r="A124" t="s">
        <v>2015</v>
      </c>
      <c r="B124" t="s">
        <v>2250</v>
      </c>
      <c r="C124" s="82">
        <v>6</v>
      </c>
      <c r="D124" s="21">
        <v>0.51854166666666668</v>
      </c>
      <c r="E124" s="21">
        <v>3.1112500000000001</v>
      </c>
    </row>
    <row r="125" spans="1:5">
      <c r="A125" t="s">
        <v>401</v>
      </c>
      <c r="B125" t="s">
        <v>400</v>
      </c>
      <c r="C125" s="82">
        <v>2</v>
      </c>
      <c r="D125" s="21">
        <v>2.1166666666666667</v>
      </c>
      <c r="E125" s="21">
        <v>4.2333333333333334</v>
      </c>
    </row>
    <row r="126" spans="1:5">
      <c r="A126" t="s">
        <v>397</v>
      </c>
      <c r="B126" t="s">
        <v>396</v>
      </c>
      <c r="C126" s="82">
        <v>3</v>
      </c>
      <c r="D126" s="21">
        <v>0.24270833333333333</v>
      </c>
      <c r="E126" s="21">
        <v>0.72812500000000002</v>
      </c>
    </row>
    <row r="127" spans="1:5">
      <c r="A127" t="s">
        <v>41</v>
      </c>
      <c r="B127" t="s">
        <v>40</v>
      </c>
      <c r="C127" s="82">
        <v>5</v>
      </c>
      <c r="D127" s="21">
        <v>0.24270833333333333</v>
      </c>
      <c r="E127" s="21">
        <v>1.2135416666666667</v>
      </c>
    </row>
    <row r="128" spans="1:5">
      <c r="A128" t="s">
        <v>387</v>
      </c>
      <c r="B128" t="s">
        <v>2271</v>
      </c>
      <c r="C128" s="82">
        <v>26</v>
      </c>
      <c r="D128" s="21">
        <v>0.88249999999999995</v>
      </c>
      <c r="E128" s="21">
        <v>22.945</v>
      </c>
    </row>
    <row r="129" spans="1:5">
      <c r="A129" t="s">
        <v>1679</v>
      </c>
      <c r="B129" t="s">
        <v>2201</v>
      </c>
      <c r="C129" s="82">
        <v>3</v>
      </c>
      <c r="D129" s="21">
        <v>0.33041666666666664</v>
      </c>
      <c r="E129" s="21">
        <v>0.99124999999999996</v>
      </c>
    </row>
    <row r="130" spans="1:5">
      <c r="A130" t="s">
        <v>31</v>
      </c>
      <c r="B130" t="s">
        <v>30</v>
      </c>
      <c r="C130" s="82">
        <v>6</v>
      </c>
      <c r="D130" s="21">
        <v>0.11</v>
      </c>
      <c r="E130" s="21">
        <v>0.66</v>
      </c>
    </row>
    <row r="131" spans="1:5">
      <c r="A131" t="s">
        <v>1933</v>
      </c>
      <c r="B131" t="s">
        <v>1934</v>
      </c>
      <c r="C131" s="82">
        <v>4</v>
      </c>
      <c r="D131" s="21">
        <v>0.35625000000000001</v>
      </c>
      <c r="E131" s="21">
        <v>1.425</v>
      </c>
    </row>
    <row r="132" spans="1:5">
      <c r="A132" t="s">
        <v>343</v>
      </c>
      <c r="B132" t="s">
        <v>342</v>
      </c>
      <c r="C132" s="82">
        <v>27</v>
      </c>
      <c r="D132" s="21">
        <v>1.1041666666666667</v>
      </c>
      <c r="E132" s="21">
        <v>29.812500000000004</v>
      </c>
    </row>
    <row r="133" spans="1:5">
      <c r="A133" t="s">
        <v>825</v>
      </c>
      <c r="B133" t="s">
        <v>824</v>
      </c>
      <c r="C133" s="82">
        <v>1</v>
      </c>
      <c r="D133" s="21">
        <v>0.37040000000000001</v>
      </c>
      <c r="E133" s="21">
        <v>0.37040000000000001</v>
      </c>
    </row>
    <row r="134" spans="1:5">
      <c r="A134" t="s">
        <v>1212</v>
      </c>
      <c r="B134" t="s">
        <v>300</v>
      </c>
      <c r="C134" s="82">
        <v>1</v>
      </c>
      <c r="D134" s="21">
        <v>0.9277777777777777</v>
      </c>
      <c r="E134" s="21">
        <v>0.9277777777777777</v>
      </c>
    </row>
  </sheetData>
  <customSheetViews>
    <customSheetView guid="{D03BBA77-B0D6-4284-98FD-BE2506FB6F43}">
      <selection activeCell="D17" sqref="D17"/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4"/>
  <dimension ref="A1:J271"/>
  <sheetViews>
    <sheetView topLeftCell="C1" workbookViewId="0">
      <selection activeCell="D4" sqref="D4"/>
    </sheetView>
  </sheetViews>
  <sheetFormatPr baseColWidth="10" defaultRowHeight="14.4"/>
  <cols>
    <col min="1" max="1" width="18.33203125" bestFit="1" customWidth="1"/>
    <col min="2" max="2" width="45" bestFit="1" customWidth="1"/>
    <col min="3" max="4" width="17.44140625" bestFit="1" customWidth="1"/>
    <col min="5" max="5" width="17.44140625" style="21" bestFit="1" customWidth="1"/>
    <col min="8" max="8" width="13" customWidth="1"/>
  </cols>
  <sheetData>
    <row r="1" spans="1:10">
      <c r="A1" s="20" t="s">
        <v>1085</v>
      </c>
      <c r="B1" s="20" t="s">
        <v>1084</v>
      </c>
      <c r="C1" t="s">
        <v>1087</v>
      </c>
      <c r="D1" t="s">
        <v>1086</v>
      </c>
      <c r="E1" s="21" t="s">
        <v>1088</v>
      </c>
      <c r="G1" t="s">
        <v>1092</v>
      </c>
      <c r="H1" t="s">
        <v>1089</v>
      </c>
    </row>
    <row r="2" spans="1:10">
      <c r="A2">
        <v>10010010010</v>
      </c>
      <c r="B2" t="s">
        <v>146</v>
      </c>
      <c r="C2" s="82">
        <v>25</v>
      </c>
      <c r="D2" s="82">
        <v>0.88200000000000001</v>
      </c>
      <c r="E2" s="21">
        <v>22.05</v>
      </c>
      <c r="G2" s="21">
        <f>SUM(E:E)</f>
        <v>3663.0902430555548</v>
      </c>
      <c r="H2" s="21">
        <f>CONVERT(G2,"lbm","cwt")</f>
        <v>36.630902430555551</v>
      </c>
    </row>
    <row r="3" spans="1:10">
      <c r="A3">
        <v>5460400</v>
      </c>
      <c r="B3" t="s">
        <v>2133</v>
      </c>
      <c r="C3" s="82">
        <v>108</v>
      </c>
      <c r="D3" s="82">
        <v>0.75</v>
      </c>
      <c r="E3" s="21">
        <v>81</v>
      </c>
    </row>
    <row r="4" spans="1:10" ht="15" thickBot="1">
      <c r="A4">
        <v>50491108</v>
      </c>
      <c r="B4" t="s">
        <v>2010</v>
      </c>
      <c r="C4" s="82">
        <v>3</v>
      </c>
      <c r="D4" s="82">
        <v>2.65</v>
      </c>
      <c r="E4" s="21">
        <v>7.9499999999999993</v>
      </c>
      <c r="G4" s="23" t="s">
        <v>1095</v>
      </c>
      <c r="H4" s="24" t="s">
        <v>1096</v>
      </c>
      <c r="I4" s="23" t="s">
        <v>1106</v>
      </c>
    </row>
    <row r="5" spans="1:10" ht="15" thickTop="1">
      <c r="A5">
        <v>50491107</v>
      </c>
      <c r="B5" t="s">
        <v>1897</v>
      </c>
      <c r="C5" s="82">
        <v>9</v>
      </c>
      <c r="D5" s="82">
        <v>2.65</v>
      </c>
      <c r="E5" s="21">
        <v>23.849999999999998</v>
      </c>
      <c r="G5" s="25" t="s">
        <v>1097</v>
      </c>
      <c r="H5" s="25">
        <v>50</v>
      </c>
      <c r="I5" s="26">
        <f>Tabla104[QUINTALES]/H5</f>
        <v>0.73261804861111102</v>
      </c>
      <c r="J5" s="27"/>
    </row>
    <row r="6" spans="1:10">
      <c r="A6">
        <v>50491109</v>
      </c>
      <c r="B6" t="s">
        <v>1584</v>
      </c>
      <c r="C6" s="82">
        <v>6</v>
      </c>
      <c r="D6" s="82">
        <v>2.65</v>
      </c>
      <c r="E6" s="21">
        <v>15.899999999999999</v>
      </c>
      <c r="J6" s="21"/>
    </row>
    <row r="7" spans="1:10" ht="15" thickBot="1">
      <c r="A7">
        <v>50491101</v>
      </c>
      <c r="B7" t="s">
        <v>1950</v>
      </c>
      <c r="C7" s="82">
        <v>6</v>
      </c>
      <c r="D7" s="82">
        <v>2.65</v>
      </c>
      <c r="E7" s="21">
        <v>15.899999999999999</v>
      </c>
      <c r="G7" s="23" t="s">
        <v>1095</v>
      </c>
      <c r="H7" s="24" t="s">
        <v>1096</v>
      </c>
      <c r="I7" s="23" t="s">
        <v>1106</v>
      </c>
      <c r="J7" s="21"/>
    </row>
    <row r="8" spans="1:10" ht="15" thickTop="1">
      <c r="A8">
        <v>621330</v>
      </c>
      <c r="B8" t="s">
        <v>652</v>
      </c>
      <c r="C8" s="82">
        <v>11</v>
      </c>
      <c r="D8" s="82">
        <v>0.8833333333333333</v>
      </c>
      <c r="E8" s="21">
        <v>9.7166666666666668</v>
      </c>
      <c r="G8" s="25" t="s">
        <v>1098</v>
      </c>
      <c r="H8" s="25">
        <v>50</v>
      </c>
      <c r="I8" s="26">
        <f>Tabla104[QUINTALES]/H8</f>
        <v>0.73261804861111102</v>
      </c>
      <c r="J8" s="21"/>
    </row>
    <row r="9" spans="1:10">
      <c r="A9">
        <v>641833</v>
      </c>
      <c r="B9" t="s">
        <v>217</v>
      </c>
      <c r="C9" s="82">
        <v>1</v>
      </c>
      <c r="D9" s="82">
        <v>2.65</v>
      </c>
      <c r="E9" s="21">
        <v>2.65</v>
      </c>
      <c r="J9" s="21"/>
    </row>
    <row r="10" spans="1:10" ht="15" thickBot="1">
      <c r="A10">
        <v>10020010007</v>
      </c>
      <c r="B10" t="s">
        <v>143</v>
      </c>
      <c r="C10" s="82">
        <v>50</v>
      </c>
      <c r="D10" s="82">
        <v>0.88200000000000001</v>
      </c>
      <c r="E10" s="21">
        <v>44.1</v>
      </c>
      <c r="G10" s="23" t="s">
        <v>1095</v>
      </c>
      <c r="H10" s="24" t="s">
        <v>1096</v>
      </c>
      <c r="I10" s="23" t="s">
        <v>1106</v>
      </c>
      <c r="J10" s="21"/>
    </row>
    <row r="11" spans="1:10" ht="15" thickTop="1">
      <c r="A11">
        <v>67409831</v>
      </c>
      <c r="B11" t="s">
        <v>83</v>
      </c>
      <c r="C11" s="82">
        <v>102</v>
      </c>
      <c r="D11" s="82">
        <v>0.79999999999999993</v>
      </c>
      <c r="E11" s="21">
        <v>81.599999999999994</v>
      </c>
      <c r="G11" s="25" t="s">
        <v>1099</v>
      </c>
      <c r="H11" s="25">
        <v>50</v>
      </c>
      <c r="I11" s="26">
        <f>Tabla104[QUINTALES]/H11</f>
        <v>0.73261804861111102</v>
      </c>
      <c r="J11" s="21"/>
    </row>
    <row r="12" spans="1:10">
      <c r="A12">
        <v>576003</v>
      </c>
      <c r="B12" t="s">
        <v>2084</v>
      </c>
      <c r="C12" s="82">
        <v>25</v>
      </c>
      <c r="D12" s="82">
        <v>0.11944444444444444</v>
      </c>
      <c r="E12" s="21">
        <v>2.9861111111111107</v>
      </c>
      <c r="J12" s="21"/>
    </row>
    <row r="13" spans="1:10" ht="15" thickBot="1">
      <c r="A13">
        <v>400000127</v>
      </c>
      <c r="B13" t="s">
        <v>585</v>
      </c>
      <c r="C13" s="82">
        <v>17</v>
      </c>
      <c r="D13" s="82">
        <v>1.5449999999999999</v>
      </c>
      <c r="E13" s="21">
        <v>26.265000000000001</v>
      </c>
      <c r="G13" s="23" t="s">
        <v>1095</v>
      </c>
      <c r="H13" s="24" t="s">
        <v>1096</v>
      </c>
      <c r="I13" s="23" t="s">
        <v>1106</v>
      </c>
      <c r="J13" s="21"/>
    </row>
    <row r="14" spans="1:10" ht="15" thickTop="1">
      <c r="A14">
        <v>50491102</v>
      </c>
      <c r="B14" t="s">
        <v>1898</v>
      </c>
      <c r="C14" s="82">
        <v>6</v>
      </c>
      <c r="D14" s="82">
        <v>2.65</v>
      </c>
      <c r="E14" s="21">
        <v>15.899999999999999</v>
      </c>
      <c r="G14" s="25" t="s">
        <v>1100</v>
      </c>
      <c r="H14" s="25">
        <v>50</v>
      </c>
      <c r="I14" s="26">
        <f>Tabla104[QUINTALES]/H14</f>
        <v>0.73261804861111102</v>
      </c>
      <c r="J14" s="21"/>
    </row>
    <row r="15" spans="1:10">
      <c r="A15">
        <v>620500</v>
      </c>
      <c r="B15" t="s">
        <v>2261</v>
      </c>
      <c r="C15" s="82">
        <v>2</v>
      </c>
      <c r="D15" s="82">
        <v>2</v>
      </c>
      <c r="E15" s="21">
        <v>4</v>
      </c>
    </row>
    <row r="16" spans="1:10" ht="15" thickBot="1">
      <c r="A16">
        <v>620678</v>
      </c>
      <c r="B16" t="s">
        <v>654</v>
      </c>
      <c r="C16" s="82">
        <v>100</v>
      </c>
      <c r="D16" s="82">
        <v>1</v>
      </c>
      <c r="E16" s="21">
        <v>100</v>
      </c>
      <c r="G16" s="23" t="s">
        <v>1095</v>
      </c>
      <c r="H16" s="24" t="s">
        <v>1096</v>
      </c>
      <c r="I16" s="23" t="s">
        <v>1106</v>
      </c>
    </row>
    <row r="17" spans="1:9" ht="15" thickTop="1">
      <c r="A17">
        <v>640683</v>
      </c>
      <c r="B17" t="s">
        <v>215</v>
      </c>
      <c r="C17" s="82">
        <v>1</v>
      </c>
      <c r="D17" s="82">
        <v>2.65</v>
      </c>
      <c r="E17" s="21">
        <v>2.65</v>
      </c>
      <c r="G17" s="25" t="s">
        <v>1101</v>
      </c>
      <c r="H17" s="25">
        <v>50</v>
      </c>
      <c r="I17" s="26">
        <f>Tabla104[QUINTALES]/H17</f>
        <v>0.73261804861111102</v>
      </c>
    </row>
    <row r="18" spans="1:9">
      <c r="A18">
        <v>400000158</v>
      </c>
      <c r="B18" t="s">
        <v>586</v>
      </c>
      <c r="C18" s="82">
        <v>2</v>
      </c>
      <c r="D18" s="82">
        <v>0.29166666666666669</v>
      </c>
      <c r="E18" s="21">
        <v>0.58333333333333337</v>
      </c>
    </row>
    <row r="19" spans="1:9" ht="15" thickBot="1">
      <c r="A19">
        <v>69584487</v>
      </c>
      <c r="B19" t="s">
        <v>2202</v>
      </c>
      <c r="C19" s="82">
        <v>6</v>
      </c>
      <c r="D19" s="82">
        <v>9.9166666666666667E-2</v>
      </c>
      <c r="E19" s="21">
        <v>0.59499999999999997</v>
      </c>
      <c r="G19" s="23" t="s">
        <v>1095</v>
      </c>
      <c r="H19" s="24" t="s">
        <v>1096</v>
      </c>
      <c r="I19" s="23" t="s">
        <v>1106</v>
      </c>
    </row>
    <row r="20" spans="1:9" ht="15" thickTop="1">
      <c r="A20">
        <v>400000160</v>
      </c>
      <c r="B20" t="s">
        <v>584</v>
      </c>
      <c r="C20" s="82">
        <v>5</v>
      </c>
      <c r="D20" s="82">
        <v>1.4166666666666667</v>
      </c>
      <c r="E20" s="21">
        <v>7.0833333333333339</v>
      </c>
      <c r="G20" s="25" t="s">
        <v>1102</v>
      </c>
      <c r="H20" s="25">
        <v>50</v>
      </c>
      <c r="I20" s="26">
        <f>Tabla104[QUINTALES]/H20</f>
        <v>0.73261804861111102</v>
      </c>
    </row>
    <row r="21" spans="1:9">
      <c r="A21">
        <v>69584482</v>
      </c>
      <c r="B21" t="s">
        <v>2253</v>
      </c>
      <c r="C21" s="82">
        <v>6</v>
      </c>
      <c r="D21" s="82">
        <v>9.9166666666666667E-2</v>
      </c>
      <c r="E21" s="21">
        <v>0.59499999999999997</v>
      </c>
    </row>
    <row r="22" spans="1:9" ht="15" thickBot="1">
      <c r="A22">
        <v>69584500</v>
      </c>
      <c r="B22" t="s">
        <v>2166</v>
      </c>
      <c r="C22" s="82">
        <v>138</v>
      </c>
      <c r="D22" s="82">
        <v>9.9124999999999991E-2</v>
      </c>
      <c r="E22" s="21">
        <v>13.679249999999998</v>
      </c>
      <c r="G22" s="23" t="s">
        <v>1095</v>
      </c>
      <c r="H22" s="24" t="s">
        <v>1096</v>
      </c>
      <c r="I22" s="23" t="s">
        <v>1106</v>
      </c>
    </row>
    <row r="23" spans="1:9" ht="15" thickTop="1">
      <c r="A23" t="s">
        <v>103</v>
      </c>
      <c r="B23" t="s">
        <v>1147</v>
      </c>
      <c r="C23" s="82">
        <v>720</v>
      </c>
      <c r="D23" s="82">
        <v>0.72916666666666663</v>
      </c>
      <c r="E23" s="21">
        <v>525</v>
      </c>
      <c r="G23" s="25" t="s">
        <v>1103</v>
      </c>
      <c r="H23" s="25">
        <v>30</v>
      </c>
      <c r="I23" s="26">
        <f>Tabla104[QUINTALES]/H23</f>
        <v>1.2210300810185184</v>
      </c>
    </row>
    <row r="24" spans="1:9">
      <c r="A24" t="s">
        <v>107</v>
      </c>
      <c r="B24" t="s">
        <v>106</v>
      </c>
      <c r="C24" s="82">
        <v>846</v>
      </c>
      <c r="D24" s="82">
        <v>0.44166666666666665</v>
      </c>
      <c r="E24" s="21">
        <v>373.65</v>
      </c>
    </row>
    <row r="25" spans="1:9">
      <c r="A25">
        <v>52480086</v>
      </c>
      <c r="B25" t="s">
        <v>1939</v>
      </c>
      <c r="C25" s="82">
        <v>5</v>
      </c>
      <c r="D25" s="82">
        <v>0.23805555555555558</v>
      </c>
      <c r="E25" s="21">
        <v>1.1902777777777778</v>
      </c>
    </row>
    <row r="26" spans="1:9" ht="15" thickBot="1">
      <c r="A26">
        <v>69780941</v>
      </c>
      <c r="B26" t="s">
        <v>1951</v>
      </c>
      <c r="C26" s="82">
        <v>792</v>
      </c>
      <c r="D26" s="82">
        <v>0.19833333333333333</v>
      </c>
      <c r="E26" s="21">
        <v>157.08000000000001</v>
      </c>
      <c r="G26" s="23" t="s">
        <v>1095</v>
      </c>
      <c r="H26" s="24" t="s">
        <v>1096</v>
      </c>
      <c r="I26" s="23" t="s">
        <v>1106</v>
      </c>
    </row>
    <row r="27" spans="1:9" ht="15" thickTop="1">
      <c r="A27">
        <v>69761870</v>
      </c>
      <c r="B27" t="s">
        <v>1972</v>
      </c>
      <c r="C27" s="82">
        <v>24</v>
      </c>
      <c r="D27" s="82">
        <v>0.19833333333333333</v>
      </c>
      <c r="E27" s="21">
        <v>4.76</v>
      </c>
      <c r="G27" s="25" t="s">
        <v>1104</v>
      </c>
      <c r="H27" s="25">
        <v>70</v>
      </c>
      <c r="I27" s="26">
        <f>Tabla104[QUINTALES]/H27</f>
        <v>0.5232986061507936</v>
      </c>
    </row>
    <row r="28" spans="1:9">
      <c r="A28">
        <v>69761861</v>
      </c>
      <c r="B28" t="s">
        <v>1987</v>
      </c>
      <c r="C28" s="82">
        <v>78</v>
      </c>
      <c r="D28" s="82">
        <v>0.19833333333333333</v>
      </c>
      <c r="E28" s="21">
        <v>15.47</v>
      </c>
    </row>
    <row r="29" spans="1:9" ht="15" thickBot="1">
      <c r="A29">
        <v>69761868</v>
      </c>
      <c r="B29" t="s">
        <v>2024</v>
      </c>
      <c r="C29" s="82">
        <v>301</v>
      </c>
      <c r="D29" s="82">
        <v>0.19843750000000002</v>
      </c>
      <c r="E29" s="21">
        <v>59.729687500000004</v>
      </c>
      <c r="G29" s="23" t="s">
        <v>1095</v>
      </c>
      <c r="H29" s="24" t="s">
        <v>1096</v>
      </c>
      <c r="I29" s="23" t="s">
        <v>1106</v>
      </c>
    </row>
    <row r="30" spans="1:9" ht="15" thickTop="1">
      <c r="A30">
        <v>69584479</v>
      </c>
      <c r="B30" t="s">
        <v>2085</v>
      </c>
      <c r="C30" s="82">
        <v>4</v>
      </c>
      <c r="D30" s="82">
        <v>0.82674999999999998</v>
      </c>
      <c r="E30" s="21">
        <v>3.3069999999999999</v>
      </c>
      <c r="G30" s="25" t="s">
        <v>1105</v>
      </c>
      <c r="H30" s="25">
        <v>70</v>
      </c>
      <c r="I30" s="26">
        <f>Tabla104[QUINTALES]/H30</f>
        <v>0.5232986061507936</v>
      </c>
    </row>
    <row r="31" spans="1:9">
      <c r="A31">
        <v>69678222</v>
      </c>
      <c r="B31" t="s">
        <v>2088</v>
      </c>
      <c r="C31" s="82">
        <v>4</v>
      </c>
      <c r="D31" s="82">
        <v>0.5541666666666667</v>
      </c>
      <c r="E31" s="21">
        <v>2.2166666666666668</v>
      </c>
    </row>
    <row r="32" spans="1:9">
      <c r="A32" t="s">
        <v>21</v>
      </c>
      <c r="B32" t="s">
        <v>20</v>
      </c>
      <c r="C32" s="82">
        <v>23</v>
      </c>
      <c r="D32" s="82">
        <v>0.8833333333333333</v>
      </c>
      <c r="E32" s="21">
        <v>20.316666666666666</v>
      </c>
    </row>
    <row r="33" spans="1:5">
      <c r="A33" t="s">
        <v>109</v>
      </c>
      <c r="B33" t="s">
        <v>108</v>
      </c>
      <c r="C33" s="82">
        <v>537</v>
      </c>
      <c r="D33" s="82">
        <v>0.44166666666666665</v>
      </c>
      <c r="E33" s="21">
        <v>237.17499999999998</v>
      </c>
    </row>
    <row r="34" spans="1:5">
      <c r="A34" t="s">
        <v>706</v>
      </c>
      <c r="B34" t="s">
        <v>705</v>
      </c>
      <c r="C34" s="82">
        <v>9</v>
      </c>
      <c r="D34" s="82">
        <v>0.70833333333333337</v>
      </c>
      <c r="E34" s="21">
        <v>6.375</v>
      </c>
    </row>
    <row r="35" spans="1:5">
      <c r="A35" t="s">
        <v>1525</v>
      </c>
      <c r="B35" t="s">
        <v>1524</v>
      </c>
      <c r="C35" s="82">
        <v>2</v>
      </c>
      <c r="D35" s="82">
        <v>0.9</v>
      </c>
      <c r="E35" s="21">
        <v>1.8</v>
      </c>
    </row>
    <row r="36" spans="1:5">
      <c r="A36" t="s">
        <v>529</v>
      </c>
      <c r="B36" t="s">
        <v>528</v>
      </c>
      <c r="C36" s="82">
        <v>254</v>
      </c>
      <c r="D36" s="82">
        <v>0.34375</v>
      </c>
      <c r="E36" s="21">
        <v>87.3125</v>
      </c>
    </row>
    <row r="37" spans="1:5">
      <c r="A37" t="s">
        <v>2228</v>
      </c>
      <c r="B37" t="s">
        <v>2227</v>
      </c>
      <c r="C37" s="82">
        <v>547</v>
      </c>
      <c r="D37" s="82">
        <v>0.33958333333333335</v>
      </c>
      <c r="E37" s="21">
        <v>185.75208333333333</v>
      </c>
    </row>
    <row r="38" spans="1:5">
      <c r="A38" t="s">
        <v>1716</v>
      </c>
      <c r="B38" t="s">
        <v>1715</v>
      </c>
      <c r="C38" s="82">
        <v>41</v>
      </c>
      <c r="D38" s="82">
        <v>0.25</v>
      </c>
      <c r="E38" s="21">
        <v>10.25</v>
      </c>
    </row>
    <row r="39" spans="1:5">
      <c r="A39">
        <v>69678219</v>
      </c>
      <c r="B39" t="s">
        <v>2240</v>
      </c>
      <c r="C39" s="82">
        <v>2</v>
      </c>
      <c r="D39" s="82">
        <v>0.55541666666666667</v>
      </c>
      <c r="E39" s="21">
        <v>1.1108333333333333</v>
      </c>
    </row>
    <row r="40" spans="1:5">
      <c r="A40" t="s">
        <v>119</v>
      </c>
      <c r="B40" t="s">
        <v>118</v>
      </c>
      <c r="C40" s="82">
        <v>30</v>
      </c>
      <c r="D40" s="82">
        <v>0.875</v>
      </c>
      <c r="E40" s="21">
        <v>26.25</v>
      </c>
    </row>
    <row r="41" spans="1:5">
      <c r="A41" t="s">
        <v>671</v>
      </c>
      <c r="B41" t="s">
        <v>670</v>
      </c>
      <c r="C41" s="82">
        <v>42</v>
      </c>
      <c r="D41" s="82">
        <v>0.25</v>
      </c>
      <c r="E41" s="21">
        <v>10.5</v>
      </c>
    </row>
    <row r="42" spans="1:5">
      <c r="A42" t="s">
        <v>5</v>
      </c>
      <c r="B42" t="s">
        <v>4</v>
      </c>
      <c r="C42" s="82">
        <v>4</v>
      </c>
      <c r="D42" s="82">
        <v>1.1041666666666667</v>
      </c>
      <c r="E42" s="21">
        <v>4.416666666666667</v>
      </c>
    </row>
    <row r="43" spans="1:5">
      <c r="A43" t="s">
        <v>533</v>
      </c>
      <c r="B43" t="s">
        <v>532</v>
      </c>
      <c r="C43" s="82">
        <v>66</v>
      </c>
      <c r="D43" s="82">
        <v>0.5</v>
      </c>
      <c r="E43" s="21">
        <v>33</v>
      </c>
    </row>
    <row r="44" spans="1:5">
      <c r="A44" t="s">
        <v>535</v>
      </c>
      <c r="B44" t="s">
        <v>534</v>
      </c>
      <c r="C44" s="82">
        <v>42</v>
      </c>
      <c r="D44" s="82">
        <v>1.75</v>
      </c>
      <c r="E44" s="21">
        <v>73.5</v>
      </c>
    </row>
    <row r="45" spans="1:5">
      <c r="A45" t="s">
        <v>531</v>
      </c>
      <c r="B45" t="s">
        <v>530</v>
      </c>
      <c r="C45" s="82">
        <v>30</v>
      </c>
      <c r="D45" s="82">
        <v>1.8125</v>
      </c>
      <c r="E45" s="21">
        <v>54.375</v>
      </c>
    </row>
    <row r="46" spans="1:5">
      <c r="A46" t="s">
        <v>2188</v>
      </c>
      <c r="B46" t="s">
        <v>2187</v>
      </c>
      <c r="C46" s="82">
        <v>5</v>
      </c>
      <c r="D46" s="82">
        <v>0.52916666666666667</v>
      </c>
      <c r="E46" s="21">
        <v>2.6458333333333335</v>
      </c>
    </row>
    <row r="47" spans="1:5">
      <c r="A47" t="s">
        <v>113</v>
      </c>
      <c r="B47" t="s">
        <v>112</v>
      </c>
      <c r="C47" s="82">
        <v>40</v>
      </c>
      <c r="D47" s="82">
        <v>0.9375</v>
      </c>
      <c r="E47" s="21">
        <v>37.5</v>
      </c>
    </row>
    <row r="48" spans="1:5">
      <c r="A48" t="s">
        <v>1081</v>
      </c>
      <c r="B48" t="s">
        <v>1080</v>
      </c>
      <c r="C48" s="82">
        <v>1</v>
      </c>
      <c r="D48" s="82">
        <v>2.1166666666666667</v>
      </c>
      <c r="E48" s="21">
        <v>2.1166666666666667</v>
      </c>
    </row>
    <row r="49" spans="1:5">
      <c r="A49" t="s">
        <v>1289</v>
      </c>
      <c r="B49" t="s">
        <v>1431</v>
      </c>
      <c r="C49" s="82">
        <v>12</v>
      </c>
      <c r="D49" s="82">
        <v>0.36249999999999999</v>
      </c>
      <c r="E49" s="21">
        <v>4.3499999999999996</v>
      </c>
    </row>
    <row r="50" spans="1:5">
      <c r="A50" t="s">
        <v>3</v>
      </c>
      <c r="B50" t="s">
        <v>2</v>
      </c>
      <c r="C50" s="82">
        <v>18</v>
      </c>
      <c r="D50" s="82">
        <v>1.1041666666666667</v>
      </c>
      <c r="E50" s="21">
        <v>19.875</v>
      </c>
    </row>
    <row r="51" spans="1:5">
      <c r="A51" t="s">
        <v>1261</v>
      </c>
      <c r="B51" t="s">
        <v>1513</v>
      </c>
      <c r="C51" s="82">
        <v>6</v>
      </c>
      <c r="D51" s="82">
        <v>0.36249999999999999</v>
      </c>
      <c r="E51" s="21">
        <v>2.1749999999999998</v>
      </c>
    </row>
    <row r="52" spans="1:5">
      <c r="A52" t="s">
        <v>115</v>
      </c>
      <c r="B52" t="s">
        <v>114</v>
      </c>
      <c r="C52" s="82">
        <v>42</v>
      </c>
      <c r="D52" s="82">
        <v>0.65625</v>
      </c>
      <c r="E52" s="21">
        <v>27.5625</v>
      </c>
    </row>
    <row r="53" spans="1:5">
      <c r="A53" t="s">
        <v>1277</v>
      </c>
      <c r="B53" t="s">
        <v>1276</v>
      </c>
      <c r="C53" s="82">
        <v>3</v>
      </c>
      <c r="D53" s="82">
        <v>0.22041666666666668</v>
      </c>
      <c r="E53" s="21">
        <v>0.66125</v>
      </c>
    </row>
    <row r="54" spans="1:5">
      <c r="A54" t="s">
        <v>1766</v>
      </c>
      <c r="B54" t="s">
        <v>1765</v>
      </c>
      <c r="C54" s="82">
        <v>8</v>
      </c>
      <c r="D54" s="82">
        <v>0.87035714285714294</v>
      </c>
      <c r="E54" s="21">
        <v>6.9628571428571435</v>
      </c>
    </row>
    <row r="55" spans="1:5">
      <c r="A55" t="s">
        <v>1722</v>
      </c>
      <c r="B55" t="s">
        <v>1721</v>
      </c>
      <c r="C55" s="82">
        <v>5</v>
      </c>
      <c r="D55" s="82">
        <v>0.6</v>
      </c>
      <c r="E55" s="21">
        <v>3</v>
      </c>
    </row>
    <row r="56" spans="1:5">
      <c r="A56" t="s">
        <v>2050</v>
      </c>
      <c r="B56" t="s">
        <v>2049</v>
      </c>
      <c r="C56" s="82">
        <v>12</v>
      </c>
      <c r="D56" s="82">
        <v>0.12125000000000001</v>
      </c>
      <c r="E56" s="21">
        <v>1.4550000000000001</v>
      </c>
    </row>
    <row r="57" spans="1:5">
      <c r="A57" t="s">
        <v>2046</v>
      </c>
      <c r="B57" t="s">
        <v>2045</v>
      </c>
      <c r="C57" s="82">
        <v>12</v>
      </c>
      <c r="D57" s="82">
        <v>0.12125000000000001</v>
      </c>
      <c r="E57" s="21">
        <v>1.4550000000000001</v>
      </c>
    </row>
    <row r="58" spans="1:5">
      <c r="A58" t="s">
        <v>1269</v>
      </c>
      <c r="B58" t="s">
        <v>1647</v>
      </c>
      <c r="C58" s="82">
        <v>19</v>
      </c>
      <c r="D58" s="82">
        <v>0.22041666666666668</v>
      </c>
      <c r="E58" s="21">
        <v>4.1879166666666672</v>
      </c>
    </row>
    <row r="59" spans="1:5">
      <c r="A59" t="s">
        <v>31</v>
      </c>
      <c r="B59" t="s">
        <v>30</v>
      </c>
      <c r="C59" s="82">
        <v>24</v>
      </c>
      <c r="D59" s="82">
        <v>0.11</v>
      </c>
      <c r="E59" s="21">
        <v>2.64</v>
      </c>
    </row>
    <row r="60" spans="1:5">
      <c r="A60" t="s">
        <v>1026</v>
      </c>
      <c r="B60" t="s">
        <v>1025</v>
      </c>
      <c r="C60" s="82">
        <v>3</v>
      </c>
      <c r="D60" s="82">
        <v>0.9</v>
      </c>
      <c r="E60" s="21">
        <v>2.7</v>
      </c>
    </row>
    <row r="61" spans="1:5">
      <c r="A61" t="s">
        <v>1355</v>
      </c>
      <c r="B61" t="s">
        <v>1354</v>
      </c>
      <c r="C61" s="82">
        <v>3</v>
      </c>
      <c r="D61" s="82">
        <v>0.9</v>
      </c>
      <c r="E61" s="21">
        <v>2.7</v>
      </c>
    </row>
    <row r="62" spans="1:5">
      <c r="A62" t="s">
        <v>1477</v>
      </c>
      <c r="B62" t="s">
        <v>1476</v>
      </c>
      <c r="C62" s="82">
        <v>2</v>
      </c>
      <c r="D62" s="82">
        <v>0.9</v>
      </c>
      <c r="E62" s="21">
        <v>1.8</v>
      </c>
    </row>
    <row r="63" spans="1:5">
      <c r="A63" t="s">
        <v>1475</v>
      </c>
      <c r="B63" t="s">
        <v>1474</v>
      </c>
      <c r="C63" s="82">
        <v>5</v>
      </c>
      <c r="D63" s="82">
        <v>0.9</v>
      </c>
      <c r="E63" s="21">
        <v>4.5</v>
      </c>
    </row>
    <row r="64" spans="1:5">
      <c r="A64" t="s">
        <v>1674</v>
      </c>
      <c r="B64" t="s">
        <v>1673</v>
      </c>
      <c r="C64" s="82">
        <v>8</v>
      </c>
      <c r="D64" s="82">
        <v>0.9</v>
      </c>
      <c r="E64" s="21">
        <v>7.2</v>
      </c>
    </row>
    <row r="65" spans="1:5">
      <c r="A65" t="s">
        <v>2136</v>
      </c>
      <c r="B65" t="s">
        <v>2135</v>
      </c>
      <c r="C65" s="82">
        <v>4</v>
      </c>
      <c r="D65" s="82">
        <v>0.82750000000000001</v>
      </c>
      <c r="E65" s="21">
        <v>3.31</v>
      </c>
    </row>
    <row r="66" spans="1:5">
      <c r="A66" t="s">
        <v>2087</v>
      </c>
      <c r="B66" t="s">
        <v>2086</v>
      </c>
      <c r="C66" s="82">
        <v>4</v>
      </c>
      <c r="D66" s="82">
        <v>0.82750000000000001</v>
      </c>
      <c r="E66" s="21">
        <v>3.31</v>
      </c>
    </row>
    <row r="67" spans="1:5">
      <c r="A67" t="s">
        <v>2150</v>
      </c>
      <c r="B67" t="s">
        <v>2149</v>
      </c>
      <c r="C67" s="82">
        <v>1</v>
      </c>
      <c r="D67" s="82">
        <v>3</v>
      </c>
      <c r="E67" s="21">
        <v>3</v>
      </c>
    </row>
    <row r="68" spans="1:5">
      <c r="A68" t="s">
        <v>480</v>
      </c>
      <c r="B68" t="s">
        <v>479</v>
      </c>
      <c r="C68" s="82">
        <v>12</v>
      </c>
      <c r="D68" s="82">
        <v>0.55208333333333337</v>
      </c>
      <c r="E68" s="21">
        <v>6.625</v>
      </c>
    </row>
    <row r="69" spans="1:5">
      <c r="A69" t="s">
        <v>100</v>
      </c>
      <c r="B69" t="s">
        <v>99</v>
      </c>
      <c r="C69" s="82">
        <v>12</v>
      </c>
      <c r="D69" s="82">
        <v>0.55208333333333337</v>
      </c>
      <c r="E69" s="21">
        <v>6.625</v>
      </c>
    </row>
    <row r="70" spans="1:5">
      <c r="A70" t="s">
        <v>1694</v>
      </c>
      <c r="B70" t="s">
        <v>1693</v>
      </c>
      <c r="C70" s="82">
        <v>9</v>
      </c>
      <c r="D70" s="82">
        <v>0.6</v>
      </c>
      <c r="E70" s="21">
        <v>5.3999999999999995</v>
      </c>
    </row>
    <row r="71" spans="1:5">
      <c r="A71" t="s">
        <v>1740</v>
      </c>
      <c r="B71" t="s">
        <v>1739</v>
      </c>
      <c r="C71" s="82">
        <v>2</v>
      </c>
      <c r="D71" s="82">
        <v>0.6</v>
      </c>
      <c r="E71" s="21">
        <v>1.2</v>
      </c>
    </row>
    <row r="72" spans="1:5">
      <c r="A72" t="s">
        <v>1706</v>
      </c>
      <c r="B72" t="s">
        <v>1705</v>
      </c>
      <c r="C72" s="82">
        <v>5</v>
      </c>
      <c r="D72" s="82">
        <v>0.6</v>
      </c>
      <c r="E72" s="21">
        <v>3</v>
      </c>
    </row>
    <row r="73" spans="1:5">
      <c r="A73" t="s">
        <v>1199</v>
      </c>
      <c r="B73" t="s">
        <v>301</v>
      </c>
      <c r="C73" s="82">
        <v>2</v>
      </c>
      <c r="D73" s="82">
        <v>0.9277777777777777</v>
      </c>
      <c r="E73" s="21">
        <v>1.8555555555555554</v>
      </c>
    </row>
    <row r="74" spans="1:5">
      <c r="A74" t="s">
        <v>1287</v>
      </c>
      <c r="B74" t="s">
        <v>1286</v>
      </c>
      <c r="C74" s="82">
        <v>11</v>
      </c>
      <c r="D74" s="82">
        <v>0.57333333333333336</v>
      </c>
      <c r="E74" s="21">
        <v>6.3066666666666666</v>
      </c>
    </row>
    <row r="75" spans="1:5">
      <c r="A75" t="s">
        <v>662</v>
      </c>
      <c r="B75" t="s">
        <v>2171</v>
      </c>
      <c r="C75" s="82">
        <v>12</v>
      </c>
      <c r="D75" s="82">
        <v>8.3333333333333329E-2</v>
      </c>
      <c r="E75" s="21">
        <v>1</v>
      </c>
    </row>
    <row r="76" spans="1:5">
      <c r="A76" t="s">
        <v>55</v>
      </c>
      <c r="B76" t="s">
        <v>54</v>
      </c>
      <c r="C76" s="82">
        <v>1</v>
      </c>
      <c r="D76" s="82">
        <v>0.34375</v>
      </c>
      <c r="E76" s="21">
        <v>0.34375</v>
      </c>
    </row>
    <row r="77" spans="1:5">
      <c r="A77" t="s">
        <v>401</v>
      </c>
      <c r="B77" t="s">
        <v>400</v>
      </c>
      <c r="C77" s="82">
        <v>1</v>
      </c>
      <c r="D77" s="82">
        <v>2.1166666666666667</v>
      </c>
      <c r="E77" s="21">
        <v>2.1166666666666667</v>
      </c>
    </row>
    <row r="78" spans="1:5">
      <c r="A78" t="s">
        <v>339</v>
      </c>
      <c r="B78" t="s">
        <v>338</v>
      </c>
      <c r="C78" s="82">
        <v>18</v>
      </c>
      <c r="D78" s="82">
        <v>1.1041666666666667</v>
      </c>
      <c r="E78" s="21">
        <v>19.875</v>
      </c>
    </row>
    <row r="79" spans="1:5">
      <c r="A79" t="s">
        <v>343</v>
      </c>
      <c r="B79" t="s">
        <v>342</v>
      </c>
      <c r="C79" s="82">
        <v>12</v>
      </c>
      <c r="D79" s="82">
        <v>1.1041666666666667</v>
      </c>
      <c r="E79" s="21">
        <v>13.25</v>
      </c>
    </row>
    <row r="80" spans="1:5">
      <c r="A80" t="s">
        <v>1718</v>
      </c>
      <c r="B80" t="s">
        <v>1717</v>
      </c>
      <c r="C80" s="82">
        <v>2</v>
      </c>
      <c r="D80" s="82">
        <v>0.6</v>
      </c>
      <c r="E80" s="21">
        <v>1.2</v>
      </c>
    </row>
    <row r="81" spans="1:5">
      <c r="A81" t="s">
        <v>1148</v>
      </c>
      <c r="B81" t="s">
        <v>1512</v>
      </c>
      <c r="C81" s="82">
        <v>25</v>
      </c>
      <c r="D81" s="82">
        <v>0.88</v>
      </c>
      <c r="E81" s="21">
        <v>22</v>
      </c>
    </row>
    <row r="82" spans="1:5">
      <c r="A82" t="s">
        <v>1347</v>
      </c>
      <c r="B82" t="s">
        <v>1346</v>
      </c>
      <c r="C82" s="82">
        <v>4</v>
      </c>
      <c r="D82" s="82">
        <v>0.9</v>
      </c>
      <c r="E82" s="21">
        <v>3.6</v>
      </c>
    </row>
    <row r="83" spans="1:5">
      <c r="A83" t="s">
        <v>2090</v>
      </c>
      <c r="B83" t="s">
        <v>2089</v>
      </c>
      <c r="C83" s="82">
        <v>5</v>
      </c>
      <c r="D83" s="82">
        <v>100</v>
      </c>
      <c r="E83" s="21">
        <v>500</v>
      </c>
    </row>
    <row r="84" spans="1:5">
      <c r="A84" t="s">
        <v>1265</v>
      </c>
      <c r="B84" t="s">
        <v>1264</v>
      </c>
      <c r="C84" s="82">
        <v>83</v>
      </c>
      <c r="D84" s="82">
        <v>0.22041666666666668</v>
      </c>
      <c r="E84" s="21">
        <v>18.294583333333335</v>
      </c>
    </row>
    <row r="85" spans="1:5">
      <c r="A85" t="s">
        <v>708</v>
      </c>
      <c r="B85" t="s">
        <v>2252</v>
      </c>
      <c r="C85" s="82">
        <v>3</v>
      </c>
      <c r="D85" s="82">
        <v>4.1666666666666664E-2</v>
      </c>
      <c r="E85" s="21">
        <v>0.125</v>
      </c>
    </row>
    <row r="86" spans="1:5">
      <c r="A86" t="s">
        <v>2246</v>
      </c>
      <c r="B86" t="s">
        <v>2245</v>
      </c>
      <c r="C86" s="82">
        <v>3</v>
      </c>
      <c r="D86" s="82">
        <v>0.1</v>
      </c>
      <c r="E86" s="21">
        <v>0.30000000000000004</v>
      </c>
    </row>
    <row r="87" spans="1:5">
      <c r="A87" t="s">
        <v>492</v>
      </c>
      <c r="B87" t="s">
        <v>491</v>
      </c>
      <c r="C87" s="82">
        <v>6</v>
      </c>
      <c r="D87" s="82">
        <v>0.82708333333333339</v>
      </c>
      <c r="E87" s="21">
        <v>4.9625000000000004</v>
      </c>
    </row>
    <row r="88" spans="1:5">
      <c r="A88" t="s">
        <v>345</v>
      </c>
      <c r="B88" t="s">
        <v>344</v>
      </c>
      <c r="C88" s="82">
        <v>1</v>
      </c>
      <c r="D88" s="82">
        <v>2.65</v>
      </c>
      <c r="E88" s="21">
        <v>2.65</v>
      </c>
    </row>
    <row r="89" spans="1:5">
      <c r="A89" t="s">
        <v>1696</v>
      </c>
      <c r="B89" t="s">
        <v>1695</v>
      </c>
      <c r="C89" s="82">
        <v>2</v>
      </c>
      <c r="D89" s="82">
        <v>0.6</v>
      </c>
      <c r="E89" s="21">
        <v>1.2</v>
      </c>
    </row>
    <row r="90" spans="1:5">
      <c r="A90" t="s">
        <v>1749</v>
      </c>
      <c r="B90" t="s">
        <v>2008</v>
      </c>
      <c r="C90" s="82">
        <v>3</v>
      </c>
      <c r="D90" s="82">
        <v>0.71375</v>
      </c>
      <c r="E90" s="21">
        <v>2.1412499999999999</v>
      </c>
    </row>
    <row r="91" spans="1:5">
      <c r="A91" t="s">
        <v>1309</v>
      </c>
      <c r="B91" t="s">
        <v>1308</v>
      </c>
      <c r="C91" s="82">
        <v>2</v>
      </c>
      <c r="D91" s="82">
        <v>1.4950000000000001</v>
      </c>
      <c r="E91" s="21">
        <v>2.99</v>
      </c>
    </row>
    <row r="92" spans="1:5">
      <c r="A92" t="s">
        <v>1259</v>
      </c>
      <c r="B92" t="s">
        <v>1258</v>
      </c>
      <c r="C92" s="82">
        <v>6</v>
      </c>
      <c r="D92" s="82">
        <v>0.44083333333333335</v>
      </c>
      <c r="E92" s="21">
        <v>2.645</v>
      </c>
    </row>
    <row r="93" spans="1:5">
      <c r="A93" t="s">
        <v>1283</v>
      </c>
      <c r="B93" t="s">
        <v>1282</v>
      </c>
      <c r="C93" s="82">
        <v>10</v>
      </c>
      <c r="D93" s="82">
        <v>0.57333333333333336</v>
      </c>
      <c r="E93" s="21">
        <v>5.7333333333333334</v>
      </c>
    </row>
    <row r="94" spans="1:5">
      <c r="A94" t="s">
        <v>1291</v>
      </c>
      <c r="B94" t="s">
        <v>1290</v>
      </c>
      <c r="C94" s="82">
        <v>6</v>
      </c>
      <c r="D94" s="82">
        <v>0.22041666666666668</v>
      </c>
      <c r="E94" s="21">
        <v>1.3225</v>
      </c>
    </row>
    <row r="95" spans="1:5">
      <c r="A95" t="s">
        <v>1353</v>
      </c>
      <c r="B95" t="s">
        <v>1352</v>
      </c>
      <c r="C95" s="82">
        <v>24</v>
      </c>
      <c r="D95" s="82">
        <v>0.5</v>
      </c>
      <c r="E95" s="21">
        <v>12</v>
      </c>
    </row>
    <row r="96" spans="1:5">
      <c r="A96" t="s">
        <v>2144</v>
      </c>
      <c r="B96" t="s">
        <v>2143</v>
      </c>
      <c r="C96" s="82">
        <v>4</v>
      </c>
      <c r="D96" s="82">
        <v>0.82750000000000001</v>
      </c>
      <c r="E96" s="21">
        <v>3.31</v>
      </c>
    </row>
    <row r="97" spans="1:5">
      <c r="A97" t="s">
        <v>2244</v>
      </c>
      <c r="B97" t="s">
        <v>2243</v>
      </c>
      <c r="C97" s="82">
        <v>1</v>
      </c>
      <c r="D97" s="82">
        <v>0.22</v>
      </c>
      <c r="E97" s="21">
        <v>0.22</v>
      </c>
    </row>
    <row r="98" spans="1:5">
      <c r="A98" t="s">
        <v>94</v>
      </c>
      <c r="B98" t="s">
        <v>93</v>
      </c>
      <c r="C98" s="82">
        <v>6</v>
      </c>
      <c r="D98" s="82">
        <v>0.375</v>
      </c>
      <c r="E98" s="21">
        <v>2.25</v>
      </c>
    </row>
    <row r="99" spans="1:5">
      <c r="A99" t="s">
        <v>96</v>
      </c>
      <c r="B99" t="s">
        <v>95</v>
      </c>
      <c r="C99" s="82">
        <v>24</v>
      </c>
      <c r="D99" s="82">
        <v>0.25</v>
      </c>
      <c r="E99" s="21">
        <v>6</v>
      </c>
    </row>
    <row r="100" spans="1:5">
      <c r="A100" t="s">
        <v>425</v>
      </c>
      <c r="B100" t="s">
        <v>424</v>
      </c>
      <c r="C100" s="82">
        <v>2</v>
      </c>
      <c r="D100" s="82">
        <v>8.8888888888888892E-2</v>
      </c>
      <c r="E100" s="21">
        <v>0.17777777777777778</v>
      </c>
    </row>
    <row r="101" spans="1:5">
      <c r="A101" t="s">
        <v>403</v>
      </c>
      <c r="B101" t="s">
        <v>402</v>
      </c>
      <c r="C101" s="82">
        <v>1</v>
      </c>
      <c r="D101" s="82">
        <v>2.1166666666666667</v>
      </c>
      <c r="E101" s="21">
        <v>2.1166666666666667</v>
      </c>
    </row>
    <row r="102" spans="1:5">
      <c r="A102" t="s">
        <v>431</v>
      </c>
      <c r="B102" t="s">
        <v>430</v>
      </c>
      <c r="C102" s="82">
        <v>4</v>
      </c>
      <c r="D102" s="82">
        <v>2.1166666666666667</v>
      </c>
      <c r="E102" s="21">
        <v>8.4666666666666668</v>
      </c>
    </row>
    <row r="103" spans="1:5">
      <c r="A103" t="s">
        <v>429</v>
      </c>
      <c r="B103" t="s">
        <v>428</v>
      </c>
      <c r="C103" s="82">
        <v>1</v>
      </c>
      <c r="D103" s="82">
        <v>2.1166666666666667</v>
      </c>
      <c r="E103" s="21">
        <v>2.1166666666666667</v>
      </c>
    </row>
    <row r="104" spans="1:5">
      <c r="A104" t="s">
        <v>1933</v>
      </c>
      <c r="B104" t="s">
        <v>1934</v>
      </c>
      <c r="C104" s="82">
        <v>1</v>
      </c>
      <c r="D104" s="82">
        <v>0.35625000000000001</v>
      </c>
      <c r="E104" s="21">
        <v>0.35625000000000001</v>
      </c>
    </row>
    <row r="105" spans="1:5">
      <c r="A105" t="s">
        <v>1349</v>
      </c>
      <c r="B105" t="s">
        <v>1348</v>
      </c>
      <c r="C105" s="82">
        <v>2</v>
      </c>
      <c r="D105" s="82">
        <v>0.9</v>
      </c>
      <c r="E105" s="21">
        <v>1.8</v>
      </c>
    </row>
    <row r="106" spans="1:5">
      <c r="A106" t="s">
        <v>1285</v>
      </c>
      <c r="B106" t="s">
        <v>1284</v>
      </c>
      <c r="C106" s="82">
        <v>4</v>
      </c>
      <c r="D106" s="82">
        <v>0.57333333333333336</v>
      </c>
      <c r="E106" s="21">
        <v>2.2933333333333334</v>
      </c>
    </row>
    <row r="107" spans="1:5">
      <c r="A107" t="s">
        <v>1428</v>
      </c>
      <c r="B107" t="s">
        <v>1427</v>
      </c>
      <c r="C107" s="82">
        <v>12</v>
      </c>
      <c r="D107" s="82">
        <v>0.44083333333333335</v>
      </c>
      <c r="E107" s="21">
        <v>5.29</v>
      </c>
    </row>
    <row r="108" spans="1:5">
      <c r="A108" t="s">
        <v>1273</v>
      </c>
      <c r="B108" t="s">
        <v>1272</v>
      </c>
      <c r="C108" s="82">
        <v>18</v>
      </c>
      <c r="D108" s="82">
        <v>0.79375000000000007</v>
      </c>
      <c r="E108" s="21">
        <v>14.287500000000001</v>
      </c>
    </row>
    <row r="109" spans="1:5">
      <c r="A109" t="s">
        <v>1263</v>
      </c>
      <c r="B109" t="s">
        <v>1262</v>
      </c>
      <c r="C109" s="82">
        <v>12</v>
      </c>
      <c r="D109" s="82">
        <v>1.6600000000000001</v>
      </c>
      <c r="E109" s="21">
        <v>19.920000000000002</v>
      </c>
    </row>
    <row r="110" spans="1:5">
      <c r="A110" t="s">
        <v>1819</v>
      </c>
      <c r="B110" t="s">
        <v>1818</v>
      </c>
      <c r="C110" s="82">
        <v>8</v>
      </c>
      <c r="D110" s="82">
        <v>0.87035714285714294</v>
      </c>
      <c r="E110" s="21">
        <v>6.9628571428571435</v>
      </c>
    </row>
    <row r="111" spans="1:5">
      <c r="A111" t="s">
        <v>1764</v>
      </c>
      <c r="B111" t="s">
        <v>1763</v>
      </c>
      <c r="C111" s="82">
        <v>8</v>
      </c>
      <c r="D111" s="82">
        <v>0.87035714285714294</v>
      </c>
      <c r="E111" s="21">
        <v>6.9628571428571435</v>
      </c>
    </row>
    <row r="112" spans="1:5">
      <c r="A112" t="s">
        <v>1841</v>
      </c>
      <c r="B112" t="s">
        <v>1840</v>
      </c>
      <c r="C112" s="82">
        <v>6</v>
      </c>
      <c r="D112" s="82">
        <v>0.88178571428571428</v>
      </c>
      <c r="E112" s="21">
        <v>5.2907142857142855</v>
      </c>
    </row>
    <row r="113" spans="1:5">
      <c r="A113" t="s">
        <v>1839</v>
      </c>
      <c r="B113" t="s">
        <v>1838</v>
      </c>
      <c r="C113" s="82">
        <v>8</v>
      </c>
      <c r="D113" s="82">
        <v>0.88178571428571428</v>
      </c>
      <c r="E113" s="21">
        <v>7.0542857142857143</v>
      </c>
    </row>
    <row r="114" spans="1:5">
      <c r="A114" t="s">
        <v>1823</v>
      </c>
      <c r="B114" t="s">
        <v>1822</v>
      </c>
      <c r="C114" s="82">
        <v>6</v>
      </c>
      <c r="D114" s="82">
        <v>0.88107142857142862</v>
      </c>
      <c r="E114" s="21">
        <v>5.2864285714285719</v>
      </c>
    </row>
    <row r="115" spans="1:5">
      <c r="A115" t="s">
        <v>2198</v>
      </c>
      <c r="B115" t="s">
        <v>2197</v>
      </c>
      <c r="C115" s="82">
        <v>3</v>
      </c>
      <c r="D115" s="82">
        <v>0.15</v>
      </c>
      <c r="E115" s="21">
        <v>0.44999999999999996</v>
      </c>
    </row>
    <row r="116" spans="1:5">
      <c r="A116" t="s">
        <v>1821</v>
      </c>
      <c r="B116" t="s">
        <v>1820</v>
      </c>
      <c r="C116" s="82">
        <v>12</v>
      </c>
      <c r="D116" s="82">
        <v>1.3216666666666665</v>
      </c>
      <c r="E116" s="21">
        <v>15.86</v>
      </c>
    </row>
    <row r="117" spans="1:5">
      <c r="A117" t="s">
        <v>2068</v>
      </c>
      <c r="B117" t="s">
        <v>2067</v>
      </c>
      <c r="C117" s="82">
        <v>8</v>
      </c>
      <c r="D117" s="82">
        <v>1.1008333333333333</v>
      </c>
      <c r="E117" s="21">
        <v>8.8066666666666666</v>
      </c>
    </row>
    <row r="118" spans="1:5">
      <c r="A118" t="s">
        <v>1659</v>
      </c>
      <c r="B118" t="s">
        <v>2184</v>
      </c>
      <c r="C118" s="82">
        <v>12</v>
      </c>
      <c r="D118" s="82">
        <v>1.1016666666666668</v>
      </c>
      <c r="E118" s="21">
        <v>13.220000000000002</v>
      </c>
    </row>
    <row r="119" spans="1:5">
      <c r="A119" t="s">
        <v>1657</v>
      </c>
      <c r="B119" t="s">
        <v>2167</v>
      </c>
      <c r="C119" s="82">
        <v>24</v>
      </c>
      <c r="D119" s="82">
        <v>1.1016666666666668</v>
      </c>
      <c r="E119" s="21">
        <v>26.440000000000005</v>
      </c>
    </row>
    <row r="120" spans="1:5">
      <c r="A120" t="s">
        <v>13</v>
      </c>
      <c r="B120" t="s">
        <v>12</v>
      </c>
      <c r="C120" s="82">
        <v>22</v>
      </c>
      <c r="D120" s="82">
        <v>3.1091666666666669</v>
      </c>
      <c r="E120" s="21">
        <v>68.401666666666671</v>
      </c>
    </row>
    <row r="121" spans="1:5">
      <c r="A121" t="s">
        <v>490</v>
      </c>
      <c r="B121" t="s">
        <v>2277</v>
      </c>
      <c r="C121" s="82">
        <v>1</v>
      </c>
      <c r="D121" s="82">
        <v>1.7125000000000001</v>
      </c>
      <c r="E121" s="21">
        <v>1.7125000000000001</v>
      </c>
    </row>
    <row r="122" spans="1:5">
      <c r="A122" t="s">
        <v>504</v>
      </c>
      <c r="B122" t="s">
        <v>503</v>
      </c>
      <c r="C122" s="82">
        <v>24</v>
      </c>
      <c r="D122" s="82">
        <v>2.2083333333333335</v>
      </c>
      <c r="E122" s="21">
        <v>53</v>
      </c>
    </row>
    <row r="123" spans="1:5">
      <c r="A123" t="s">
        <v>512</v>
      </c>
      <c r="B123" t="s">
        <v>2236</v>
      </c>
      <c r="C123" s="82">
        <v>36</v>
      </c>
      <c r="D123" s="82">
        <v>0.72916666666666663</v>
      </c>
      <c r="E123" s="21">
        <v>26.25</v>
      </c>
    </row>
    <row r="124" spans="1:5">
      <c r="A124" t="s">
        <v>519</v>
      </c>
      <c r="B124" t="s">
        <v>518</v>
      </c>
      <c r="C124" s="82">
        <v>6</v>
      </c>
      <c r="D124" s="82">
        <v>0.5</v>
      </c>
      <c r="E124" s="21">
        <v>3</v>
      </c>
    </row>
    <row r="125" spans="1:5">
      <c r="A125" t="s">
        <v>92</v>
      </c>
      <c r="B125" t="s">
        <v>91</v>
      </c>
      <c r="C125" s="82">
        <v>6</v>
      </c>
      <c r="D125" s="82">
        <v>5.5</v>
      </c>
      <c r="E125" s="21">
        <v>33</v>
      </c>
    </row>
    <row r="126" spans="1:5">
      <c r="A126" t="s">
        <v>468</v>
      </c>
      <c r="B126" t="s">
        <v>467</v>
      </c>
      <c r="C126" s="82">
        <v>6</v>
      </c>
      <c r="D126" s="82">
        <v>5.5</v>
      </c>
      <c r="E126" s="21">
        <v>33</v>
      </c>
    </row>
    <row r="127" spans="1:5">
      <c r="A127" t="s">
        <v>347</v>
      </c>
      <c r="B127" t="s">
        <v>346</v>
      </c>
      <c r="C127" s="82">
        <v>2</v>
      </c>
      <c r="D127" s="82">
        <v>2.65</v>
      </c>
      <c r="E127" s="21">
        <v>5.3</v>
      </c>
    </row>
    <row r="128" spans="1:5">
      <c r="A128" t="s">
        <v>387</v>
      </c>
      <c r="B128" t="s">
        <v>2271</v>
      </c>
      <c r="C128" s="82">
        <v>20</v>
      </c>
      <c r="D128" s="82">
        <v>0.88249999999999995</v>
      </c>
      <c r="E128" s="21">
        <v>17.649999999999999</v>
      </c>
    </row>
    <row r="129" spans="1:5">
      <c r="A129" t="s">
        <v>45</v>
      </c>
      <c r="B129" t="s">
        <v>2170</v>
      </c>
      <c r="C129" s="82">
        <v>2</v>
      </c>
      <c r="D129" s="82">
        <v>0.5</v>
      </c>
      <c r="E129" s="21">
        <v>1</v>
      </c>
    </row>
    <row r="130" spans="1:5">
      <c r="A130" t="s">
        <v>47</v>
      </c>
      <c r="B130" t="s">
        <v>46</v>
      </c>
      <c r="C130" s="82">
        <v>1</v>
      </c>
      <c r="D130" s="82">
        <v>2.1166666666666667</v>
      </c>
      <c r="E130" s="21">
        <v>2.1166666666666667</v>
      </c>
    </row>
    <row r="131" spans="1:5">
      <c r="A131" t="s">
        <v>395</v>
      </c>
      <c r="B131" t="s">
        <v>2237</v>
      </c>
      <c r="C131" s="82">
        <v>21</v>
      </c>
      <c r="D131" s="82">
        <v>0.47499999999999998</v>
      </c>
      <c r="E131" s="21">
        <v>9.9749999999999996</v>
      </c>
    </row>
    <row r="132" spans="1:5">
      <c r="A132" t="s">
        <v>1738</v>
      </c>
      <c r="B132" t="s">
        <v>1737</v>
      </c>
      <c r="C132" s="82">
        <v>4</v>
      </c>
      <c r="D132" s="82">
        <v>0.6</v>
      </c>
      <c r="E132" s="21">
        <v>2.4</v>
      </c>
    </row>
    <row r="133" spans="1:5">
      <c r="A133" t="s">
        <v>1712</v>
      </c>
      <c r="B133" t="s">
        <v>1711</v>
      </c>
      <c r="C133" s="82">
        <v>7</v>
      </c>
      <c r="D133" s="82">
        <v>0.6</v>
      </c>
      <c r="E133" s="21">
        <v>4.2</v>
      </c>
    </row>
    <row r="134" spans="1:5">
      <c r="A134" t="s">
        <v>1710</v>
      </c>
      <c r="B134" t="s">
        <v>1709</v>
      </c>
      <c r="C134" s="82">
        <v>2</v>
      </c>
      <c r="D134" s="82">
        <v>0.6</v>
      </c>
      <c r="E134" s="21">
        <v>1.2</v>
      </c>
    </row>
    <row r="135" spans="1:5">
      <c r="A135" t="s">
        <v>1708</v>
      </c>
      <c r="B135" t="s">
        <v>1707</v>
      </c>
      <c r="C135" s="82">
        <v>7</v>
      </c>
      <c r="D135" s="82">
        <v>0.6</v>
      </c>
      <c r="E135" s="21">
        <v>4.2</v>
      </c>
    </row>
    <row r="136" spans="1:5">
      <c r="A136" t="s">
        <v>1210</v>
      </c>
      <c r="B136" t="s">
        <v>1166</v>
      </c>
      <c r="C136" s="82">
        <v>1</v>
      </c>
      <c r="D136" s="82">
        <v>0.9277777777777777</v>
      </c>
      <c r="E136" s="21">
        <v>0.9277777777777777</v>
      </c>
    </row>
    <row r="137" spans="1:5">
      <c r="A137" t="s">
        <v>1180</v>
      </c>
      <c r="B137" t="s">
        <v>297</v>
      </c>
      <c r="C137" s="82">
        <v>1</v>
      </c>
      <c r="D137" s="82">
        <v>0.9277777777777777</v>
      </c>
      <c r="E137" s="21">
        <v>0.9277777777777777</v>
      </c>
    </row>
    <row r="138" spans="1:5">
      <c r="A138" t="s">
        <v>1187</v>
      </c>
      <c r="B138" t="s">
        <v>296</v>
      </c>
      <c r="C138" s="82">
        <v>1</v>
      </c>
      <c r="D138" s="82">
        <v>0.9277777777777777</v>
      </c>
      <c r="E138" s="21">
        <v>0.9277777777777777</v>
      </c>
    </row>
    <row r="139" spans="1:5">
      <c r="A139" t="s">
        <v>2216</v>
      </c>
      <c r="B139" t="s">
        <v>2215</v>
      </c>
      <c r="C139" s="82">
        <v>4</v>
      </c>
      <c r="D139" s="82">
        <v>0.356875</v>
      </c>
      <c r="E139" s="21">
        <v>1.4275</v>
      </c>
    </row>
    <row r="140" spans="1:5">
      <c r="A140" t="s">
        <v>1935</v>
      </c>
      <c r="B140" t="s">
        <v>1936</v>
      </c>
      <c r="C140" s="82">
        <v>48</v>
      </c>
      <c r="D140" s="82">
        <v>1.1008333333333333</v>
      </c>
      <c r="E140" s="21">
        <v>52.84</v>
      </c>
    </row>
    <row r="141" spans="1:5">
      <c r="A141" t="s">
        <v>1330</v>
      </c>
      <c r="B141" t="s">
        <v>2221</v>
      </c>
      <c r="C141" s="82">
        <v>1</v>
      </c>
      <c r="D141" s="82">
        <v>0.62</v>
      </c>
      <c r="E141" s="21">
        <v>0.62</v>
      </c>
    </row>
    <row r="142" spans="1:5">
      <c r="A142" t="s">
        <v>2061</v>
      </c>
      <c r="B142" t="s">
        <v>2060</v>
      </c>
      <c r="C142" s="82">
        <v>6</v>
      </c>
      <c r="D142" s="82">
        <v>1.1025</v>
      </c>
      <c r="E142" s="21">
        <v>6.6150000000000002</v>
      </c>
    </row>
    <row r="143" spans="1:5">
      <c r="E143"/>
    </row>
    <row r="144" spans="1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</sheetData>
  <pageMargins left="0.7" right="0.7" top="0.75" bottom="0.75" header="0.3" footer="0.3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8"/>
  <dimension ref="A1:J95"/>
  <sheetViews>
    <sheetView workbookViewId="0">
      <selection activeCell="D4" sqref="D4"/>
    </sheetView>
  </sheetViews>
  <sheetFormatPr baseColWidth="10" defaultRowHeight="14.4"/>
  <cols>
    <col min="1" max="1" width="18.33203125" bestFit="1" customWidth="1"/>
    <col min="2" max="2" width="45" bestFit="1" customWidth="1"/>
    <col min="3" max="3" width="6.33203125" bestFit="1" customWidth="1"/>
    <col min="4" max="5" width="17.44140625" bestFit="1" customWidth="1"/>
    <col min="8" max="8" width="13" customWidth="1"/>
    <col min="9" max="9" width="11.88671875" bestFit="1" customWidth="1"/>
  </cols>
  <sheetData>
    <row r="1" spans="1:10">
      <c r="A1" s="20" t="s">
        <v>1085</v>
      </c>
      <c r="B1" s="20" t="s">
        <v>1084</v>
      </c>
      <c r="C1" t="s">
        <v>1094</v>
      </c>
      <c r="D1" t="s">
        <v>1086</v>
      </c>
      <c r="E1" t="s">
        <v>1088</v>
      </c>
      <c r="G1" t="s">
        <v>1092</v>
      </c>
      <c r="H1" t="s">
        <v>1089</v>
      </c>
    </row>
    <row r="2" spans="1:10">
      <c r="A2">
        <v>60000210</v>
      </c>
      <c r="B2" t="s">
        <v>148</v>
      </c>
      <c r="C2" s="82">
        <v>37</v>
      </c>
      <c r="D2" s="21">
        <v>0.77200000000000002</v>
      </c>
      <c r="E2" s="21">
        <v>28.564</v>
      </c>
      <c r="G2" s="21">
        <f>SUM(E:E)</f>
        <v>5225.1016329365084</v>
      </c>
      <c r="H2" s="21">
        <f>CONVERT(G2,"lbm","cwt")</f>
        <v>52.251016329365086</v>
      </c>
    </row>
    <row r="3" spans="1:10">
      <c r="A3">
        <v>5460400</v>
      </c>
      <c r="B3" t="s">
        <v>2133</v>
      </c>
      <c r="C3" s="82">
        <v>24</v>
      </c>
      <c r="D3" s="21">
        <v>0.75</v>
      </c>
      <c r="E3" s="21">
        <v>18</v>
      </c>
    </row>
    <row r="4" spans="1:10">
      <c r="A4">
        <v>50491108</v>
      </c>
      <c r="B4" t="s">
        <v>2010</v>
      </c>
      <c r="C4" s="82">
        <v>8</v>
      </c>
      <c r="D4" s="21">
        <v>2.65</v>
      </c>
      <c r="E4" s="21">
        <v>21.2</v>
      </c>
    </row>
    <row r="5" spans="1:10" ht="15" thickBot="1">
      <c r="A5">
        <v>50491107</v>
      </c>
      <c r="B5" t="s">
        <v>1897</v>
      </c>
      <c r="C5" s="82">
        <v>8</v>
      </c>
      <c r="D5" s="21">
        <v>2.65</v>
      </c>
      <c r="E5" s="21">
        <v>21.2</v>
      </c>
      <c r="G5" s="23" t="s">
        <v>1095</v>
      </c>
      <c r="H5" s="24" t="s">
        <v>1096</v>
      </c>
      <c r="I5" s="23" t="s">
        <v>1106</v>
      </c>
      <c r="J5" s="27"/>
    </row>
    <row r="6" spans="1:10" ht="15" thickTop="1">
      <c r="A6">
        <v>50491109</v>
      </c>
      <c r="B6" t="s">
        <v>1584</v>
      </c>
      <c r="C6" s="82">
        <v>12</v>
      </c>
      <c r="D6" s="21">
        <v>2.65</v>
      </c>
      <c r="E6" s="21">
        <v>31.799999999999997</v>
      </c>
      <c r="G6" s="25" t="s">
        <v>1097</v>
      </c>
      <c r="H6" s="25">
        <v>50</v>
      </c>
      <c r="I6" s="26">
        <f>Tabla11[QUINTALES]/H6</f>
        <v>1.0450203265873017</v>
      </c>
      <c r="J6" s="21"/>
    </row>
    <row r="7" spans="1:10">
      <c r="A7">
        <v>50491101</v>
      </c>
      <c r="B7" t="s">
        <v>1950</v>
      </c>
      <c r="C7" s="82">
        <v>6</v>
      </c>
      <c r="D7" s="21">
        <v>2.65</v>
      </c>
      <c r="E7" s="21">
        <v>15.899999999999999</v>
      </c>
      <c r="J7" s="21"/>
    </row>
    <row r="8" spans="1:10" ht="15" thickBot="1">
      <c r="A8">
        <v>10010010010</v>
      </c>
      <c r="B8" t="s">
        <v>146</v>
      </c>
      <c r="C8" s="82">
        <v>28</v>
      </c>
      <c r="D8" s="21">
        <v>0.88200000000000001</v>
      </c>
      <c r="E8" s="21">
        <v>24.696000000000002</v>
      </c>
      <c r="G8" s="23" t="s">
        <v>1095</v>
      </c>
      <c r="H8" s="24" t="s">
        <v>1096</v>
      </c>
      <c r="I8" s="23" t="s">
        <v>1106</v>
      </c>
      <c r="J8" s="21"/>
    </row>
    <row r="9" spans="1:10" ht="15" thickTop="1">
      <c r="A9">
        <v>10020040002</v>
      </c>
      <c r="B9" t="s">
        <v>145</v>
      </c>
      <c r="C9" s="82">
        <v>25</v>
      </c>
      <c r="D9" s="21">
        <v>0.88200000000000001</v>
      </c>
      <c r="E9" s="21">
        <v>22.05</v>
      </c>
      <c r="G9" s="25" t="s">
        <v>1098</v>
      </c>
      <c r="H9" s="25">
        <v>50</v>
      </c>
      <c r="I9" s="26">
        <f>Tabla11[QUINTALES]/H9</f>
        <v>1.0450203265873017</v>
      </c>
      <c r="J9" s="21"/>
    </row>
    <row r="10" spans="1:10">
      <c r="A10">
        <v>50491106</v>
      </c>
      <c r="B10" t="s">
        <v>2256</v>
      </c>
      <c r="C10" s="82">
        <v>3</v>
      </c>
      <c r="D10" s="21">
        <v>2.65</v>
      </c>
      <c r="E10" s="21">
        <v>7.9499999999999993</v>
      </c>
      <c r="J10" s="21"/>
    </row>
    <row r="11" spans="1:10" ht="15" thickBot="1">
      <c r="A11">
        <v>50491103</v>
      </c>
      <c r="B11" t="s">
        <v>2269</v>
      </c>
      <c r="C11" s="82">
        <v>3</v>
      </c>
      <c r="D11" s="21">
        <v>2.65</v>
      </c>
      <c r="E11" s="21">
        <v>7.9499999999999993</v>
      </c>
      <c r="G11" s="23" t="s">
        <v>1095</v>
      </c>
      <c r="H11" s="24" t="s">
        <v>1096</v>
      </c>
      <c r="I11" s="23" t="s">
        <v>1106</v>
      </c>
      <c r="J11" s="21"/>
    </row>
    <row r="12" spans="1:10" ht="15" thickTop="1">
      <c r="A12">
        <v>60000209</v>
      </c>
      <c r="B12" t="s">
        <v>147</v>
      </c>
      <c r="C12" s="82">
        <v>37</v>
      </c>
      <c r="D12" s="21">
        <v>0.77200000000000002</v>
      </c>
      <c r="E12" s="21">
        <v>28.564</v>
      </c>
      <c r="G12" s="25" t="s">
        <v>1099</v>
      </c>
      <c r="H12" s="25">
        <v>50</v>
      </c>
      <c r="I12" s="26">
        <f>Tabla11[QUINTALES]/H12</f>
        <v>1.0450203265873017</v>
      </c>
      <c r="J12" s="21"/>
    </row>
    <row r="13" spans="1:10">
      <c r="A13">
        <v>50491102</v>
      </c>
      <c r="B13" t="s">
        <v>1898</v>
      </c>
      <c r="C13" s="82">
        <v>12</v>
      </c>
      <c r="D13" s="21">
        <v>2.65</v>
      </c>
      <c r="E13" s="21">
        <v>31.799999999999997</v>
      </c>
      <c r="J13" s="21"/>
    </row>
    <row r="14" spans="1:10" ht="15" thickBot="1">
      <c r="A14">
        <v>50491100</v>
      </c>
      <c r="B14" t="s">
        <v>1899</v>
      </c>
      <c r="C14" s="82">
        <v>6</v>
      </c>
      <c r="D14" s="21">
        <v>2.65</v>
      </c>
      <c r="E14" s="21">
        <v>15.899999999999999</v>
      </c>
      <c r="G14" s="23" t="s">
        <v>1095</v>
      </c>
      <c r="H14" s="24" t="s">
        <v>1096</v>
      </c>
      <c r="I14" s="23" t="s">
        <v>1106</v>
      </c>
      <c r="J14" s="21"/>
    </row>
    <row r="15" spans="1:10" ht="15" thickTop="1">
      <c r="A15">
        <v>60000094</v>
      </c>
      <c r="B15" t="s">
        <v>1387</v>
      </c>
      <c r="C15" s="82">
        <v>16</v>
      </c>
      <c r="D15" s="21">
        <v>1.76</v>
      </c>
      <c r="E15" s="21">
        <v>28.16</v>
      </c>
      <c r="G15" s="25" t="s">
        <v>1100</v>
      </c>
      <c r="H15" s="25">
        <v>50</v>
      </c>
      <c r="I15" s="26">
        <f>Tabla11[QUINTALES]/H15</f>
        <v>1.0450203265873017</v>
      </c>
    </row>
    <row r="16" spans="1:10">
      <c r="A16">
        <v>400000127</v>
      </c>
      <c r="B16" t="s">
        <v>585</v>
      </c>
      <c r="C16" s="82">
        <v>1</v>
      </c>
      <c r="D16" s="21">
        <v>1.5449999999999999</v>
      </c>
      <c r="E16" s="21">
        <v>1.5449999999999999</v>
      </c>
    </row>
    <row r="17" spans="1:9" ht="15" thickBot="1">
      <c r="A17">
        <v>60000212</v>
      </c>
      <c r="B17" t="s">
        <v>1055</v>
      </c>
      <c r="C17" s="82">
        <v>4</v>
      </c>
      <c r="D17" s="21">
        <v>0.66249999999999998</v>
      </c>
      <c r="E17" s="21">
        <v>2.65</v>
      </c>
      <c r="G17" s="23" t="s">
        <v>1095</v>
      </c>
      <c r="H17" s="24" t="s">
        <v>1096</v>
      </c>
      <c r="I17" s="23" t="s">
        <v>1106</v>
      </c>
    </row>
    <row r="18" spans="1:9" ht="15" thickTop="1">
      <c r="A18">
        <v>400000221</v>
      </c>
      <c r="B18" t="s">
        <v>587</v>
      </c>
      <c r="C18" s="82">
        <v>4</v>
      </c>
      <c r="D18" s="21">
        <v>0.8</v>
      </c>
      <c r="E18" s="21">
        <v>3.2</v>
      </c>
      <c r="G18" s="25" t="s">
        <v>1101</v>
      </c>
      <c r="H18" s="25">
        <v>50</v>
      </c>
      <c r="I18" s="26">
        <f>Tabla11[QUINTALES]/H18</f>
        <v>1.0450203265873017</v>
      </c>
    </row>
    <row r="19" spans="1:9">
      <c r="A19">
        <v>400000161</v>
      </c>
      <c r="B19" t="s">
        <v>594</v>
      </c>
      <c r="C19" s="82">
        <v>170</v>
      </c>
      <c r="D19" s="21">
        <v>0.03</v>
      </c>
      <c r="E19" s="21">
        <v>5.0999999999999996</v>
      </c>
    </row>
    <row r="20" spans="1:9" ht="15" thickBot="1">
      <c r="A20">
        <v>52480094</v>
      </c>
      <c r="B20" t="s">
        <v>2268</v>
      </c>
      <c r="C20" s="82">
        <v>6</v>
      </c>
      <c r="D20" s="21">
        <v>0.32</v>
      </c>
      <c r="E20" s="21">
        <v>1.92</v>
      </c>
      <c r="G20" s="23" t="s">
        <v>1095</v>
      </c>
      <c r="H20" s="24" t="s">
        <v>1096</v>
      </c>
      <c r="I20" s="23" t="s">
        <v>1106</v>
      </c>
    </row>
    <row r="21" spans="1:9" ht="15" thickTop="1">
      <c r="A21">
        <v>400000048</v>
      </c>
      <c r="B21" t="s">
        <v>580</v>
      </c>
      <c r="C21" s="82">
        <v>1</v>
      </c>
      <c r="D21" s="21">
        <v>0.25</v>
      </c>
      <c r="E21" s="21">
        <v>0.25</v>
      </c>
      <c r="G21" s="25" t="s">
        <v>1102</v>
      </c>
      <c r="H21" s="25">
        <v>50</v>
      </c>
      <c r="I21" s="26">
        <f>Tabla11[QUINTALES]/H21</f>
        <v>1.0450203265873017</v>
      </c>
    </row>
    <row r="22" spans="1:9">
      <c r="A22">
        <v>50491134</v>
      </c>
      <c r="B22" t="s">
        <v>1758</v>
      </c>
      <c r="C22" s="82">
        <v>12</v>
      </c>
      <c r="D22" s="21">
        <v>3.2916666666666665</v>
      </c>
      <c r="E22" s="21">
        <v>39.5</v>
      </c>
    </row>
    <row r="23" spans="1:9" ht="15" thickBot="1">
      <c r="A23">
        <v>50491133</v>
      </c>
      <c r="B23" t="s">
        <v>1761</v>
      </c>
      <c r="C23" s="82">
        <v>12</v>
      </c>
      <c r="D23" s="21">
        <v>3.3049999999999997</v>
      </c>
      <c r="E23" s="21">
        <v>39.659999999999997</v>
      </c>
      <c r="G23" s="23" t="s">
        <v>1095</v>
      </c>
      <c r="H23" s="24" t="s">
        <v>1096</v>
      </c>
      <c r="I23" s="23" t="s">
        <v>1106</v>
      </c>
    </row>
    <row r="24" spans="1:9" ht="15" thickTop="1">
      <c r="A24">
        <v>69761868</v>
      </c>
      <c r="B24" t="s">
        <v>2024</v>
      </c>
      <c r="C24" s="82">
        <v>22</v>
      </c>
      <c r="D24" s="21">
        <v>0.19843750000000002</v>
      </c>
      <c r="E24" s="21">
        <v>4.3656250000000005</v>
      </c>
      <c r="G24" s="25" t="s">
        <v>1103</v>
      </c>
      <c r="H24" s="25">
        <v>30</v>
      </c>
      <c r="I24" s="26">
        <f>Tabla11[QUINTALES]/H24</f>
        <v>1.7417005443121696</v>
      </c>
    </row>
    <row r="25" spans="1:9">
      <c r="A25">
        <v>50470111</v>
      </c>
      <c r="B25" t="s">
        <v>2055</v>
      </c>
      <c r="C25" s="82">
        <v>9</v>
      </c>
      <c r="D25" s="21">
        <v>2.48</v>
      </c>
      <c r="E25" s="21">
        <v>22.32</v>
      </c>
    </row>
    <row r="26" spans="1:9">
      <c r="A26">
        <v>52480086</v>
      </c>
      <c r="B26" t="s">
        <v>1939</v>
      </c>
      <c r="C26" s="82">
        <v>13</v>
      </c>
      <c r="D26" s="21">
        <v>0.23805555555555558</v>
      </c>
      <c r="E26" s="21">
        <v>3.0947222222222224</v>
      </c>
    </row>
    <row r="27" spans="1:9" ht="15" thickBot="1">
      <c r="A27" t="s">
        <v>671</v>
      </c>
      <c r="B27" t="s">
        <v>670</v>
      </c>
      <c r="C27" s="82">
        <v>59</v>
      </c>
      <c r="D27" s="21">
        <v>0.25</v>
      </c>
      <c r="E27" s="21">
        <v>14.75</v>
      </c>
      <c r="G27" s="23" t="s">
        <v>1095</v>
      </c>
      <c r="H27" s="24" t="s">
        <v>1096</v>
      </c>
      <c r="I27" s="23" t="s">
        <v>1106</v>
      </c>
    </row>
    <row r="28" spans="1:9" ht="15" thickTop="1">
      <c r="A28">
        <v>50470115</v>
      </c>
      <c r="B28" t="s">
        <v>2052</v>
      </c>
      <c r="C28" s="82">
        <v>4</v>
      </c>
      <c r="D28" s="21">
        <v>2.48</v>
      </c>
      <c r="E28" s="21">
        <v>9.92</v>
      </c>
      <c r="G28" s="25" t="s">
        <v>1104</v>
      </c>
      <c r="H28" s="25">
        <v>70</v>
      </c>
      <c r="I28" s="26">
        <f>Tabla11[QUINTALES]/H28</f>
        <v>0.74644309041950119</v>
      </c>
    </row>
    <row r="29" spans="1:9">
      <c r="A29">
        <v>50470118</v>
      </c>
      <c r="B29" t="s">
        <v>2278</v>
      </c>
      <c r="C29" s="82">
        <v>14</v>
      </c>
      <c r="D29" s="21">
        <v>0.82750000000000001</v>
      </c>
      <c r="E29" s="21">
        <v>11.585000000000001</v>
      </c>
    </row>
    <row r="30" spans="1:9" ht="15" thickBot="1">
      <c r="A30" t="s">
        <v>2188</v>
      </c>
      <c r="B30" t="s">
        <v>2187</v>
      </c>
      <c r="C30" s="82">
        <v>40</v>
      </c>
      <c r="D30" s="21">
        <v>0.52916666666666667</v>
      </c>
      <c r="E30" s="21">
        <v>21.166666666666668</v>
      </c>
      <c r="G30" s="23" t="s">
        <v>1095</v>
      </c>
      <c r="H30" s="24" t="s">
        <v>1096</v>
      </c>
      <c r="I30" s="23" t="s">
        <v>1106</v>
      </c>
    </row>
    <row r="31" spans="1:9" ht="15" thickTop="1">
      <c r="A31">
        <v>50470112</v>
      </c>
      <c r="B31" t="s">
        <v>2054</v>
      </c>
      <c r="C31" s="82">
        <v>10</v>
      </c>
      <c r="D31" s="21">
        <v>2.48</v>
      </c>
      <c r="E31" s="21">
        <v>24.8</v>
      </c>
      <c r="G31" s="25" t="s">
        <v>1105</v>
      </c>
      <c r="H31" s="25">
        <v>70</v>
      </c>
      <c r="I31" s="26">
        <f>Tabla11[QUINTALES]/H31</f>
        <v>0.74644309041950119</v>
      </c>
    </row>
    <row r="32" spans="1:9">
      <c r="A32">
        <v>50470114</v>
      </c>
      <c r="B32" t="s">
        <v>2053</v>
      </c>
      <c r="C32" s="82">
        <v>4</v>
      </c>
      <c r="D32" s="21">
        <v>2.48</v>
      </c>
      <c r="E32" s="21">
        <v>9.92</v>
      </c>
    </row>
    <row r="33" spans="1:5">
      <c r="A33" t="s">
        <v>103</v>
      </c>
      <c r="B33" t="s">
        <v>1147</v>
      </c>
      <c r="C33" s="82">
        <v>1938</v>
      </c>
      <c r="D33" s="21">
        <v>0.72916666666666663</v>
      </c>
      <c r="E33" s="21">
        <v>1413.125</v>
      </c>
    </row>
    <row r="34" spans="1:5">
      <c r="A34" t="s">
        <v>109</v>
      </c>
      <c r="B34" t="s">
        <v>108</v>
      </c>
      <c r="C34" s="82">
        <v>2123</v>
      </c>
      <c r="D34" s="21">
        <v>0.44166666666666665</v>
      </c>
      <c r="E34" s="21">
        <v>937.6583333333333</v>
      </c>
    </row>
    <row r="35" spans="1:5">
      <c r="A35" t="s">
        <v>107</v>
      </c>
      <c r="B35" t="s">
        <v>106</v>
      </c>
      <c r="C35" s="82">
        <v>2424</v>
      </c>
      <c r="D35" s="21">
        <v>0.44166666666666665</v>
      </c>
      <c r="E35" s="21">
        <v>1070.5999999999999</v>
      </c>
    </row>
    <row r="36" spans="1:5">
      <c r="A36" t="s">
        <v>529</v>
      </c>
      <c r="B36" t="s">
        <v>528</v>
      </c>
      <c r="C36" s="82">
        <v>97</v>
      </c>
      <c r="D36" s="21">
        <v>0.34375</v>
      </c>
      <c r="E36" s="21">
        <v>33.34375</v>
      </c>
    </row>
    <row r="37" spans="1:5">
      <c r="A37" t="s">
        <v>1716</v>
      </c>
      <c r="B37" t="s">
        <v>1715</v>
      </c>
      <c r="C37" s="82">
        <v>24</v>
      </c>
      <c r="D37" s="21">
        <v>0.25</v>
      </c>
      <c r="E37" s="21">
        <v>6</v>
      </c>
    </row>
    <row r="38" spans="1:5">
      <c r="A38" t="s">
        <v>1525</v>
      </c>
      <c r="B38" t="s">
        <v>1524</v>
      </c>
      <c r="C38" s="82">
        <v>16</v>
      </c>
      <c r="D38" s="21">
        <v>0.9</v>
      </c>
      <c r="E38" s="21">
        <v>14.4</v>
      </c>
    </row>
    <row r="39" spans="1:5">
      <c r="A39" t="s">
        <v>706</v>
      </c>
      <c r="B39" t="s">
        <v>705</v>
      </c>
      <c r="C39" s="82">
        <v>2</v>
      </c>
      <c r="D39" s="21">
        <v>0.70833333333333337</v>
      </c>
      <c r="E39" s="21">
        <v>1.4166666666666667</v>
      </c>
    </row>
    <row r="40" spans="1:5">
      <c r="A40" t="s">
        <v>1473</v>
      </c>
      <c r="B40" t="s">
        <v>1472</v>
      </c>
      <c r="C40" s="82">
        <v>15</v>
      </c>
      <c r="D40" s="21">
        <v>0.9</v>
      </c>
      <c r="E40" s="21">
        <v>13.5</v>
      </c>
    </row>
    <row r="41" spans="1:5">
      <c r="A41" t="s">
        <v>662</v>
      </c>
      <c r="B41" t="s">
        <v>2171</v>
      </c>
      <c r="C41" s="82">
        <v>12</v>
      </c>
      <c r="D41" s="21">
        <v>8.3333333333333329E-2</v>
      </c>
      <c r="E41" s="21">
        <v>1</v>
      </c>
    </row>
    <row r="42" spans="1:5">
      <c r="A42" t="s">
        <v>2228</v>
      </c>
      <c r="B42" t="s">
        <v>2227</v>
      </c>
      <c r="C42" s="82">
        <v>1339</v>
      </c>
      <c r="D42" s="21">
        <v>0.33958333333333335</v>
      </c>
      <c r="E42" s="21">
        <v>454.70208333333335</v>
      </c>
    </row>
    <row r="43" spans="1:5">
      <c r="A43" t="s">
        <v>1974</v>
      </c>
      <c r="B43" t="s">
        <v>1973</v>
      </c>
      <c r="C43" s="82">
        <v>3</v>
      </c>
      <c r="D43" s="21">
        <v>0.47599999999999998</v>
      </c>
      <c r="E43" s="21">
        <v>1.4279999999999999</v>
      </c>
    </row>
    <row r="44" spans="1:5">
      <c r="A44" t="s">
        <v>825</v>
      </c>
      <c r="B44" t="s">
        <v>824</v>
      </c>
      <c r="C44" s="82">
        <v>2</v>
      </c>
      <c r="D44" s="21">
        <v>0.37040000000000001</v>
      </c>
      <c r="E44" s="21">
        <v>0.74080000000000001</v>
      </c>
    </row>
    <row r="45" spans="1:5">
      <c r="A45" t="s">
        <v>1355</v>
      </c>
      <c r="B45" t="s">
        <v>1354</v>
      </c>
      <c r="C45" s="82">
        <v>22</v>
      </c>
      <c r="D45" s="21">
        <v>0.9</v>
      </c>
      <c r="E45" s="21">
        <v>19.8</v>
      </c>
    </row>
    <row r="46" spans="1:5">
      <c r="A46" t="s">
        <v>1749</v>
      </c>
      <c r="B46" t="s">
        <v>2008</v>
      </c>
      <c r="C46" s="82">
        <v>1</v>
      </c>
      <c r="D46" s="21">
        <v>0.71375</v>
      </c>
      <c r="E46" s="21">
        <v>0.71375</v>
      </c>
    </row>
    <row r="47" spans="1:5">
      <c r="A47" t="s">
        <v>102</v>
      </c>
      <c r="B47" t="s">
        <v>101</v>
      </c>
      <c r="C47" s="82">
        <v>42</v>
      </c>
      <c r="D47" s="21">
        <v>0.72916666666666663</v>
      </c>
      <c r="E47" s="21">
        <v>30.625</v>
      </c>
    </row>
    <row r="48" spans="1:5">
      <c r="A48" t="s">
        <v>510</v>
      </c>
      <c r="B48" t="s">
        <v>1237</v>
      </c>
      <c r="C48" s="82">
        <v>6</v>
      </c>
      <c r="D48" s="21">
        <v>0.72916666666666663</v>
      </c>
      <c r="E48" s="21">
        <v>4.375</v>
      </c>
    </row>
    <row r="49" spans="1:5">
      <c r="A49" t="s">
        <v>482</v>
      </c>
      <c r="B49" t="s">
        <v>481</v>
      </c>
      <c r="C49" s="82">
        <v>39</v>
      </c>
      <c r="D49" s="21">
        <v>0.11493055555555556</v>
      </c>
      <c r="E49" s="21">
        <v>4.4822916666666668</v>
      </c>
    </row>
    <row r="50" spans="1:5">
      <c r="A50" t="s">
        <v>533</v>
      </c>
      <c r="B50" t="s">
        <v>532</v>
      </c>
      <c r="C50" s="82">
        <v>48</v>
      </c>
      <c r="D50" s="21">
        <v>0.5</v>
      </c>
      <c r="E50" s="21">
        <v>24</v>
      </c>
    </row>
    <row r="51" spans="1:5">
      <c r="A51" t="s">
        <v>535</v>
      </c>
      <c r="B51" t="s">
        <v>534</v>
      </c>
      <c r="C51" s="82">
        <v>21</v>
      </c>
      <c r="D51" s="21">
        <v>1.75</v>
      </c>
      <c r="E51" s="21">
        <v>36.75</v>
      </c>
    </row>
    <row r="52" spans="1:5">
      <c r="A52" t="s">
        <v>21</v>
      </c>
      <c r="B52" t="s">
        <v>20</v>
      </c>
      <c r="C52" s="82">
        <v>2</v>
      </c>
      <c r="D52" s="21">
        <v>0.8833333333333333</v>
      </c>
      <c r="E52" s="21">
        <v>1.7666666666666666</v>
      </c>
    </row>
    <row r="53" spans="1:5">
      <c r="A53" t="s">
        <v>115</v>
      </c>
      <c r="B53" t="s">
        <v>114</v>
      </c>
      <c r="C53" s="82">
        <v>18</v>
      </c>
      <c r="D53" s="21">
        <v>0.65625</v>
      </c>
      <c r="E53" s="21">
        <v>11.8125</v>
      </c>
    </row>
    <row r="54" spans="1:5">
      <c r="A54" t="s">
        <v>2046</v>
      </c>
      <c r="B54" t="s">
        <v>2045</v>
      </c>
      <c r="C54" s="82">
        <v>10</v>
      </c>
      <c r="D54" s="21">
        <v>0.12125000000000001</v>
      </c>
      <c r="E54" s="21">
        <v>1.2125000000000001</v>
      </c>
    </row>
    <row r="55" spans="1:5">
      <c r="A55" t="s">
        <v>1819</v>
      </c>
      <c r="B55" t="s">
        <v>1818</v>
      </c>
      <c r="C55" s="82">
        <v>15</v>
      </c>
      <c r="D55" s="21">
        <v>0.87035714285714294</v>
      </c>
      <c r="E55" s="21">
        <v>13.055357142857144</v>
      </c>
    </row>
    <row r="56" spans="1:5">
      <c r="A56" t="s">
        <v>1766</v>
      </c>
      <c r="B56" t="s">
        <v>1765</v>
      </c>
      <c r="C56" s="82">
        <v>21</v>
      </c>
      <c r="D56" s="21">
        <v>0.87035714285714294</v>
      </c>
      <c r="E56" s="21">
        <v>18.277500000000003</v>
      </c>
    </row>
    <row r="57" spans="1:5">
      <c r="A57" t="s">
        <v>1674</v>
      </c>
      <c r="B57" t="s">
        <v>1673</v>
      </c>
      <c r="C57" s="82">
        <v>2</v>
      </c>
      <c r="D57" s="21">
        <v>0.9</v>
      </c>
      <c r="E57" s="21">
        <v>1.8</v>
      </c>
    </row>
    <row r="58" spans="1:5">
      <c r="A58" t="s">
        <v>1692</v>
      </c>
      <c r="B58" t="s">
        <v>1691</v>
      </c>
      <c r="C58" s="82">
        <v>20</v>
      </c>
      <c r="D58" s="21">
        <v>0.92524999999999991</v>
      </c>
      <c r="E58" s="21">
        <v>18.504999999999999</v>
      </c>
    </row>
    <row r="59" spans="1:5">
      <c r="A59" t="s">
        <v>2186</v>
      </c>
      <c r="B59" t="s">
        <v>2185</v>
      </c>
      <c r="C59" s="82">
        <v>29</v>
      </c>
      <c r="D59" s="21">
        <v>0.52916666666666667</v>
      </c>
      <c r="E59" s="21">
        <v>15.345833333333333</v>
      </c>
    </row>
    <row r="60" spans="1:5">
      <c r="A60" t="s">
        <v>2050</v>
      </c>
      <c r="B60" t="s">
        <v>2049</v>
      </c>
      <c r="C60" s="82">
        <v>10</v>
      </c>
      <c r="D60" s="21">
        <v>0.12125000000000001</v>
      </c>
      <c r="E60" s="21">
        <v>1.2125000000000001</v>
      </c>
    </row>
    <row r="61" spans="1:5">
      <c r="A61" t="s">
        <v>506</v>
      </c>
      <c r="B61" t="s">
        <v>505</v>
      </c>
      <c r="C61" s="82">
        <v>18</v>
      </c>
      <c r="D61" s="21">
        <v>0.72916666666666663</v>
      </c>
      <c r="E61" s="21">
        <v>13.125</v>
      </c>
    </row>
    <row r="62" spans="1:5">
      <c r="A62" t="s">
        <v>113</v>
      </c>
      <c r="B62" t="s">
        <v>112</v>
      </c>
      <c r="C62" s="82">
        <v>54</v>
      </c>
      <c r="D62" s="21">
        <v>0.9375</v>
      </c>
      <c r="E62" s="21">
        <v>50.625</v>
      </c>
    </row>
    <row r="63" spans="1:5">
      <c r="A63" t="s">
        <v>2216</v>
      </c>
      <c r="B63" t="s">
        <v>2215</v>
      </c>
      <c r="C63" s="82">
        <v>6</v>
      </c>
      <c r="D63" s="21">
        <v>0.356875</v>
      </c>
      <c r="E63" s="21">
        <v>2.1412499999999999</v>
      </c>
    </row>
    <row r="64" spans="1:5">
      <c r="A64" t="s">
        <v>1477</v>
      </c>
      <c r="B64" t="s">
        <v>1476</v>
      </c>
      <c r="C64" s="82">
        <v>4</v>
      </c>
      <c r="D64" s="21">
        <v>0.9</v>
      </c>
      <c r="E64" s="21">
        <v>3.6</v>
      </c>
    </row>
    <row r="65" spans="1:5">
      <c r="A65" t="s">
        <v>1475</v>
      </c>
      <c r="B65" t="s">
        <v>1474</v>
      </c>
      <c r="C65" s="82">
        <v>16</v>
      </c>
      <c r="D65" s="21">
        <v>0.9</v>
      </c>
      <c r="E65" s="21">
        <v>14.4</v>
      </c>
    </row>
    <row r="66" spans="1:5">
      <c r="A66" t="s">
        <v>1976</v>
      </c>
      <c r="B66" t="s">
        <v>1975</v>
      </c>
      <c r="C66" s="82">
        <v>3</v>
      </c>
      <c r="D66" s="21">
        <v>0.47599999999999998</v>
      </c>
      <c r="E66" s="21">
        <v>1.4279999999999999</v>
      </c>
    </row>
    <row r="67" spans="1:5">
      <c r="A67" t="s">
        <v>2213</v>
      </c>
      <c r="B67" t="s">
        <v>2212</v>
      </c>
      <c r="C67" s="82">
        <v>7</v>
      </c>
      <c r="D67" s="21">
        <v>0.77159999999999995</v>
      </c>
      <c r="E67" s="21">
        <v>5.4011999999999993</v>
      </c>
    </row>
    <row r="68" spans="1:5">
      <c r="A68" t="s">
        <v>1933</v>
      </c>
      <c r="B68" t="s">
        <v>1934</v>
      </c>
      <c r="C68" s="82">
        <v>4</v>
      </c>
      <c r="D68" s="21">
        <v>0.35625000000000001</v>
      </c>
      <c r="E68" s="21">
        <v>1.425</v>
      </c>
    </row>
    <row r="69" spans="1:5">
      <c r="A69" t="s">
        <v>1040</v>
      </c>
      <c r="B69" t="s">
        <v>1039</v>
      </c>
      <c r="C69" s="82">
        <v>1</v>
      </c>
      <c r="D69" s="21">
        <v>0.88437500000000002</v>
      </c>
      <c r="E69" s="21">
        <v>0.88437500000000002</v>
      </c>
    </row>
    <row r="70" spans="1:5">
      <c r="A70" t="s">
        <v>1471</v>
      </c>
      <c r="B70" t="s">
        <v>1470</v>
      </c>
      <c r="C70" s="82">
        <v>14</v>
      </c>
      <c r="D70" s="21">
        <v>0.9</v>
      </c>
      <c r="E70" s="21">
        <v>12.6</v>
      </c>
    </row>
    <row r="71" spans="1:5">
      <c r="A71" t="s">
        <v>1690</v>
      </c>
      <c r="B71" t="s">
        <v>1689</v>
      </c>
      <c r="C71" s="82">
        <v>20</v>
      </c>
      <c r="D71" s="21">
        <v>0.92524999999999991</v>
      </c>
      <c r="E71" s="21">
        <v>18.504999999999999</v>
      </c>
    </row>
    <row r="72" spans="1:5">
      <c r="A72" t="s">
        <v>2191</v>
      </c>
      <c r="B72" t="s">
        <v>2190</v>
      </c>
      <c r="C72" s="82">
        <v>10</v>
      </c>
      <c r="D72" s="21">
        <v>0.52916666666666667</v>
      </c>
      <c r="E72" s="21">
        <v>5.291666666666667</v>
      </c>
    </row>
    <row r="73" spans="1:5">
      <c r="A73" t="s">
        <v>504</v>
      </c>
      <c r="B73" t="s">
        <v>503</v>
      </c>
      <c r="C73" s="82">
        <v>18</v>
      </c>
      <c r="D73" s="21">
        <v>2.2083333333333335</v>
      </c>
      <c r="E73" s="21">
        <v>39.75</v>
      </c>
    </row>
    <row r="74" spans="1:5">
      <c r="A74" t="s">
        <v>502</v>
      </c>
      <c r="B74" t="s">
        <v>501</v>
      </c>
      <c r="C74" s="82">
        <v>12</v>
      </c>
      <c r="D74" s="21">
        <v>2.2083333333333335</v>
      </c>
      <c r="E74" s="21">
        <v>26.5</v>
      </c>
    </row>
    <row r="75" spans="1:5">
      <c r="A75" t="s">
        <v>1330</v>
      </c>
      <c r="B75" t="s">
        <v>2221</v>
      </c>
      <c r="C75" s="82">
        <v>1</v>
      </c>
      <c r="D75" s="21">
        <v>0.62</v>
      </c>
      <c r="E75" s="21">
        <v>0.62</v>
      </c>
    </row>
    <row r="76" spans="1:5">
      <c r="A76" t="s">
        <v>1026</v>
      </c>
      <c r="B76" t="s">
        <v>1025</v>
      </c>
      <c r="C76" s="82">
        <v>4</v>
      </c>
      <c r="D76" s="21">
        <v>0.9</v>
      </c>
      <c r="E76" s="21">
        <v>3.6</v>
      </c>
    </row>
    <row r="77" spans="1:5">
      <c r="A77" t="s">
        <v>1347</v>
      </c>
      <c r="B77" t="s">
        <v>1346</v>
      </c>
      <c r="C77" s="82">
        <v>7</v>
      </c>
      <c r="D77" s="21">
        <v>0.9</v>
      </c>
      <c r="E77" s="21">
        <v>6.3</v>
      </c>
    </row>
    <row r="78" spans="1:5">
      <c r="A78" t="s">
        <v>1359</v>
      </c>
      <c r="B78" t="s">
        <v>1358</v>
      </c>
      <c r="C78" s="82">
        <v>15</v>
      </c>
      <c r="D78" s="21">
        <v>0.9</v>
      </c>
      <c r="E78" s="21">
        <v>13.5</v>
      </c>
    </row>
    <row r="79" spans="1:5">
      <c r="A79" t="s">
        <v>1349</v>
      </c>
      <c r="B79" t="s">
        <v>1348</v>
      </c>
      <c r="C79" s="82">
        <v>2</v>
      </c>
      <c r="D79" s="21">
        <v>0.9</v>
      </c>
      <c r="E79" s="21">
        <v>1.8</v>
      </c>
    </row>
    <row r="80" spans="1:5">
      <c r="A80" t="s">
        <v>2090</v>
      </c>
      <c r="B80" t="s">
        <v>2089</v>
      </c>
      <c r="C80" s="82">
        <v>1</v>
      </c>
      <c r="D80" s="21">
        <v>100</v>
      </c>
      <c r="E80" s="21">
        <v>100</v>
      </c>
    </row>
    <row r="81" spans="1:5">
      <c r="A81" t="s">
        <v>1764</v>
      </c>
      <c r="B81" t="s">
        <v>1763</v>
      </c>
      <c r="C81" s="82">
        <v>9</v>
      </c>
      <c r="D81" s="21">
        <v>0.87035714285714294</v>
      </c>
      <c r="E81" s="21">
        <v>7.8332142857142868</v>
      </c>
    </row>
    <row r="82" spans="1:5">
      <c r="A82" t="s">
        <v>1839</v>
      </c>
      <c r="B82" t="s">
        <v>1838</v>
      </c>
      <c r="C82" s="82">
        <v>1</v>
      </c>
      <c r="D82" s="21">
        <v>0.88178571428571428</v>
      </c>
      <c r="E82" s="21">
        <v>0.88178571428571428</v>
      </c>
    </row>
    <row r="83" spans="1:5">
      <c r="A83" t="s">
        <v>1823</v>
      </c>
      <c r="B83" t="s">
        <v>1822</v>
      </c>
      <c r="C83" s="82">
        <v>19</v>
      </c>
      <c r="D83" s="21">
        <v>0.88107142857142862</v>
      </c>
      <c r="E83" s="21">
        <v>16.740357142857142</v>
      </c>
    </row>
    <row r="84" spans="1:5">
      <c r="A84" t="s">
        <v>2023</v>
      </c>
      <c r="B84" t="s">
        <v>2022</v>
      </c>
      <c r="C84" s="82">
        <v>5</v>
      </c>
      <c r="D84" s="21">
        <v>0.95321428571428579</v>
      </c>
      <c r="E84" s="21">
        <v>4.7660714285714292</v>
      </c>
    </row>
    <row r="85" spans="1:5">
      <c r="A85" t="s">
        <v>498</v>
      </c>
      <c r="B85" t="s">
        <v>497</v>
      </c>
      <c r="C85" s="82">
        <v>25</v>
      </c>
      <c r="D85" s="21">
        <v>0.44166666666666665</v>
      </c>
      <c r="E85" s="21">
        <v>11.041666666666666</v>
      </c>
    </row>
    <row r="86" spans="1:5">
      <c r="A86" t="s">
        <v>539</v>
      </c>
      <c r="B86" t="s">
        <v>538</v>
      </c>
      <c r="C86" s="82">
        <v>6</v>
      </c>
      <c r="D86" s="21">
        <v>4</v>
      </c>
      <c r="E86" s="21">
        <v>24</v>
      </c>
    </row>
    <row r="87" spans="1:5">
      <c r="A87" t="s">
        <v>490</v>
      </c>
      <c r="B87" t="s">
        <v>2277</v>
      </c>
      <c r="C87" s="82">
        <v>2</v>
      </c>
      <c r="D87" s="21">
        <v>1.7125000000000001</v>
      </c>
      <c r="E87" s="21">
        <v>3.4250000000000003</v>
      </c>
    </row>
    <row r="88" spans="1:5">
      <c r="A88" t="s">
        <v>549</v>
      </c>
      <c r="B88" t="s">
        <v>548</v>
      </c>
      <c r="C88" s="82">
        <v>54</v>
      </c>
      <c r="D88" s="21">
        <v>0.72916666666666663</v>
      </c>
      <c r="E88" s="21">
        <v>39.375</v>
      </c>
    </row>
    <row r="89" spans="1:5">
      <c r="A89" t="s">
        <v>547</v>
      </c>
      <c r="B89" t="s">
        <v>546</v>
      </c>
      <c r="C89" s="82">
        <v>6</v>
      </c>
      <c r="D89" s="21">
        <v>0.72916666666666663</v>
      </c>
      <c r="E89" s="21">
        <v>4.375</v>
      </c>
    </row>
    <row r="90" spans="1:5">
      <c r="A90" t="s">
        <v>129</v>
      </c>
      <c r="B90" t="s">
        <v>128</v>
      </c>
      <c r="C90" s="82">
        <v>60</v>
      </c>
      <c r="D90" s="21">
        <v>0.72916666666666663</v>
      </c>
      <c r="E90" s="21">
        <v>43.75</v>
      </c>
    </row>
    <row r="91" spans="1:5">
      <c r="A91" t="s">
        <v>512</v>
      </c>
      <c r="B91" t="s">
        <v>2236</v>
      </c>
      <c r="C91" s="82">
        <v>72</v>
      </c>
      <c r="D91" s="21">
        <v>0.72916666666666663</v>
      </c>
      <c r="E91" s="21">
        <v>52.5</v>
      </c>
    </row>
    <row r="92" spans="1:5">
      <c r="A92" t="s">
        <v>1535</v>
      </c>
      <c r="B92" t="s">
        <v>1534</v>
      </c>
      <c r="C92" s="82">
        <v>24</v>
      </c>
      <c r="D92" s="21">
        <v>0.72916666666666663</v>
      </c>
      <c r="E92" s="21">
        <v>17.5</v>
      </c>
    </row>
    <row r="93" spans="1:5">
      <c r="A93" t="s">
        <v>508</v>
      </c>
      <c r="B93" t="s">
        <v>507</v>
      </c>
      <c r="C93" s="82">
        <v>6</v>
      </c>
      <c r="D93" s="21">
        <v>0.72916666666666663</v>
      </c>
      <c r="E93" s="21">
        <v>4.375</v>
      </c>
    </row>
    <row r="94" spans="1:5">
      <c r="A94" t="s">
        <v>857</v>
      </c>
      <c r="B94" t="s">
        <v>856</v>
      </c>
      <c r="C94" s="82">
        <v>1</v>
      </c>
      <c r="D94" s="21">
        <v>1.3125</v>
      </c>
      <c r="E94" s="21">
        <v>1.3125</v>
      </c>
    </row>
    <row r="95" spans="1:5">
      <c r="A95" t="s">
        <v>1708</v>
      </c>
      <c r="B95" t="s">
        <v>1707</v>
      </c>
      <c r="C95" s="82">
        <v>1</v>
      </c>
      <c r="D95" s="21">
        <v>0.6</v>
      </c>
      <c r="E95" s="21">
        <v>0.6</v>
      </c>
    </row>
  </sheetData>
  <customSheetViews>
    <customSheetView guid="{D03BBA77-B0D6-4284-98FD-BE2506FB6F43}">
      <selection activeCell="E18" sqref="E18"/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6"/>
  <dimension ref="A1:K31"/>
  <sheetViews>
    <sheetView topLeftCell="C1" workbookViewId="0">
      <selection activeCell="D4" sqref="D4"/>
    </sheetView>
  </sheetViews>
  <sheetFormatPr baseColWidth="10" defaultColWidth="11.44140625" defaultRowHeight="14.4"/>
  <cols>
    <col min="1" max="1" width="18.33203125" bestFit="1" customWidth="1"/>
    <col min="2" max="2" width="43.88671875" bestFit="1" customWidth="1"/>
    <col min="3" max="5" width="17.44140625" bestFit="1" customWidth="1"/>
    <col min="8" max="8" width="13" customWidth="1"/>
  </cols>
  <sheetData>
    <row r="1" spans="1:11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1">
      <c r="A2">
        <v>69761861</v>
      </c>
      <c r="B2" t="s">
        <v>1987</v>
      </c>
      <c r="C2" s="82">
        <v>2688</v>
      </c>
      <c r="D2" s="21">
        <v>0.19833333333333333</v>
      </c>
      <c r="E2" s="21">
        <v>533.12</v>
      </c>
      <c r="G2" s="21">
        <f>SUM(E:E)</f>
        <v>1561.8200000000002</v>
      </c>
      <c r="H2" s="21">
        <f>CONVERT(G2,"lbm","cwt")</f>
        <v>15.618200000000002</v>
      </c>
    </row>
    <row r="3" spans="1:11">
      <c r="A3">
        <v>69761868</v>
      </c>
      <c r="B3" t="s">
        <v>2024</v>
      </c>
      <c r="C3" s="82">
        <v>5184</v>
      </c>
      <c r="D3" s="21">
        <v>0.19843750000000002</v>
      </c>
      <c r="E3" s="21">
        <v>1028.7</v>
      </c>
    </row>
    <row r="4" spans="1:11">
      <c r="K4" s="51"/>
    </row>
    <row r="5" spans="1:11" ht="15" thickBot="1">
      <c r="G5" s="23" t="s">
        <v>1095</v>
      </c>
      <c r="H5" s="24" t="s">
        <v>1096</v>
      </c>
      <c r="I5" s="23" t="s">
        <v>1106</v>
      </c>
      <c r="J5" s="27"/>
    </row>
    <row r="6" spans="1:11" ht="15" thickTop="1">
      <c r="G6" s="25" t="s">
        <v>1097</v>
      </c>
      <c r="H6" s="25">
        <v>50</v>
      </c>
      <c r="I6" s="26">
        <f>Tabla242[QUINTALES]/H6</f>
        <v>0.31236400000000003</v>
      </c>
      <c r="J6" s="21"/>
    </row>
    <row r="7" spans="1:11">
      <c r="J7" s="21"/>
    </row>
    <row r="8" spans="1:11" ht="15" thickBot="1">
      <c r="G8" s="23" t="s">
        <v>1095</v>
      </c>
      <c r="H8" s="24" t="s">
        <v>1096</v>
      </c>
      <c r="I8" s="23" t="s">
        <v>1106</v>
      </c>
      <c r="J8" s="21"/>
    </row>
    <row r="9" spans="1:11" ht="15" thickTop="1">
      <c r="G9" s="25" t="s">
        <v>1098</v>
      </c>
      <c r="H9" s="25">
        <v>50</v>
      </c>
      <c r="I9" s="26">
        <f>Tabla242[QUINTALES]/H9</f>
        <v>0.31236400000000003</v>
      </c>
      <c r="J9" s="21"/>
    </row>
    <row r="10" spans="1:11">
      <c r="J10" s="21"/>
    </row>
    <row r="11" spans="1:11" ht="15" thickBot="1">
      <c r="G11" s="23" t="s">
        <v>1095</v>
      </c>
      <c r="H11" s="24" t="s">
        <v>1096</v>
      </c>
      <c r="I11" s="23" t="s">
        <v>1106</v>
      </c>
      <c r="J11" s="21"/>
    </row>
    <row r="12" spans="1:11" ht="15" thickTop="1">
      <c r="G12" s="25" t="s">
        <v>1099</v>
      </c>
      <c r="H12" s="25">
        <v>50</v>
      </c>
      <c r="I12" s="26">
        <f>Tabla242[QUINTALES]/H12</f>
        <v>0.31236400000000003</v>
      </c>
      <c r="J12" s="21"/>
    </row>
    <row r="13" spans="1:11">
      <c r="J13" s="21"/>
    </row>
    <row r="14" spans="1:11" ht="15" thickBot="1">
      <c r="G14" s="23" t="s">
        <v>1095</v>
      </c>
      <c r="H14" s="24" t="s">
        <v>1096</v>
      </c>
      <c r="I14" s="23" t="s">
        <v>1106</v>
      </c>
      <c r="J14" s="21"/>
    </row>
    <row r="15" spans="1:11" ht="15" thickTop="1">
      <c r="G15" s="25" t="s">
        <v>1100</v>
      </c>
      <c r="H15" s="25">
        <v>50</v>
      </c>
      <c r="I15" s="26">
        <f>Tabla242[QUINTALES]/H15</f>
        <v>0.31236400000000003</v>
      </c>
    </row>
    <row r="17" spans="7:9" ht="15" thickBot="1">
      <c r="G17" s="23" t="s">
        <v>1095</v>
      </c>
      <c r="H17" s="24" t="s">
        <v>1096</v>
      </c>
      <c r="I17" s="23" t="s">
        <v>1106</v>
      </c>
    </row>
    <row r="18" spans="7:9" ht="15" thickTop="1">
      <c r="G18" s="25" t="s">
        <v>1101</v>
      </c>
      <c r="H18" s="25">
        <v>50</v>
      </c>
      <c r="I18" s="26">
        <f>Tabla242[QUINTALES]/H18</f>
        <v>0.31236400000000003</v>
      </c>
    </row>
    <row r="20" spans="7:9" ht="15" thickBot="1">
      <c r="G20" s="23" t="s">
        <v>1095</v>
      </c>
      <c r="H20" s="24" t="s">
        <v>1096</v>
      </c>
      <c r="I20" s="23" t="s">
        <v>1106</v>
      </c>
    </row>
    <row r="21" spans="7:9" ht="15" thickTop="1">
      <c r="G21" s="25" t="s">
        <v>1102</v>
      </c>
      <c r="H21" s="25">
        <v>50</v>
      </c>
      <c r="I21" s="26">
        <f>Tabla10[QUINTALES]/H21</f>
        <v>0.72394814472222246</v>
      </c>
    </row>
    <row r="23" spans="7:9" ht="15" thickBot="1">
      <c r="G23" s="23" t="s">
        <v>1095</v>
      </c>
      <c r="H23" s="24" t="s">
        <v>1096</v>
      </c>
      <c r="I23" s="23" t="s">
        <v>1106</v>
      </c>
    </row>
    <row r="24" spans="7:9" ht="15" thickTop="1">
      <c r="G24" s="25" t="s">
        <v>1103</v>
      </c>
      <c r="H24" s="25">
        <v>30</v>
      </c>
      <c r="I24" s="26">
        <f>Tabla242[QUINTALES]/H24</f>
        <v>0.52060666666666677</v>
      </c>
    </row>
    <row r="27" spans="7:9" ht="15" thickBot="1">
      <c r="G27" s="23" t="s">
        <v>1095</v>
      </c>
      <c r="H27" s="24" t="s">
        <v>1096</v>
      </c>
      <c r="I27" s="23" t="s">
        <v>1106</v>
      </c>
    </row>
    <row r="28" spans="7:9" ht="15" thickTop="1">
      <c r="G28" s="25" t="s">
        <v>1104</v>
      </c>
      <c r="H28" s="25">
        <v>70</v>
      </c>
      <c r="I28" s="26">
        <f>Tabla242[QUINTALES]/H28</f>
        <v>0.22311714285714287</v>
      </c>
    </row>
    <row r="30" spans="7:9" ht="15" thickBot="1">
      <c r="G30" s="23" t="s">
        <v>1095</v>
      </c>
      <c r="H30" s="24" t="s">
        <v>1096</v>
      </c>
      <c r="I30" s="23" t="s">
        <v>1106</v>
      </c>
    </row>
    <row r="31" spans="7:9" ht="15" thickTop="1">
      <c r="G31" s="25" t="s">
        <v>1105</v>
      </c>
      <c r="H31" s="25">
        <v>70</v>
      </c>
      <c r="I31" s="26">
        <f>Tabla242[QUINTALES]/H31</f>
        <v>0.22311714285714287</v>
      </c>
    </row>
  </sheetData>
  <pageMargins left="0.7" right="0.7" top="0.75" bottom="0.75" header="0.3" footer="0.3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15C50-5925-448A-A587-EF89328A7A75}">
  <sheetPr codeName="Hoja17"/>
  <dimension ref="A1:K99"/>
  <sheetViews>
    <sheetView topLeftCell="C1" workbookViewId="0">
      <selection activeCell="D4" sqref="D4"/>
    </sheetView>
  </sheetViews>
  <sheetFormatPr baseColWidth="10" defaultColWidth="11.44140625" defaultRowHeight="14.4"/>
  <cols>
    <col min="1" max="1" width="18.33203125" bestFit="1" customWidth="1"/>
    <col min="2" max="2" width="47" bestFit="1" customWidth="1"/>
    <col min="3" max="5" width="17.44140625" bestFit="1" customWidth="1"/>
    <col min="8" max="8" width="13" customWidth="1"/>
  </cols>
  <sheetData>
    <row r="1" spans="1:11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1">
      <c r="A2">
        <v>60000210</v>
      </c>
      <c r="B2" t="s">
        <v>148</v>
      </c>
      <c r="C2" s="82">
        <v>38</v>
      </c>
      <c r="D2" s="21">
        <v>0.77200000000000002</v>
      </c>
      <c r="E2" s="21">
        <v>29.336000000000002</v>
      </c>
      <c r="G2" s="21">
        <f>SUM(E:E)</f>
        <v>1771.7684216076823</v>
      </c>
      <c r="H2" s="21">
        <f>CONVERT(G2,"lbm","cwt")</f>
        <v>17.717684216076822</v>
      </c>
    </row>
    <row r="3" spans="1:11">
      <c r="A3">
        <v>620845</v>
      </c>
      <c r="B3" t="s">
        <v>1627</v>
      </c>
      <c r="C3" s="82">
        <v>4</v>
      </c>
      <c r="D3" s="21">
        <v>1.6555555555555557</v>
      </c>
      <c r="E3" s="21">
        <v>6.6222222222222227</v>
      </c>
    </row>
    <row r="4" spans="1:11">
      <c r="A4">
        <v>621330</v>
      </c>
      <c r="B4" t="s">
        <v>652</v>
      </c>
      <c r="C4" s="82">
        <v>12</v>
      </c>
      <c r="D4" s="21">
        <v>0.8833333333333333</v>
      </c>
      <c r="E4" s="21">
        <v>10.6</v>
      </c>
      <c r="K4" s="51"/>
    </row>
    <row r="5" spans="1:11" ht="15" thickBot="1">
      <c r="A5">
        <v>60000094</v>
      </c>
      <c r="B5" t="s">
        <v>1387</v>
      </c>
      <c r="C5" s="82">
        <v>9</v>
      </c>
      <c r="D5" s="21">
        <v>1.76</v>
      </c>
      <c r="E5" s="21">
        <v>15.84</v>
      </c>
      <c r="G5" s="23" t="s">
        <v>1095</v>
      </c>
      <c r="H5" s="24" t="s">
        <v>1096</v>
      </c>
      <c r="I5" s="23" t="s">
        <v>1106</v>
      </c>
      <c r="J5" s="27"/>
    </row>
    <row r="6" spans="1:11" ht="15" thickTop="1">
      <c r="A6">
        <v>400000411</v>
      </c>
      <c r="B6" t="s">
        <v>582</v>
      </c>
      <c r="C6" s="82">
        <v>10</v>
      </c>
      <c r="D6" s="21">
        <v>0.5</v>
      </c>
      <c r="E6" s="21">
        <v>5</v>
      </c>
      <c r="G6" s="25" t="s">
        <v>1097</v>
      </c>
      <c r="H6" s="25">
        <v>50</v>
      </c>
      <c r="I6" s="26">
        <f>Tabla24241[QUINTALES]/H6</f>
        <v>0.35435368432153647</v>
      </c>
      <c r="J6" s="21"/>
    </row>
    <row r="7" spans="1:11">
      <c r="A7">
        <v>5460400</v>
      </c>
      <c r="B7" t="s">
        <v>2133</v>
      </c>
      <c r="C7" s="82">
        <v>36</v>
      </c>
      <c r="D7" s="21">
        <v>0.75</v>
      </c>
      <c r="E7" s="21">
        <v>27</v>
      </c>
      <c r="J7" s="21"/>
    </row>
    <row r="8" spans="1:11" ht="15" thickBot="1">
      <c r="A8">
        <v>10010010010</v>
      </c>
      <c r="B8" t="s">
        <v>146</v>
      </c>
      <c r="C8" s="82">
        <v>25</v>
      </c>
      <c r="D8" s="21">
        <v>0.88200000000000001</v>
      </c>
      <c r="E8" s="21">
        <v>22.05</v>
      </c>
      <c r="G8" s="23" t="s">
        <v>1095</v>
      </c>
      <c r="H8" s="24" t="s">
        <v>1096</v>
      </c>
      <c r="I8" s="23" t="s">
        <v>1106</v>
      </c>
      <c r="J8" s="21"/>
    </row>
    <row r="9" spans="1:11" ht="15" thickTop="1">
      <c r="A9">
        <v>400000158</v>
      </c>
      <c r="B9" t="s">
        <v>586</v>
      </c>
      <c r="C9" s="82">
        <v>24</v>
      </c>
      <c r="D9" s="21">
        <v>0.29166666666666669</v>
      </c>
      <c r="E9" s="21">
        <v>7</v>
      </c>
      <c r="G9" s="25" t="s">
        <v>1098</v>
      </c>
      <c r="H9" s="25">
        <v>50</v>
      </c>
      <c r="I9" s="26">
        <f>Tabla24241[QUINTALES]/H9</f>
        <v>0.35435368432153647</v>
      </c>
      <c r="J9" s="21"/>
    </row>
    <row r="10" spans="1:11">
      <c r="A10">
        <v>620500</v>
      </c>
      <c r="B10" t="s">
        <v>2261</v>
      </c>
      <c r="C10" s="82">
        <v>12</v>
      </c>
      <c r="D10" s="21">
        <v>2</v>
      </c>
      <c r="E10" s="21">
        <v>24</v>
      </c>
      <c r="J10" s="21"/>
    </row>
    <row r="11" spans="1:11" ht="15" thickBot="1">
      <c r="A11">
        <v>400000161</v>
      </c>
      <c r="B11" t="s">
        <v>594</v>
      </c>
      <c r="C11" s="82">
        <v>50</v>
      </c>
      <c r="D11" s="21">
        <v>0.03</v>
      </c>
      <c r="E11" s="21">
        <v>1.5</v>
      </c>
      <c r="G11" s="23" t="s">
        <v>1095</v>
      </c>
      <c r="H11" s="24" t="s">
        <v>1096</v>
      </c>
      <c r="I11" s="23" t="s">
        <v>1106</v>
      </c>
      <c r="J11" s="21"/>
    </row>
    <row r="12" spans="1:11" ht="15" thickTop="1">
      <c r="A12">
        <v>620678</v>
      </c>
      <c r="B12" t="s">
        <v>654</v>
      </c>
      <c r="C12" s="82">
        <v>12</v>
      </c>
      <c r="D12" s="21">
        <v>1</v>
      </c>
      <c r="E12" s="21">
        <v>12</v>
      </c>
      <c r="G12" s="25" t="s">
        <v>1099</v>
      </c>
      <c r="H12" s="25">
        <v>50</v>
      </c>
      <c r="I12" s="26">
        <f>Tabla24241[QUINTALES]/H12</f>
        <v>0.35435368432153647</v>
      </c>
      <c r="J12" s="21"/>
    </row>
    <row r="13" spans="1:11">
      <c r="A13">
        <v>50491107</v>
      </c>
      <c r="B13" t="s">
        <v>1897</v>
      </c>
      <c r="C13" s="82">
        <v>2</v>
      </c>
      <c r="D13" s="21">
        <v>2.65</v>
      </c>
      <c r="E13" s="21">
        <v>5.3</v>
      </c>
      <c r="J13" s="21"/>
    </row>
    <row r="14" spans="1:11" ht="15" thickBot="1">
      <c r="A14">
        <v>50491108</v>
      </c>
      <c r="B14" t="s">
        <v>2010</v>
      </c>
      <c r="C14" s="82">
        <v>2</v>
      </c>
      <c r="D14" s="21">
        <v>2.65</v>
      </c>
      <c r="E14" s="21">
        <v>5.3</v>
      </c>
      <c r="G14" s="23" t="s">
        <v>1095</v>
      </c>
      <c r="H14" s="24" t="s">
        <v>1096</v>
      </c>
      <c r="I14" s="23" t="s">
        <v>1106</v>
      </c>
      <c r="J14" s="21"/>
    </row>
    <row r="15" spans="1:11" ht="15" thickTop="1">
      <c r="A15">
        <v>50491109</v>
      </c>
      <c r="B15" t="s">
        <v>1584</v>
      </c>
      <c r="C15" s="82">
        <v>2</v>
      </c>
      <c r="D15" s="21">
        <v>2.65</v>
      </c>
      <c r="E15" s="21">
        <v>5.3</v>
      </c>
      <c r="G15" s="25" t="s">
        <v>1100</v>
      </c>
      <c r="H15" s="25">
        <v>50</v>
      </c>
      <c r="I15" s="26">
        <f>Tabla24241[QUINTALES]/H15</f>
        <v>0.35435368432153647</v>
      </c>
    </row>
    <row r="16" spans="1:11">
      <c r="A16">
        <v>576003</v>
      </c>
      <c r="B16" t="s">
        <v>2084</v>
      </c>
      <c r="C16" s="82">
        <v>62</v>
      </c>
      <c r="D16" s="21">
        <v>0.11944444444444444</v>
      </c>
      <c r="E16" s="21">
        <v>7.405555555555555</v>
      </c>
    </row>
    <row r="17" spans="1:9" ht="15" thickBot="1">
      <c r="A17">
        <v>578086</v>
      </c>
      <c r="B17" t="s">
        <v>642</v>
      </c>
      <c r="C17" s="82">
        <v>6</v>
      </c>
      <c r="D17" s="21">
        <v>6.6666666666666666E-2</v>
      </c>
      <c r="E17" s="21">
        <v>0.4</v>
      </c>
      <c r="G17" s="23" t="s">
        <v>1095</v>
      </c>
      <c r="H17" s="24" t="s">
        <v>1096</v>
      </c>
      <c r="I17" s="23" t="s">
        <v>1106</v>
      </c>
    </row>
    <row r="18" spans="1:9" ht="15" thickTop="1">
      <c r="A18">
        <v>579410</v>
      </c>
      <c r="B18" t="s">
        <v>2282</v>
      </c>
      <c r="C18" s="82">
        <v>15</v>
      </c>
      <c r="D18" s="21">
        <v>0.11041666666666666</v>
      </c>
      <c r="E18" s="21">
        <v>1.65625</v>
      </c>
      <c r="G18" s="25" t="s">
        <v>1101</v>
      </c>
      <c r="H18" s="25">
        <v>50</v>
      </c>
      <c r="I18" s="26">
        <f>Tabla24241[QUINTALES]/H18</f>
        <v>0.35435368432153647</v>
      </c>
    </row>
    <row r="19" spans="1:9">
      <c r="A19">
        <v>579411</v>
      </c>
      <c r="B19" t="s">
        <v>2281</v>
      </c>
      <c r="C19" s="82">
        <v>18</v>
      </c>
      <c r="D19" s="21">
        <v>0.11041666666666666</v>
      </c>
      <c r="E19" s="21">
        <v>1.9874999999999998</v>
      </c>
    </row>
    <row r="20" spans="1:9" ht="15" thickBot="1">
      <c r="A20">
        <v>583415</v>
      </c>
      <c r="B20" t="s">
        <v>644</v>
      </c>
      <c r="C20" s="82">
        <v>1</v>
      </c>
      <c r="D20" s="21">
        <v>0.19583333333333333</v>
      </c>
      <c r="E20" s="21">
        <v>0.19583333333333333</v>
      </c>
      <c r="G20" s="23" t="s">
        <v>1095</v>
      </c>
      <c r="H20" s="24" t="s">
        <v>1096</v>
      </c>
      <c r="I20" s="23" t="s">
        <v>1106</v>
      </c>
    </row>
    <row r="21" spans="1:9" ht="15" thickTop="1">
      <c r="A21">
        <v>586703</v>
      </c>
      <c r="B21" t="s">
        <v>2257</v>
      </c>
      <c r="C21" s="82">
        <v>18</v>
      </c>
      <c r="D21" s="21">
        <v>0.12833333333333333</v>
      </c>
      <c r="E21" s="21">
        <v>2.31</v>
      </c>
      <c r="G21" s="25" t="s">
        <v>1102</v>
      </c>
      <c r="H21" s="25">
        <v>50</v>
      </c>
      <c r="I21" s="26">
        <f>Tabla10[QUINTALES]/H21</f>
        <v>0.72394814472222246</v>
      </c>
    </row>
    <row r="22" spans="1:9">
      <c r="A22">
        <v>67409831</v>
      </c>
      <c r="B22" t="s">
        <v>83</v>
      </c>
      <c r="C22" s="82">
        <v>161</v>
      </c>
      <c r="D22" s="21">
        <v>0.79999999999999993</v>
      </c>
      <c r="E22" s="21">
        <v>128.79999999999998</v>
      </c>
    </row>
    <row r="23" spans="1:9" ht="15" thickBot="1">
      <c r="A23">
        <v>67611010</v>
      </c>
      <c r="B23" t="s">
        <v>1181</v>
      </c>
      <c r="C23" s="82">
        <v>39</v>
      </c>
      <c r="D23" s="21">
        <v>2.65</v>
      </c>
      <c r="E23" s="21">
        <v>103.35</v>
      </c>
      <c r="G23" s="23" t="s">
        <v>1095</v>
      </c>
      <c r="H23" s="24" t="s">
        <v>1096</v>
      </c>
      <c r="I23" s="23" t="s">
        <v>1106</v>
      </c>
    </row>
    <row r="24" spans="1:9" ht="15" thickTop="1">
      <c r="A24">
        <v>67767705</v>
      </c>
      <c r="B24" t="s">
        <v>276</v>
      </c>
      <c r="C24" s="82">
        <v>6</v>
      </c>
      <c r="D24" s="21">
        <v>6.6666666666666666E-2</v>
      </c>
      <c r="E24" s="21">
        <v>0.4</v>
      </c>
      <c r="G24" s="25" t="s">
        <v>1103</v>
      </c>
      <c r="H24" s="25">
        <v>30</v>
      </c>
      <c r="I24" s="26">
        <f>Tabla24241[QUINTALES]/H24</f>
        <v>0.59058947386922744</v>
      </c>
    </row>
    <row r="25" spans="1:9">
      <c r="A25">
        <v>68524861</v>
      </c>
      <c r="B25" t="s">
        <v>1144</v>
      </c>
      <c r="C25" s="82">
        <v>6</v>
      </c>
      <c r="D25" s="21">
        <v>0.61875000000000002</v>
      </c>
      <c r="E25" s="21">
        <v>3.7125000000000004</v>
      </c>
    </row>
    <row r="26" spans="1:9">
      <c r="A26">
        <v>69584500</v>
      </c>
      <c r="B26" t="s">
        <v>2166</v>
      </c>
      <c r="C26" s="82">
        <v>12</v>
      </c>
      <c r="D26" s="21">
        <v>9.9124999999999991E-2</v>
      </c>
      <c r="E26" s="21">
        <v>1.1894999999999998</v>
      </c>
    </row>
    <row r="27" spans="1:9" ht="15" thickBot="1">
      <c r="A27">
        <v>84157362</v>
      </c>
      <c r="B27" t="s">
        <v>275</v>
      </c>
      <c r="C27" s="82">
        <v>6</v>
      </c>
      <c r="D27" s="21">
        <v>6.6666666666666666E-2</v>
      </c>
      <c r="E27" s="21">
        <v>0.4</v>
      </c>
      <c r="G27" s="23" t="s">
        <v>1095</v>
      </c>
      <c r="H27" s="24" t="s">
        <v>1096</v>
      </c>
      <c r="I27" s="23" t="s">
        <v>1106</v>
      </c>
    </row>
    <row r="28" spans="1:9" ht="15" thickTop="1">
      <c r="A28">
        <v>588828</v>
      </c>
      <c r="B28" t="s">
        <v>2280</v>
      </c>
      <c r="C28" s="82">
        <v>3</v>
      </c>
      <c r="D28" s="21">
        <v>0.21666666666666667</v>
      </c>
      <c r="E28" s="21">
        <v>0.65</v>
      </c>
      <c r="G28" s="25" t="s">
        <v>1104</v>
      </c>
      <c r="H28" s="25">
        <v>70</v>
      </c>
      <c r="I28" s="26">
        <f>Tabla24241[QUINTALES]/H28</f>
        <v>0.25310977451538319</v>
      </c>
    </row>
    <row r="29" spans="1:9">
      <c r="A29">
        <v>400000221</v>
      </c>
      <c r="B29" t="s">
        <v>587</v>
      </c>
      <c r="C29" s="82">
        <v>14</v>
      </c>
      <c r="D29" s="21">
        <v>0.8</v>
      </c>
      <c r="E29" s="21">
        <v>11.200000000000001</v>
      </c>
    </row>
    <row r="30" spans="1:9" ht="15" thickBot="1">
      <c r="A30">
        <v>50491133</v>
      </c>
      <c r="B30" t="s">
        <v>1761</v>
      </c>
      <c r="C30" s="82">
        <v>12</v>
      </c>
      <c r="D30" s="21">
        <v>3.3049999999999997</v>
      </c>
      <c r="E30" s="21">
        <v>39.659999999999997</v>
      </c>
      <c r="G30" s="23" t="s">
        <v>1095</v>
      </c>
      <c r="H30" s="24" t="s">
        <v>1096</v>
      </c>
      <c r="I30" s="23" t="s">
        <v>1106</v>
      </c>
    </row>
    <row r="31" spans="1:9" ht="15" thickTop="1">
      <c r="A31">
        <v>400000160</v>
      </c>
      <c r="B31" t="s">
        <v>584</v>
      </c>
      <c r="C31" s="82">
        <v>5</v>
      </c>
      <c r="D31" s="21">
        <v>1.4166666666666667</v>
      </c>
      <c r="E31" s="21">
        <v>7.0833333333333339</v>
      </c>
      <c r="G31" s="25" t="s">
        <v>1105</v>
      </c>
      <c r="H31" s="25">
        <v>70</v>
      </c>
      <c r="I31" s="26">
        <f>Tabla24241[QUINTALES]/H31</f>
        <v>0.25310977451538319</v>
      </c>
    </row>
    <row r="32" spans="1:9">
      <c r="A32">
        <v>68637162</v>
      </c>
      <c r="B32" t="s">
        <v>1202</v>
      </c>
      <c r="C32" s="82">
        <v>113</v>
      </c>
      <c r="D32" s="21">
        <v>1.4624999999999999</v>
      </c>
      <c r="E32" s="21">
        <v>165.26249999999999</v>
      </c>
    </row>
    <row r="33" spans="1:5">
      <c r="A33">
        <v>68380352</v>
      </c>
      <c r="B33" t="s">
        <v>1242</v>
      </c>
      <c r="C33" s="82">
        <v>1</v>
      </c>
      <c r="D33" s="21">
        <v>0.19166666666666665</v>
      </c>
      <c r="E33" s="21">
        <v>0.19166666666666665</v>
      </c>
    </row>
    <row r="34" spans="1:5">
      <c r="A34">
        <v>579407</v>
      </c>
      <c r="B34" t="s">
        <v>2230</v>
      </c>
      <c r="C34" s="82">
        <v>5</v>
      </c>
      <c r="D34" s="21">
        <v>0.11041666666666666</v>
      </c>
      <c r="E34" s="21">
        <v>0.55208333333333326</v>
      </c>
    </row>
    <row r="35" spans="1:5">
      <c r="A35">
        <v>68444066</v>
      </c>
      <c r="B35" t="s">
        <v>1859</v>
      </c>
      <c r="C35" s="82">
        <v>1</v>
      </c>
      <c r="D35" s="21">
        <v>0.19416666666666668</v>
      </c>
      <c r="E35" s="21">
        <v>0.19416666666666668</v>
      </c>
    </row>
    <row r="36" spans="1:5">
      <c r="A36">
        <v>52480086</v>
      </c>
      <c r="B36" t="s">
        <v>1939</v>
      </c>
      <c r="C36" s="82">
        <v>3</v>
      </c>
      <c r="D36" s="21">
        <v>0.23805555555555558</v>
      </c>
      <c r="E36" s="21">
        <v>0.71416666666666673</v>
      </c>
    </row>
    <row r="37" spans="1:5">
      <c r="A37">
        <v>68441503</v>
      </c>
      <c r="B37" t="s">
        <v>1804</v>
      </c>
      <c r="C37" s="82">
        <v>1</v>
      </c>
      <c r="D37" s="21">
        <v>0.21416666666666664</v>
      </c>
      <c r="E37" s="21">
        <v>0.21416666666666664</v>
      </c>
    </row>
    <row r="38" spans="1:5">
      <c r="A38">
        <v>69780941</v>
      </c>
      <c r="B38" t="s">
        <v>1951</v>
      </c>
      <c r="C38" s="82">
        <v>288</v>
      </c>
      <c r="D38" s="21">
        <v>0.19833333333333333</v>
      </c>
      <c r="E38" s="21">
        <v>57.12</v>
      </c>
    </row>
    <row r="39" spans="1:5">
      <c r="A39">
        <v>69761870</v>
      </c>
      <c r="B39" t="s">
        <v>1972</v>
      </c>
      <c r="C39" s="82">
        <v>36</v>
      </c>
      <c r="D39" s="21">
        <v>0.19833333333333333</v>
      </c>
      <c r="E39" s="21">
        <v>7.14</v>
      </c>
    </row>
    <row r="40" spans="1:5">
      <c r="A40">
        <v>69627014</v>
      </c>
      <c r="B40" t="s">
        <v>2003</v>
      </c>
      <c r="C40" s="82">
        <v>2</v>
      </c>
      <c r="D40" s="21">
        <v>0.19166666666666665</v>
      </c>
      <c r="E40" s="21">
        <v>0.3833333333333333</v>
      </c>
    </row>
    <row r="41" spans="1:5">
      <c r="A41">
        <v>69761861</v>
      </c>
      <c r="B41" t="s">
        <v>1987</v>
      </c>
      <c r="C41" s="82">
        <v>13</v>
      </c>
      <c r="D41" s="21">
        <v>0.19833333333333333</v>
      </c>
      <c r="E41" s="21">
        <v>2.5783333333333331</v>
      </c>
    </row>
    <row r="42" spans="1:5">
      <c r="A42">
        <v>68798139</v>
      </c>
      <c r="B42" t="s">
        <v>1993</v>
      </c>
      <c r="C42" s="82">
        <v>8</v>
      </c>
      <c r="D42" s="21">
        <v>0.1275</v>
      </c>
      <c r="E42" s="21">
        <v>1.02</v>
      </c>
    </row>
    <row r="43" spans="1:5">
      <c r="A43">
        <v>50470118</v>
      </c>
      <c r="B43" t="s">
        <v>2278</v>
      </c>
      <c r="C43" s="82">
        <v>4</v>
      </c>
      <c r="D43" s="21">
        <v>0.82750000000000001</v>
      </c>
      <c r="E43" s="21">
        <v>3.31</v>
      </c>
    </row>
    <row r="44" spans="1:5">
      <c r="A44">
        <v>50470111</v>
      </c>
      <c r="B44" t="s">
        <v>2055</v>
      </c>
      <c r="C44" s="82">
        <v>8</v>
      </c>
      <c r="D44" s="21">
        <v>2.48</v>
      </c>
      <c r="E44" s="21">
        <v>19.84</v>
      </c>
    </row>
    <row r="45" spans="1:5">
      <c r="A45">
        <v>69678218</v>
      </c>
      <c r="B45" t="s">
        <v>2219</v>
      </c>
      <c r="C45" s="82">
        <v>6</v>
      </c>
      <c r="D45" s="21">
        <v>0.61875000000000002</v>
      </c>
      <c r="E45" s="21">
        <v>3.7125000000000004</v>
      </c>
    </row>
    <row r="46" spans="1:5">
      <c r="A46">
        <v>69678220</v>
      </c>
      <c r="B46" t="s">
        <v>2220</v>
      </c>
      <c r="C46" s="82">
        <v>3</v>
      </c>
      <c r="D46" s="21">
        <v>0.61875000000000002</v>
      </c>
      <c r="E46" s="21">
        <v>1.8562500000000002</v>
      </c>
    </row>
    <row r="47" spans="1:5">
      <c r="A47" t="s">
        <v>671</v>
      </c>
      <c r="B47" t="s">
        <v>670</v>
      </c>
      <c r="C47" s="82">
        <v>12</v>
      </c>
      <c r="D47" s="21">
        <v>0.25</v>
      </c>
      <c r="E47" s="21">
        <v>3</v>
      </c>
    </row>
    <row r="48" spans="1:5">
      <c r="A48" t="s">
        <v>109</v>
      </c>
      <c r="B48" t="s">
        <v>108</v>
      </c>
      <c r="C48" s="82">
        <v>265</v>
      </c>
      <c r="D48" s="21">
        <v>0.44166666666666665</v>
      </c>
      <c r="E48" s="21">
        <v>117.04166666666666</v>
      </c>
    </row>
    <row r="49" spans="1:5">
      <c r="A49" t="s">
        <v>107</v>
      </c>
      <c r="B49" t="s">
        <v>106</v>
      </c>
      <c r="C49" s="82">
        <v>362</v>
      </c>
      <c r="D49" s="21">
        <v>0.44166666666666665</v>
      </c>
      <c r="E49" s="21">
        <v>159.88333333333333</v>
      </c>
    </row>
    <row r="50" spans="1:5">
      <c r="A50" t="s">
        <v>1716</v>
      </c>
      <c r="B50" t="s">
        <v>1715</v>
      </c>
      <c r="C50" s="82">
        <v>2</v>
      </c>
      <c r="D50" s="21">
        <v>0.25</v>
      </c>
      <c r="E50" s="21">
        <v>0.5</v>
      </c>
    </row>
    <row r="51" spans="1:5">
      <c r="A51">
        <v>69678219</v>
      </c>
      <c r="B51" t="s">
        <v>2240</v>
      </c>
      <c r="C51" s="82">
        <v>11</v>
      </c>
      <c r="D51" s="21">
        <v>0.55541666666666667</v>
      </c>
      <c r="E51" s="21">
        <v>6.1095833333333331</v>
      </c>
    </row>
    <row r="52" spans="1:5">
      <c r="A52" t="s">
        <v>529</v>
      </c>
      <c r="B52" t="s">
        <v>528</v>
      </c>
      <c r="C52" s="82">
        <v>48</v>
      </c>
      <c r="D52" s="21">
        <v>0.34375</v>
      </c>
      <c r="E52" s="21">
        <v>16.5</v>
      </c>
    </row>
    <row r="53" spans="1:5">
      <c r="A53" t="s">
        <v>2179</v>
      </c>
      <c r="B53" t="s">
        <v>2178</v>
      </c>
      <c r="C53" s="82">
        <v>2</v>
      </c>
      <c r="D53" s="21">
        <v>0.42333333333333334</v>
      </c>
      <c r="E53" s="21">
        <v>0.84666666666666668</v>
      </c>
    </row>
    <row r="54" spans="1:5">
      <c r="A54" t="s">
        <v>2228</v>
      </c>
      <c r="B54" t="s">
        <v>2227</v>
      </c>
      <c r="C54" s="82">
        <v>110</v>
      </c>
      <c r="D54" s="21">
        <v>0.33958333333333335</v>
      </c>
      <c r="E54" s="21">
        <v>37.354166666666671</v>
      </c>
    </row>
    <row r="55" spans="1:5">
      <c r="A55" t="s">
        <v>1277</v>
      </c>
      <c r="B55" t="s">
        <v>1276</v>
      </c>
      <c r="C55" s="82">
        <v>1</v>
      </c>
      <c r="D55" s="21">
        <v>0.22041666666666668</v>
      </c>
      <c r="E55" s="21">
        <v>0.22041666666666668</v>
      </c>
    </row>
    <row r="56" spans="1:5">
      <c r="A56">
        <v>400000542</v>
      </c>
      <c r="B56" t="s">
        <v>2251</v>
      </c>
      <c r="C56" s="82">
        <v>12</v>
      </c>
      <c r="D56" s="21">
        <v>1.7</v>
      </c>
      <c r="E56" s="21">
        <v>20.399999999999999</v>
      </c>
    </row>
    <row r="57" spans="1:5">
      <c r="A57" t="s">
        <v>21</v>
      </c>
      <c r="B57" t="s">
        <v>20</v>
      </c>
      <c r="C57" s="82">
        <v>9</v>
      </c>
      <c r="D57" s="21">
        <v>0.8833333333333333</v>
      </c>
      <c r="E57" s="21">
        <v>7.9499999999999993</v>
      </c>
    </row>
    <row r="58" spans="1:5">
      <c r="A58" t="s">
        <v>1269</v>
      </c>
      <c r="B58" t="s">
        <v>1647</v>
      </c>
      <c r="C58" s="82">
        <v>13</v>
      </c>
      <c r="D58" s="21">
        <v>0.22041666666666668</v>
      </c>
      <c r="E58" s="21">
        <v>2.8654166666666669</v>
      </c>
    </row>
    <row r="59" spans="1:5">
      <c r="A59" t="s">
        <v>1267</v>
      </c>
      <c r="B59" t="s">
        <v>1662</v>
      </c>
      <c r="C59" s="82">
        <v>6</v>
      </c>
      <c r="D59" s="21">
        <v>0.44083333333333335</v>
      </c>
      <c r="E59" s="21">
        <v>2.645</v>
      </c>
    </row>
    <row r="60" spans="1:5">
      <c r="A60" t="s">
        <v>706</v>
      </c>
      <c r="B60" t="s">
        <v>705</v>
      </c>
      <c r="C60" s="82">
        <v>3</v>
      </c>
      <c r="D60" s="21">
        <v>0.70833333333333337</v>
      </c>
      <c r="E60" s="21">
        <v>2.125</v>
      </c>
    </row>
    <row r="61" spans="1:5">
      <c r="A61" t="s">
        <v>115</v>
      </c>
      <c r="B61" t="s">
        <v>114</v>
      </c>
      <c r="C61" s="82">
        <v>96</v>
      </c>
      <c r="D61" s="21">
        <v>0.65625</v>
      </c>
      <c r="E61" s="21">
        <v>63</v>
      </c>
    </row>
    <row r="62" spans="1:5">
      <c r="A62" t="s">
        <v>113</v>
      </c>
      <c r="B62" t="s">
        <v>112</v>
      </c>
      <c r="C62" s="82">
        <v>30</v>
      </c>
      <c r="D62" s="21">
        <v>0.9375</v>
      </c>
      <c r="E62" s="21">
        <v>28.125</v>
      </c>
    </row>
    <row r="63" spans="1:5">
      <c r="A63" t="s">
        <v>1081</v>
      </c>
      <c r="B63" t="s">
        <v>1080</v>
      </c>
      <c r="C63" s="82">
        <v>1</v>
      </c>
      <c r="D63" s="21">
        <v>2.1166666666666667</v>
      </c>
      <c r="E63" s="21">
        <v>2.1166666666666667</v>
      </c>
    </row>
    <row r="64" spans="1:5">
      <c r="A64" t="s">
        <v>7</v>
      </c>
      <c r="B64" t="s">
        <v>6</v>
      </c>
      <c r="C64" s="82">
        <v>6</v>
      </c>
      <c r="D64" s="21">
        <v>1.1041666666666667</v>
      </c>
      <c r="E64" s="21">
        <v>6.625</v>
      </c>
    </row>
    <row r="65" spans="1:5">
      <c r="A65" t="s">
        <v>1694</v>
      </c>
      <c r="B65" t="s">
        <v>1693</v>
      </c>
      <c r="C65" s="82">
        <v>1</v>
      </c>
      <c r="D65" s="21">
        <v>0.6</v>
      </c>
      <c r="E65" s="21">
        <v>0.6</v>
      </c>
    </row>
    <row r="66" spans="1:5">
      <c r="A66" t="s">
        <v>1706</v>
      </c>
      <c r="B66" t="s">
        <v>1705</v>
      </c>
      <c r="C66" s="82">
        <v>3</v>
      </c>
      <c r="D66" s="21">
        <v>0.6</v>
      </c>
      <c r="E66" s="21">
        <v>1.7999999999999998</v>
      </c>
    </row>
    <row r="67" spans="1:5">
      <c r="A67" t="s">
        <v>13</v>
      </c>
      <c r="B67" t="s">
        <v>12</v>
      </c>
      <c r="C67" s="82">
        <v>48</v>
      </c>
      <c r="D67" s="21">
        <v>3.1091666666666669</v>
      </c>
      <c r="E67" s="21">
        <v>149.24</v>
      </c>
    </row>
    <row r="68" spans="1:5">
      <c r="A68" t="s">
        <v>492</v>
      </c>
      <c r="B68" t="s">
        <v>491</v>
      </c>
      <c r="C68" s="82">
        <v>6</v>
      </c>
      <c r="D68" s="21">
        <v>0.82708333333333339</v>
      </c>
      <c r="E68" s="21">
        <v>4.9625000000000004</v>
      </c>
    </row>
    <row r="69" spans="1:5">
      <c r="A69" t="s">
        <v>1180</v>
      </c>
      <c r="B69" t="s">
        <v>297</v>
      </c>
      <c r="C69" s="82">
        <v>1</v>
      </c>
      <c r="D69" s="21">
        <v>0.9277777777777777</v>
      </c>
      <c r="E69" s="21">
        <v>0.9277777777777777</v>
      </c>
    </row>
    <row r="70" spans="1:5">
      <c r="A70" t="s">
        <v>662</v>
      </c>
      <c r="B70" t="s">
        <v>2171</v>
      </c>
      <c r="C70" s="82">
        <v>12</v>
      </c>
      <c r="D70" s="21">
        <v>8.3333333333333329E-2</v>
      </c>
      <c r="E70" s="21">
        <v>1</v>
      </c>
    </row>
    <row r="71" spans="1:5">
      <c r="A71" t="s">
        <v>94</v>
      </c>
      <c r="B71" t="s">
        <v>93</v>
      </c>
      <c r="C71" s="82">
        <v>26</v>
      </c>
      <c r="D71" s="21">
        <v>0.375</v>
      </c>
      <c r="E71" s="21">
        <v>9.75</v>
      </c>
    </row>
    <row r="72" spans="1:5">
      <c r="A72" t="s">
        <v>1712</v>
      </c>
      <c r="B72" t="s">
        <v>1711</v>
      </c>
      <c r="C72" s="82">
        <v>7</v>
      </c>
      <c r="D72" s="21">
        <v>0.6</v>
      </c>
      <c r="E72" s="21">
        <v>4.2</v>
      </c>
    </row>
    <row r="73" spans="1:5">
      <c r="A73" t="s">
        <v>1749</v>
      </c>
      <c r="B73" t="s">
        <v>2008</v>
      </c>
      <c r="C73" s="82">
        <v>3</v>
      </c>
      <c r="D73" s="21">
        <v>0.71375</v>
      </c>
      <c r="E73" s="21">
        <v>2.1412499999999999</v>
      </c>
    </row>
    <row r="74" spans="1:5">
      <c r="A74" t="s">
        <v>2061</v>
      </c>
      <c r="B74" t="s">
        <v>2060</v>
      </c>
      <c r="C74" s="82">
        <v>18</v>
      </c>
      <c r="D74" s="21">
        <v>1.1025</v>
      </c>
      <c r="E74" s="21">
        <v>19.844999999999999</v>
      </c>
    </row>
    <row r="75" spans="1:5">
      <c r="A75" t="s">
        <v>1148</v>
      </c>
      <c r="B75" t="s">
        <v>1512</v>
      </c>
      <c r="C75" s="82">
        <v>50</v>
      </c>
      <c r="D75" s="21">
        <v>0.88</v>
      </c>
      <c r="E75" s="21">
        <v>44</v>
      </c>
    </row>
    <row r="76" spans="1:5">
      <c r="A76" t="s">
        <v>1373</v>
      </c>
      <c r="B76" t="s">
        <v>1372</v>
      </c>
      <c r="C76" s="82">
        <v>12</v>
      </c>
      <c r="D76" s="21">
        <v>0.34</v>
      </c>
      <c r="E76" s="21">
        <v>4.08</v>
      </c>
    </row>
    <row r="77" spans="1:5">
      <c r="A77" t="s">
        <v>535</v>
      </c>
      <c r="B77" t="s">
        <v>534</v>
      </c>
      <c r="C77" s="82">
        <v>21</v>
      </c>
      <c r="D77" s="21">
        <v>1.75</v>
      </c>
      <c r="E77" s="21">
        <v>36.75</v>
      </c>
    </row>
    <row r="78" spans="1:5">
      <c r="A78" t="s">
        <v>502</v>
      </c>
      <c r="B78" t="s">
        <v>501</v>
      </c>
      <c r="C78" s="82">
        <v>6</v>
      </c>
      <c r="D78" s="21">
        <v>2.2083333333333335</v>
      </c>
      <c r="E78" s="21">
        <v>13.25</v>
      </c>
    </row>
    <row r="79" spans="1:5">
      <c r="A79" t="s">
        <v>429</v>
      </c>
      <c r="B79" t="s">
        <v>428</v>
      </c>
      <c r="C79" s="82">
        <v>1</v>
      </c>
      <c r="D79" s="21">
        <v>2.1166666666666667</v>
      </c>
      <c r="E79" s="21">
        <v>2.1166666666666667</v>
      </c>
    </row>
    <row r="80" spans="1:5">
      <c r="A80" t="s">
        <v>45</v>
      </c>
      <c r="B80" t="s">
        <v>2170</v>
      </c>
      <c r="C80" s="82">
        <v>2</v>
      </c>
      <c r="D80" s="21">
        <v>0.5</v>
      </c>
      <c r="E80" s="21">
        <v>1</v>
      </c>
    </row>
    <row r="81" spans="1:5">
      <c r="A81" t="s">
        <v>1718</v>
      </c>
      <c r="B81" t="s">
        <v>1717</v>
      </c>
      <c r="C81" s="82">
        <v>8</v>
      </c>
      <c r="D81" s="21">
        <v>0.6</v>
      </c>
      <c r="E81" s="21">
        <v>4.8</v>
      </c>
    </row>
    <row r="82" spans="1:5">
      <c r="A82" t="s">
        <v>1722</v>
      </c>
      <c r="B82" t="s">
        <v>1721</v>
      </c>
      <c r="C82" s="82">
        <v>5</v>
      </c>
      <c r="D82" s="21">
        <v>0.6</v>
      </c>
      <c r="E82" s="21">
        <v>3</v>
      </c>
    </row>
    <row r="83" spans="1:5">
      <c r="A83">
        <v>69678225</v>
      </c>
      <c r="B83" t="s">
        <v>2279</v>
      </c>
      <c r="C83" s="82">
        <v>24</v>
      </c>
      <c r="D83" s="21">
        <v>0.61875000000000002</v>
      </c>
      <c r="E83" s="21">
        <v>14.850000000000001</v>
      </c>
    </row>
    <row r="84" spans="1:5">
      <c r="A84" t="s">
        <v>2090</v>
      </c>
      <c r="B84" t="s">
        <v>2089</v>
      </c>
      <c r="C84" s="82">
        <v>1</v>
      </c>
      <c r="D84" s="21">
        <v>100</v>
      </c>
      <c r="E84" s="21">
        <v>100</v>
      </c>
    </row>
    <row r="85" spans="1:5">
      <c r="A85" t="s">
        <v>1289</v>
      </c>
      <c r="B85" t="s">
        <v>1431</v>
      </c>
      <c r="C85" s="82">
        <v>6</v>
      </c>
      <c r="D85" s="21">
        <v>0.36249999999999999</v>
      </c>
      <c r="E85" s="21">
        <v>2.1749999999999998</v>
      </c>
    </row>
    <row r="86" spans="1:5">
      <c r="A86" t="s">
        <v>1821</v>
      </c>
      <c r="B86" t="s">
        <v>1820</v>
      </c>
      <c r="C86" s="82">
        <v>12</v>
      </c>
      <c r="D86" s="21">
        <v>1.3216666666666665</v>
      </c>
      <c r="E86" s="21">
        <v>15.86</v>
      </c>
    </row>
    <row r="87" spans="1:5">
      <c r="A87" t="s">
        <v>55</v>
      </c>
      <c r="B87" t="s">
        <v>54</v>
      </c>
      <c r="C87" s="82">
        <v>1</v>
      </c>
      <c r="D87" s="21">
        <v>0.34375</v>
      </c>
      <c r="E87" s="21">
        <v>0.34375</v>
      </c>
    </row>
    <row r="88" spans="1:5">
      <c r="A88" t="s">
        <v>504</v>
      </c>
      <c r="B88" t="s">
        <v>503</v>
      </c>
      <c r="C88" s="82">
        <v>6</v>
      </c>
      <c r="D88" s="21">
        <v>2.2083333333333335</v>
      </c>
      <c r="E88" s="21">
        <v>13.25</v>
      </c>
    </row>
    <row r="89" spans="1:5">
      <c r="A89" t="s">
        <v>1825</v>
      </c>
      <c r="B89" t="s">
        <v>1824</v>
      </c>
      <c r="C89" s="82">
        <v>10</v>
      </c>
      <c r="D89" s="21">
        <v>6</v>
      </c>
      <c r="E89" s="21">
        <v>60</v>
      </c>
    </row>
    <row r="90" spans="1:5">
      <c r="A90" t="s">
        <v>41</v>
      </c>
      <c r="B90" t="s">
        <v>40</v>
      </c>
      <c r="C90" s="82">
        <v>6</v>
      </c>
      <c r="D90" s="21">
        <v>0.24270833333333333</v>
      </c>
      <c r="E90" s="21">
        <v>1.45625</v>
      </c>
    </row>
    <row r="91" spans="1:5">
      <c r="A91" t="s">
        <v>1679</v>
      </c>
      <c r="B91" t="s">
        <v>2201</v>
      </c>
      <c r="C91" s="82">
        <v>18</v>
      </c>
      <c r="D91" s="21">
        <v>0.33041666666666664</v>
      </c>
      <c r="E91" s="21">
        <v>5.9474999999999998</v>
      </c>
    </row>
    <row r="92" spans="1:5">
      <c r="A92" t="s">
        <v>1980</v>
      </c>
      <c r="B92" t="s">
        <v>1979</v>
      </c>
      <c r="C92" s="82">
        <v>12</v>
      </c>
      <c r="D92" s="21">
        <v>1.3340744858254587</v>
      </c>
      <c r="E92" s="21">
        <v>16.008893829905503</v>
      </c>
    </row>
    <row r="93" spans="1:5">
      <c r="A93" t="s">
        <v>857</v>
      </c>
      <c r="B93" t="s">
        <v>856</v>
      </c>
      <c r="C93" s="82">
        <v>1</v>
      </c>
      <c r="D93" s="21">
        <v>1.3125</v>
      </c>
      <c r="E93" s="21">
        <v>1.3125</v>
      </c>
    </row>
    <row r="94" spans="1:5">
      <c r="A94" t="s">
        <v>1738</v>
      </c>
      <c r="B94" t="s">
        <v>1737</v>
      </c>
      <c r="C94" s="82">
        <v>5</v>
      </c>
      <c r="D94" s="21">
        <v>0.6</v>
      </c>
      <c r="E94" s="21">
        <v>3</v>
      </c>
    </row>
    <row r="95" spans="1:5">
      <c r="A95" t="s">
        <v>1696</v>
      </c>
      <c r="B95" t="s">
        <v>1695</v>
      </c>
      <c r="C95" s="82">
        <v>1</v>
      </c>
      <c r="D95" s="21">
        <v>0.6</v>
      </c>
      <c r="E95" s="21">
        <v>0.6</v>
      </c>
    </row>
    <row r="96" spans="1:5">
      <c r="A96" t="s">
        <v>1710</v>
      </c>
      <c r="B96" t="s">
        <v>1709</v>
      </c>
      <c r="C96" s="82">
        <v>3</v>
      </c>
      <c r="D96" s="21">
        <v>0.6</v>
      </c>
      <c r="E96" s="21">
        <v>1.7999999999999998</v>
      </c>
    </row>
    <row r="97" spans="1:5">
      <c r="A97" t="s">
        <v>1740</v>
      </c>
      <c r="B97" t="s">
        <v>1739</v>
      </c>
      <c r="C97" s="82">
        <v>2</v>
      </c>
      <c r="D97" s="21">
        <v>0.6</v>
      </c>
      <c r="E97" s="21">
        <v>1.2</v>
      </c>
    </row>
    <row r="98" spans="1:5">
      <c r="A98" t="s">
        <v>1209</v>
      </c>
      <c r="B98" t="s">
        <v>295</v>
      </c>
      <c r="C98" s="82">
        <v>1</v>
      </c>
      <c r="D98" s="21">
        <v>0.9277777777777777</v>
      </c>
      <c r="E98" s="21">
        <v>0.9277777777777777</v>
      </c>
    </row>
    <row r="99" spans="1:5">
      <c r="A99" t="s">
        <v>1222</v>
      </c>
      <c r="B99" t="s">
        <v>302</v>
      </c>
      <c r="C99" s="82">
        <v>1</v>
      </c>
      <c r="D99" s="21">
        <v>0.9277777777777777</v>
      </c>
      <c r="E99" s="21">
        <v>0.9277777777777777</v>
      </c>
    </row>
  </sheetData>
  <pageMargins left="0.7" right="0.7" top="0.75" bottom="0.75" header="0.3" footer="0.3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7D21A-AE15-44B0-AA5C-8B3B0A225C4E}">
  <sheetPr codeName="Hoja18"/>
  <dimension ref="A1:K31"/>
  <sheetViews>
    <sheetView topLeftCell="C1" workbookViewId="0">
      <selection activeCell="D4" sqref="D4"/>
    </sheetView>
  </sheetViews>
  <sheetFormatPr baseColWidth="10" defaultColWidth="11.44140625" defaultRowHeight="14.4"/>
  <cols>
    <col min="1" max="1" width="18.33203125" bestFit="1" customWidth="1"/>
    <col min="2" max="2" width="49.21875" bestFit="1" customWidth="1"/>
    <col min="3" max="5" width="17.44140625" bestFit="1" customWidth="1"/>
    <col min="8" max="8" width="13" customWidth="1"/>
  </cols>
  <sheetData>
    <row r="1" spans="1:11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1">
      <c r="A2">
        <v>84157012</v>
      </c>
      <c r="B2" t="s">
        <v>2211</v>
      </c>
      <c r="C2" s="82">
        <v>864</v>
      </c>
      <c r="D2" s="21">
        <v>0.11944444444444444</v>
      </c>
      <c r="E2" s="21">
        <v>103.19999999999999</v>
      </c>
      <c r="G2" s="21">
        <f>SUM(E:E)</f>
        <v>937.90333333333342</v>
      </c>
      <c r="H2" s="21">
        <f>CONVERT(G2,"lbm","cwt")</f>
        <v>9.379033333333334</v>
      </c>
    </row>
    <row r="3" spans="1:11">
      <c r="A3">
        <v>69618163</v>
      </c>
      <c r="B3" t="s">
        <v>1760</v>
      </c>
      <c r="C3" s="82">
        <v>52</v>
      </c>
      <c r="D3" s="21">
        <v>0.22083333333333333</v>
      </c>
      <c r="E3" s="21">
        <v>11.483333333333333</v>
      </c>
    </row>
    <row r="4" spans="1:11">
      <c r="A4">
        <v>576003</v>
      </c>
      <c r="B4" t="s">
        <v>2084</v>
      </c>
      <c r="C4" s="82">
        <v>36</v>
      </c>
      <c r="D4" s="21">
        <v>0.11944444444444444</v>
      </c>
      <c r="E4" s="21">
        <v>4.3</v>
      </c>
      <c r="K4" s="51"/>
    </row>
    <row r="5" spans="1:11" ht="15" thickBot="1">
      <c r="A5">
        <v>69761868</v>
      </c>
      <c r="B5" t="s">
        <v>2024</v>
      </c>
      <c r="C5" s="82">
        <v>1152</v>
      </c>
      <c r="D5" s="21">
        <v>0.19843750000000002</v>
      </c>
      <c r="E5" s="21">
        <v>228.60000000000002</v>
      </c>
      <c r="G5" s="23" t="s">
        <v>1095</v>
      </c>
      <c r="H5" s="24" t="s">
        <v>1096</v>
      </c>
      <c r="I5" s="23" t="s">
        <v>1106</v>
      </c>
      <c r="J5" s="27"/>
    </row>
    <row r="6" spans="1:11" ht="15" thickTop="1">
      <c r="A6" t="s">
        <v>115</v>
      </c>
      <c r="B6" t="s">
        <v>114</v>
      </c>
      <c r="C6" s="82">
        <v>240</v>
      </c>
      <c r="D6" s="21">
        <v>0.65625</v>
      </c>
      <c r="E6" s="21">
        <v>157.5</v>
      </c>
      <c r="G6" s="25" t="s">
        <v>1097</v>
      </c>
      <c r="H6" s="25">
        <v>50</v>
      </c>
      <c r="I6" s="26">
        <f>Tabla2424142[QUINTALES]/H6</f>
        <v>0.18758066666666667</v>
      </c>
      <c r="J6" s="21"/>
    </row>
    <row r="7" spans="1:11">
      <c r="A7" t="s">
        <v>529</v>
      </c>
      <c r="B7" t="s">
        <v>528</v>
      </c>
      <c r="C7" s="82">
        <v>1200</v>
      </c>
      <c r="D7" s="21">
        <v>0.34375</v>
      </c>
      <c r="E7" s="21">
        <v>412.5</v>
      </c>
      <c r="J7" s="21"/>
    </row>
    <row r="8" spans="1:11" ht="15" thickBot="1">
      <c r="A8">
        <v>69761866</v>
      </c>
      <c r="B8" t="s">
        <v>2189</v>
      </c>
      <c r="C8" s="82">
        <v>96</v>
      </c>
      <c r="D8" s="21">
        <v>0.21166666666666667</v>
      </c>
      <c r="E8" s="21">
        <v>20.32</v>
      </c>
      <c r="G8" s="23" t="s">
        <v>1095</v>
      </c>
      <c r="H8" s="24" t="s">
        <v>1096</v>
      </c>
      <c r="I8" s="23" t="s">
        <v>1106</v>
      </c>
      <c r="J8" s="21"/>
    </row>
    <row r="9" spans="1:11" ht="15" thickTop="1">
      <c r="G9" s="25" t="s">
        <v>1098</v>
      </c>
      <c r="H9" s="25">
        <v>50</v>
      </c>
      <c r="I9" s="26">
        <f>Tabla2424142[QUINTALES]/H9</f>
        <v>0.18758066666666667</v>
      </c>
      <c r="J9" s="21"/>
    </row>
    <row r="10" spans="1:11">
      <c r="J10" s="21"/>
    </row>
    <row r="11" spans="1:11" ht="15" thickBot="1">
      <c r="G11" s="23" t="s">
        <v>1095</v>
      </c>
      <c r="H11" s="24" t="s">
        <v>1096</v>
      </c>
      <c r="I11" s="23" t="s">
        <v>1106</v>
      </c>
      <c r="J11" s="21"/>
    </row>
    <row r="12" spans="1:11" ht="15" thickTop="1">
      <c r="G12" s="25" t="s">
        <v>1099</v>
      </c>
      <c r="H12" s="25">
        <v>50</v>
      </c>
      <c r="I12" s="26">
        <f>Tabla2424142[QUINTALES]/H12</f>
        <v>0.18758066666666667</v>
      </c>
      <c r="J12" s="21"/>
    </row>
    <row r="13" spans="1:11">
      <c r="J13" s="21"/>
    </row>
    <row r="14" spans="1:11" ht="15" thickBot="1">
      <c r="G14" s="23" t="s">
        <v>1095</v>
      </c>
      <c r="H14" s="24" t="s">
        <v>1096</v>
      </c>
      <c r="I14" s="23" t="s">
        <v>1106</v>
      </c>
      <c r="J14" s="21"/>
    </row>
    <row r="15" spans="1:11" ht="15" thickTop="1">
      <c r="G15" s="25" t="s">
        <v>1100</v>
      </c>
      <c r="H15" s="25">
        <v>50</v>
      </c>
      <c r="I15" s="26">
        <f>Tabla2424142[QUINTALES]/H15</f>
        <v>0.18758066666666667</v>
      </c>
    </row>
    <row r="17" spans="7:9" ht="15" thickBot="1">
      <c r="G17" s="23" t="s">
        <v>1095</v>
      </c>
      <c r="H17" s="24" t="s">
        <v>1096</v>
      </c>
      <c r="I17" s="23" t="s">
        <v>1106</v>
      </c>
    </row>
    <row r="18" spans="7:9" ht="15" thickTop="1">
      <c r="G18" s="25" t="s">
        <v>1101</v>
      </c>
      <c r="H18" s="25">
        <v>50</v>
      </c>
      <c r="I18" s="26">
        <f>Tabla2424142[QUINTALES]/H18</f>
        <v>0.18758066666666667</v>
      </c>
    </row>
    <row r="20" spans="7:9" ht="15" thickBot="1">
      <c r="G20" s="23" t="s">
        <v>1095</v>
      </c>
      <c r="H20" s="24" t="s">
        <v>1096</v>
      </c>
      <c r="I20" s="23" t="s">
        <v>1106</v>
      </c>
    </row>
    <row r="21" spans="7:9" ht="15" thickTop="1">
      <c r="G21" s="25" t="s">
        <v>1102</v>
      </c>
      <c r="H21" s="25">
        <v>50</v>
      </c>
      <c r="I21" s="26">
        <f>Tabla10[QUINTALES]/H21</f>
        <v>0.72394814472222246</v>
      </c>
    </row>
    <row r="23" spans="7:9" ht="15" thickBot="1">
      <c r="G23" s="23" t="s">
        <v>1095</v>
      </c>
      <c r="H23" s="24" t="s">
        <v>1096</v>
      </c>
      <c r="I23" s="23" t="s">
        <v>1106</v>
      </c>
    </row>
    <row r="24" spans="7:9" ht="15" thickTop="1">
      <c r="G24" s="25" t="s">
        <v>1103</v>
      </c>
      <c r="H24" s="25">
        <v>30</v>
      </c>
      <c r="I24" s="26">
        <f>Tabla2424142[QUINTALES]/H24</f>
        <v>0.31263444444444449</v>
      </c>
    </row>
    <row r="27" spans="7:9" ht="15" thickBot="1">
      <c r="G27" s="23" t="s">
        <v>1095</v>
      </c>
      <c r="H27" s="24" t="s">
        <v>1096</v>
      </c>
      <c r="I27" s="23" t="s">
        <v>1106</v>
      </c>
    </row>
    <row r="28" spans="7:9" ht="15" thickTop="1">
      <c r="G28" s="25" t="s">
        <v>1104</v>
      </c>
      <c r="H28" s="25">
        <v>70</v>
      </c>
      <c r="I28" s="26">
        <f>Tabla2424142[QUINTALES]/H28</f>
        <v>0.13398619047619048</v>
      </c>
    </row>
    <row r="30" spans="7:9" ht="15" thickBot="1">
      <c r="G30" s="23" t="s">
        <v>1095</v>
      </c>
      <c r="H30" s="24" t="s">
        <v>1096</v>
      </c>
      <c r="I30" s="23" t="s">
        <v>1106</v>
      </c>
    </row>
    <row r="31" spans="7:9" ht="15" thickTop="1">
      <c r="G31" s="25" t="s">
        <v>1105</v>
      </c>
      <c r="H31" s="25">
        <v>70</v>
      </c>
      <c r="I31" s="26">
        <f>Tabla2424142[QUINTALES]/H31</f>
        <v>0.13398619047619048</v>
      </c>
    </row>
  </sheetData>
  <pageMargins left="0.7" right="0.7" top="0.75" bottom="0.75" header="0.3" footer="0.3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DE53E-E20C-4E38-A368-B8EEA0273AA1}">
  <sheetPr codeName="Hoja19"/>
  <dimension ref="A1:K32"/>
  <sheetViews>
    <sheetView workbookViewId="0">
      <selection activeCell="G15" sqref="G15"/>
    </sheetView>
  </sheetViews>
  <sheetFormatPr baseColWidth="10" defaultColWidth="11.44140625" defaultRowHeight="14.4"/>
  <cols>
    <col min="1" max="1" width="18.33203125" bestFit="1" customWidth="1"/>
    <col min="2" max="2" width="47.109375" bestFit="1" customWidth="1"/>
    <col min="3" max="5" width="17.44140625" bestFit="1" customWidth="1"/>
    <col min="8" max="8" width="13" customWidth="1"/>
  </cols>
  <sheetData>
    <row r="1" spans="1:11">
      <c r="A1" s="20" t="s">
        <v>1085</v>
      </c>
      <c r="B1" s="20" t="s">
        <v>1084</v>
      </c>
      <c r="C1" t="s">
        <v>1087</v>
      </c>
      <c r="D1" t="s">
        <v>1086</v>
      </c>
      <c r="E1" t="s">
        <v>1088</v>
      </c>
      <c r="G1" t="s">
        <v>1091</v>
      </c>
      <c r="H1" t="s">
        <v>1089</v>
      </c>
    </row>
    <row r="2" spans="1:11">
      <c r="A2">
        <v>68637162</v>
      </c>
      <c r="B2" t="s">
        <v>1202</v>
      </c>
      <c r="C2" s="82">
        <v>4</v>
      </c>
      <c r="D2" s="21">
        <v>1.4624999999999999</v>
      </c>
      <c r="E2" s="21">
        <v>5.85</v>
      </c>
      <c r="G2" s="21">
        <f>SUM(E:E)</f>
        <v>1688.1716666666669</v>
      </c>
      <c r="H2" s="21">
        <f>CONVERT(G2,"lbm","cwt")</f>
        <v>16.881716666666669</v>
      </c>
    </row>
    <row r="3" spans="1:11">
      <c r="A3">
        <v>69584483</v>
      </c>
      <c r="B3" t="s">
        <v>1553</v>
      </c>
      <c r="C3" s="82">
        <v>160</v>
      </c>
      <c r="D3" s="21">
        <v>0.40750000000000003</v>
      </c>
      <c r="E3" s="21">
        <v>65.2</v>
      </c>
    </row>
    <row r="4" spans="1:11">
      <c r="A4">
        <v>67611013</v>
      </c>
      <c r="B4" t="s">
        <v>1157</v>
      </c>
      <c r="C4" s="82">
        <v>2</v>
      </c>
      <c r="D4" s="21">
        <v>2.65</v>
      </c>
      <c r="E4" s="21">
        <v>5.3</v>
      </c>
      <c r="K4" s="51"/>
    </row>
    <row r="5" spans="1:11" ht="15" thickBot="1">
      <c r="A5">
        <v>68667235</v>
      </c>
      <c r="B5" t="s">
        <v>1378</v>
      </c>
      <c r="C5" s="82">
        <v>14</v>
      </c>
      <c r="D5" s="21">
        <v>0.84</v>
      </c>
      <c r="E5" s="21">
        <v>5.88</v>
      </c>
      <c r="G5" s="23" t="s">
        <v>1095</v>
      </c>
      <c r="H5" s="24" t="s">
        <v>1096</v>
      </c>
      <c r="I5" s="23" t="s">
        <v>1106</v>
      </c>
      <c r="J5" s="27"/>
    </row>
    <row r="6" spans="1:11" ht="15" thickTop="1">
      <c r="A6">
        <v>68667239</v>
      </c>
      <c r="B6" t="s">
        <v>1398</v>
      </c>
      <c r="C6" s="82">
        <v>12</v>
      </c>
      <c r="D6" s="21">
        <v>0.83833333333333337</v>
      </c>
      <c r="E6" s="21">
        <v>10.06</v>
      </c>
      <c r="G6" s="25" t="s">
        <v>1097</v>
      </c>
      <c r="H6" s="25">
        <v>50</v>
      </c>
      <c r="I6" s="26">
        <f>Tabla242414243[QUINTALES]/H6</f>
        <v>0.33763433333333337</v>
      </c>
      <c r="J6" s="21"/>
    </row>
    <row r="7" spans="1:11">
      <c r="A7">
        <v>84157033</v>
      </c>
      <c r="B7" t="s">
        <v>2083</v>
      </c>
      <c r="C7" s="82">
        <v>300</v>
      </c>
      <c r="D7" s="21">
        <v>0.23888888888888887</v>
      </c>
      <c r="E7" s="21">
        <v>35.833333333333329</v>
      </c>
      <c r="J7" s="21"/>
    </row>
    <row r="8" spans="1:11" ht="15" thickBot="1">
      <c r="A8">
        <v>69584500</v>
      </c>
      <c r="B8" t="s">
        <v>2166</v>
      </c>
      <c r="C8" s="82">
        <v>840</v>
      </c>
      <c r="D8" s="21">
        <v>0.19824999999999998</v>
      </c>
      <c r="E8" s="21">
        <v>83.265000000000001</v>
      </c>
      <c r="G8" s="23" t="s">
        <v>1095</v>
      </c>
      <c r="H8" s="24" t="s">
        <v>1096</v>
      </c>
      <c r="I8" s="23" t="s">
        <v>1106</v>
      </c>
      <c r="J8" s="21"/>
    </row>
    <row r="9" spans="1:11" ht="15" thickTop="1">
      <c r="A9">
        <v>68524861</v>
      </c>
      <c r="B9" t="s">
        <v>1144</v>
      </c>
      <c r="C9" s="82">
        <v>12</v>
      </c>
      <c r="D9" s="21">
        <v>0.61875000000000002</v>
      </c>
      <c r="E9" s="21">
        <v>7.4250000000000007</v>
      </c>
      <c r="G9" s="25" t="s">
        <v>1098</v>
      </c>
      <c r="H9" s="25">
        <v>50</v>
      </c>
      <c r="I9" s="26">
        <f>Tabla242414243[QUINTALES]/H9</f>
        <v>0.33763433333333337</v>
      </c>
      <c r="J9" s="21"/>
    </row>
    <row r="10" spans="1:11">
      <c r="A10">
        <v>68524859</v>
      </c>
      <c r="B10" t="s">
        <v>66</v>
      </c>
      <c r="C10" s="82">
        <v>12</v>
      </c>
      <c r="D10" s="21">
        <v>0.61875000000000002</v>
      </c>
      <c r="E10" s="21">
        <v>7.4250000000000007</v>
      </c>
      <c r="J10" s="21"/>
    </row>
    <row r="11" spans="1:11" ht="15" thickBot="1">
      <c r="A11">
        <v>68524852</v>
      </c>
      <c r="B11" t="s">
        <v>255</v>
      </c>
      <c r="C11" s="82">
        <v>6</v>
      </c>
      <c r="D11" s="21">
        <v>0.61875000000000002</v>
      </c>
      <c r="E11" s="21">
        <v>3.7125000000000004</v>
      </c>
      <c r="G11" s="23" t="s">
        <v>1095</v>
      </c>
      <c r="H11" s="24" t="s">
        <v>1096</v>
      </c>
      <c r="I11" s="23" t="s">
        <v>1106</v>
      </c>
      <c r="J11" s="21"/>
    </row>
    <row r="12" spans="1:11" ht="15" thickTop="1">
      <c r="A12">
        <v>68775732</v>
      </c>
      <c r="B12" t="s">
        <v>65</v>
      </c>
      <c r="C12" s="82">
        <v>18</v>
      </c>
      <c r="D12" s="21">
        <v>0.3175</v>
      </c>
      <c r="E12" s="21">
        <v>5.7149999999999999</v>
      </c>
      <c r="G12" s="25" t="s">
        <v>1099</v>
      </c>
      <c r="H12" s="25">
        <v>50</v>
      </c>
      <c r="I12" s="26">
        <f>Tabla242414243[QUINTALES]/H12</f>
        <v>0.33763433333333337</v>
      </c>
      <c r="J12" s="21"/>
    </row>
    <row r="13" spans="1:11">
      <c r="A13">
        <v>588831</v>
      </c>
      <c r="B13" t="s">
        <v>2214</v>
      </c>
      <c r="C13" s="82">
        <v>3</v>
      </c>
      <c r="D13" s="21">
        <v>0.21666666666666667</v>
      </c>
      <c r="E13" s="21">
        <v>0.65</v>
      </c>
      <c r="J13" s="21"/>
    </row>
    <row r="14" spans="1:11" ht="15" thickBot="1">
      <c r="A14">
        <v>68923657</v>
      </c>
      <c r="B14" t="s">
        <v>1320</v>
      </c>
      <c r="C14" s="82">
        <v>24</v>
      </c>
      <c r="D14" s="21">
        <v>0.92</v>
      </c>
      <c r="E14" s="21">
        <v>22.080000000000002</v>
      </c>
      <c r="G14" s="23" t="s">
        <v>1095</v>
      </c>
      <c r="H14" s="24" t="s">
        <v>1096</v>
      </c>
      <c r="I14" s="23" t="s">
        <v>1106</v>
      </c>
      <c r="J14" s="21"/>
    </row>
    <row r="15" spans="1:11" ht="15" thickTop="1">
      <c r="A15">
        <v>68380352</v>
      </c>
      <c r="B15" t="s">
        <v>1242</v>
      </c>
      <c r="C15" s="82">
        <v>6</v>
      </c>
      <c r="D15" s="21">
        <v>0.19166666666666665</v>
      </c>
      <c r="E15" s="21">
        <v>1.1499999999999999</v>
      </c>
      <c r="G15" s="25" t="s">
        <v>1100</v>
      </c>
      <c r="H15" s="25">
        <v>50</v>
      </c>
      <c r="I15" s="26">
        <f>Tabla242414243[QUINTALES]/H15</f>
        <v>0.33763433333333337</v>
      </c>
    </row>
    <row r="16" spans="1:11">
      <c r="A16">
        <v>68380364</v>
      </c>
      <c r="B16" t="s">
        <v>1241</v>
      </c>
      <c r="C16" s="82">
        <v>6</v>
      </c>
      <c r="D16" s="21">
        <v>0.19166666666666665</v>
      </c>
      <c r="E16" s="21">
        <v>1.1499999999999999</v>
      </c>
    </row>
    <row r="17" spans="1:9" ht="15" thickBot="1">
      <c r="A17">
        <v>69618163</v>
      </c>
      <c r="B17" t="s">
        <v>1760</v>
      </c>
      <c r="C17" s="82">
        <v>224</v>
      </c>
      <c r="D17" s="21">
        <v>0.22083333333333333</v>
      </c>
      <c r="E17" s="21">
        <v>49.466666666666669</v>
      </c>
      <c r="G17" s="23" t="s">
        <v>1095</v>
      </c>
      <c r="H17" s="24" t="s">
        <v>1096</v>
      </c>
      <c r="I17" s="23" t="s">
        <v>1106</v>
      </c>
    </row>
    <row r="18" spans="1:9" ht="15" thickTop="1">
      <c r="A18">
        <v>69678222</v>
      </c>
      <c r="B18" t="s">
        <v>2088</v>
      </c>
      <c r="C18" s="82">
        <v>72</v>
      </c>
      <c r="D18" s="21">
        <v>0.5541666666666667</v>
      </c>
      <c r="E18" s="21">
        <v>39.900000000000006</v>
      </c>
      <c r="G18" s="25" t="s">
        <v>1101</v>
      </c>
      <c r="H18" s="25">
        <v>50</v>
      </c>
      <c r="I18" s="26">
        <f>Tabla242414243[QUINTALES]/H18</f>
        <v>0.33763433333333337</v>
      </c>
    </row>
    <row r="19" spans="1:9">
      <c r="A19">
        <v>69761868</v>
      </c>
      <c r="B19" t="s">
        <v>2024</v>
      </c>
      <c r="C19" s="82">
        <v>3840</v>
      </c>
      <c r="D19" s="21">
        <v>0.19843750000000002</v>
      </c>
      <c r="E19" s="21">
        <v>762.00000000000011</v>
      </c>
    </row>
    <row r="20" spans="1:9" ht="15" thickBot="1">
      <c r="A20">
        <v>69761870</v>
      </c>
      <c r="B20" t="s">
        <v>1972</v>
      </c>
      <c r="C20" s="82">
        <v>384</v>
      </c>
      <c r="D20" s="21">
        <v>0.19833333333333333</v>
      </c>
      <c r="E20" s="21">
        <v>76.16</v>
      </c>
      <c r="G20" s="23" t="s">
        <v>1095</v>
      </c>
      <c r="H20" s="24" t="s">
        <v>1096</v>
      </c>
      <c r="I20" s="23" t="s">
        <v>1106</v>
      </c>
    </row>
    <row r="21" spans="1:9" ht="15" thickTop="1">
      <c r="A21">
        <v>69761861</v>
      </c>
      <c r="B21" t="s">
        <v>1987</v>
      </c>
      <c r="C21" s="82">
        <v>960</v>
      </c>
      <c r="D21" s="21">
        <v>0.19833333333333333</v>
      </c>
      <c r="E21" s="21">
        <v>190.4</v>
      </c>
      <c r="G21" s="25" t="s">
        <v>1102</v>
      </c>
      <c r="H21" s="25">
        <v>50</v>
      </c>
      <c r="I21" s="26">
        <f>Tabla10[QUINTALES]/H21</f>
        <v>0.72394814472222246</v>
      </c>
    </row>
    <row r="22" spans="1:9">
      <c r="A22">
        <v>69714154</v>
      </c>
      <c r="B22" t="s">
        <v>2174</v>
      </c>
      <c r="C22" s="82">
        <v>65</v>
      </c>
      <c r="D22" s="21">
        <v>1.7638461538461538</v>
      </c>
      <c r="E22" s="21">
        <v>114.65</v>
      </c>
    </row>
    <row r="23" spans="1:9" ht="15" thickBot="1">
      <c r="A23">
        <v>69714162</v>
      </c>
      <c r="B23" t="s">
        <v>2175</v>
      </c>
      <c r="C23" s="82">
        <v>65</v>
      </c>
      <c r="D23" s="21">
        <v>1.7638461538461538</v>
      </c>
      <c r="E23" s="21">
        <v>114.65</v>
      </c>
      <c r="G23" s="23" t="s">
        <v>1095</v>
      </c>
      <c r="H23" s="24" t="s">
        <v>1096</v>
      </c>
      <c r="I23" s="23" t="s">
        <v>1106</v>
      </c>
    </row>
    <row r="24" spans="1:9" ht="15" thickTop="1">
      <c r="A24">
        <v>69761865</v>
      </c>
      <c r="B24" t="s">
        <v>2134</v>
      </c>
      <c r="C24" s="82">
        <v>240</v>
      </c>
      <c r="D24" s="21">
        <v>0.19843750000000002</v>
      </c>
      <c r="E24" s="21">
        <v>47.625000000000007</v>
      </c>
      <c r="G24" s="25" t="s">
        <v>1103</v>
      </c>
      <c r="H24" s="25">
        <v>30</v>
      </c>
      <c r="I24" s="26">
        <f>Tabla242414243[QUINTALES]/H24</f>
        <v>0.56272388888888902</v>
      </c>
    </row>
    <row r="25" spans="1:9">
      <c r="A25">
        <v>69584487</v>
      </c>
      <c r="B25" t="s">
        <v>2202</v>
      </c>
      <c r="C25" s="82">
        <v>120</v>
      </c>
      <c r="D25" s="21">
        <v>9.9166666666666667E-2</v>
      </c>
      <c r="E25" s="21">
        <v>11.9</v>
      </c>
    </row>
    <row r="26" spans="1:9">
      <c r="A26">
        <v>69627014</v>
      </c>
      <c r="B26" t="s">
        <v>2003</v>
      </c>
      <c r="C26" s="82">
        <v>6</v>
      </c>
      <c r="D26" s="21">
        <v>0.19166666666666665</v>
      </c>
      <c r="E26" s="21">
        <v>1.1499999999999999</v>
      </c>
    </row>
    <row r="27" spans="1:9" ht="15" thickBot="1">
      <c r="A27">
        <v>84171576</v>
      </c>
      <c r="B27" t="s">
        <v>266</v>
      </c>
      <c r="C27" s="82">
        <v>6</v>
      </c>
      <c r="D27" s="21">
        <v>0.1125</v>
      </c>
      <c r="E27" s="21">
        <v>0.67500000000000004</v>
      </c>
      <c r="G27" s="23" t="s">
        <v>1095</v>
      </c>
      <c r="H27" s="24" t="s">
        <v>1096</v>
      </c>
      <c r="I27" s="23" t="s">
        <v>1106</v>
      </c>
    </row>
    <row r="28" spans="1:9" ht="15" thickTop="1">
      <c r="A28">
        <v>68444067</v>
      </c>
      <c r="B28" t="s">
        <v>880</v>
      </c>
      <c r="C28" s="82">
        <v>3</v>
      </c>
      <c r="D28" s="21">
        <v>0.19833333333333333</v>
      </c>
      <c r="E28" s="21">
        <v>0.59499999999999997</v>
      </c>
      <c r="G28" s="25" t="s">
        <v>1104</v>
      </c>
      <c r="H28" s="25">
        <v>70</v>
      </c>
      <c r="I28" s="26">
        <f>Tabla242414243[QUINTALES]/H28</f>
        <v>0.24116738095238099</v>
      </c>
    </row>
    <row r="29" spans="1:9">
      <c r="A29">
        <v>69678220</v>
      </c>
      <c r="B29" t="s">
        <v>2220</v>
      </c>
      <c r="C29" s="82">
        <v>24</v>
      </c>
      <c r="D29" s="21">
        <v>0.61875000000000002</v>
      </c>
      <c r="E29" s="21">
        <v>14.850000000000001</v>
      </c>
    </row>
    <row r="30" spans="1:9" ht="15" thickBot="1">
      <c r="A30">
        <v>579235</v>
      </c>
      <c r="B30" t="s">
        <v>69</v>
      </c>
      <c r="C30" s="82">
        <v>12</v>
      </c>
      <c r="D30" s="21">
        <v>0.19583333333333333</v>
      </c>
      <c r="E30" s="21">
        <v>2.35</v>
      </c>
      <c r="G30" s="23" t="s">
        <v>1095</v>
      </c>
      <c r="H30" s="24" t="s">
        <v>1096</v>
      </c>
      <c r="I30" s="23" t="s">
        <v>1106</v>
      </c>
    </row>
    <row r="31" spans="1:9" ht="15" thickTop="1">
      <c r="A31">
        <v>579407</v>
      </c>
      <c r="B31" t="s">
        <v>2230</v>
      </c>
      <c r="C31" s="82">
        <v>4</v>
      </c>
      <c r="D31" s="21">
        <v>0.22083333333333333</v>
      </c>
      <c r="E31" s="21">
        <v>0.44166666666666665</v>
      </c>
      <c r="G31" s="25" t="s">
        <v>1105</v>
      </c>
      <c r="H31" s="25">
        <v>70</v>
      </c>
      <c r="I31" s="26">
        <f>Tabla242414243[QUINTALES]/H31</f>
        <v>0.24116738095238099</v>
      </c>
    </row>
    <row r="32" spans="1:9">
      <c r="A32">
        <v>579409</v>
      </c>
      <c r="B32" t="s">
        <v>2233</v>
      </c>
      <c r="C32" s="82">
        <v>6</v>
      </c>
      <c r="D32" s="21">
        <v>0.11041666666666666</v>
      </c>
      <c r="E32" s="21">
        <v>0.66249999999999998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AB5E2-8455-4A1E-A4FB-A1A47BB0CD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27</vt:i4>
      </vt:variant>
      <vt:variant>
        <vt:lpstr>Rangos con nombre</vt:lpstr>
      </vt:variant>
      <vt:variant>
        <vt:i4>2</vt:i4>
      </vt:variant>
    </vt:vector>
  </HeadingPairs>
  <TitlesOfParts>
    <vt:vector size="29" baseType="lpstr">
      <vt:lpstr>DASHBOARD</vt:lpstr>
      <vt:lpstr>E471</vt:lpstr>
      <vt:lpstr>E472</vt:lpstr>
      <vt:lpstr>E473</vt:lpstr>
      <vt:lpstr>E474</vt:lpstr>
      <vt:lpstr>E475</vt:lpstr>
      <vt:lpstr>E476</vt:lpstr>
      <vt:lpstr>E477</vt:lpstr>
      <vt:lpstr>E481</vt:lpstr>
      <vt:lpstr>E480</vt:lpstr>
      <vt:lpstr>E479</vt:lpstr>
      <vt:lpstr>E478</vt:lpstr>
      <vt:lpstr>E470</vt:lpstr>
      <vt:lpstr>MASTER</vt:lpstr>
      <vt:lpstr>PESOS</vt:lpstr>
      <vt:lpstr>E470DB</vt:lpstr>
      <vt:lpstr>E471DB</vt:lpstr>
      <vt:lpstr>E472DB</vt:lpstr>
      <vt:lpstr>E473DB</vt:lpstr>
      <vt:lpstr>E474DB</vt:lpstr>
      <vt:lpstr>E475DB</vt:lpstr>
      <vt:lpstr>E476DB</vt:lpstr>
      <vt:lpstr>E477DB</vt:lpstr>
      <vt:lpstr>E478DB</vt:lpstr>
      <vt:lpstr>E479DB</vt:lpstr>
      <vt:lpstr>E480DB</vt:lpstr>
      <vt:lpstr>E481DB</vt:lpstr>
      <vt:lpstr>DASHBOARD!Área_de_impresión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Javier Gómez Gutiérrez</dc:creator>
  <cp:lastModifiedBy>Javier Gomez</cp:lastModifiedBy>
  <dcterms:created xsi:type="dcterms:W3CDTF">2015-06-05T18:19:34Z</dcterms:created>
  <dcterms:modified xsi:type="dcterms:W3CDTF">2024-01-13T15:57:10Z</dcterms:modified>
</cp:coreProperties>
</file>